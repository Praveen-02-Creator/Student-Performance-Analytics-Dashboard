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PortFolio\"/>
    </mc:Choice>
  </mc:AlternateContent>
  <xr:revisionPtr revIDLastSave="0" documentId="13_ncr:1_{8C743054-0EE4-4C61-B697-F250B0FA9402}" xr6:coauthVersionLast="47" xr6:coauthVersionMax="47" xr10:uidLastSave="{00000000-0000-0000-0000-000000000000}"/>
  <bookViews>
    <workbookView xWindow="-108" yWindow="-108" windowWidth="23256" windowHeight="12456" firstSheet="7" activeTab="10" xr2:uid="{0E3BC312-A98A-4964-8B9A-E4379BEE4112}"/>
  </bookViews>
  <sheets>
    <sheet name="StudentsPerformance" sheetId="1" r:id="rId1"/>
    <sheet name="TestPrepAnalysis" sheetId="3" r:id="rId2"/>
    <sheet name="ParentEduAnalysis" sheetId="4" r:id="rId3"/>
    <sheet name="GenderPassAnalysis" sheetId="5" r:id="rId4"/>
    <sheet name="RaceEthnicityAnalysis" sheetId="8" r:id="rId5"/>
    <sheet name="LunchTypeAnalysis" sheetId="9" r:id="rId6"/>
    <sheet name="SubjectComparison" sheetId="10" r:id="rId7"/>
    <sheet name="GenderSubjectAnalysis" sheetId="12" r:id="rId8"/>
    <sheet name="PerformanceCategoryAnalysis" sheetId="11" r:id="rId9"/>
    <sheet name="ParentPassRateAnalysis" sheetId="13" r:id="rId10"/>
    <sheet name="Dashboard" sheetId="2" r:id="rId11"/>
  </sheets>
  <definedNames>
    <definedName name="Slicer_gender">#N/A</definedName>
    <definedName name="Slicer_lunch">#N/A</definedName>
    <definedName name="Slicer_parental_level_of_education">#N/A</definedName>
    <definedName name="Slicer_PerformanceCategory">#N/A</definedName>
    <definedName name="Slicer_race_ethnicity">#N/A</definedName>
    <definedName name="Slicer_test_preparation_cours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M44" i="1" a="1"/>
  <c r="M44" i="1" s="1"/>
  <c r="M92" i="1" a="1"/>
  <c r="M92" i="1" s="1"/>
  <c r="M104" i="1" a="1"/>
  <c r="M104" i="1" s="1"/>
  <c r="M116" i="1" a="1"/>
  <c r="M116" i="1"/>
  <c r="M137" i="1"/>
  <c r="M200" i="1" a="1"/>
  <c r="M200" i="1" s="1"/>
  <c r="M201" i="1" a="1"/>
  <c r="M201" i="1" s="1"/>
  <c r="M210" i="1" a="1"/>
  <c r="M210" i="1" s="1"/>
  <c r="M214" i="1" a="1"/>
  <c r="M214" i="1" s="1"/>
  <c r="M245" i="1"/>
  <c r="M257" i="1"/>
  <c r="M272" i="1" a="1"/>
  <c r="M272" i="1" s="1"/>
  <c r="M285" i="1" a="1"/>
  <c r="M285" i="1"/>
  <c r="M296" i="1" a="1"/>
  <c r="M296" i="1" s="1"/>
  <c r="M297" i="1" a="1"/>
  <c r="M297" i="1" s="1"/>
  <c r="M329" i="1" a="1"/>
  <c r="M329" i="1" s="1"/>
  <c r="M332" i="1" a="1"/>
  <c r="M332" i="1"/>
  <c r="M345" i="1" a="1"/>
  <c r="M345" i="1"/>
  <c r="M353" i="1" a="1"/>
  <c r="M353" i="1" s="1"/>
  <c r="M354" i="1" a="1"/>
  <c r="M354" i="1" s="1"/>
  <c r="M382" i="1" a="1"/>
  <c r="M382" i="1" s="1"/>
  <c r="M383" i="1" a="1"/>
  <c r="M383" i="1" s="1"/>
  <c r="M389" i="1" a="1"/>
  <c r="M389" i="1" s="1"/>
  <c r="M402" i="1" a="1"/>
  <c r="M402" i="1" s="1"/>
  <c r="M416" i="1" a="1"/>
  <c r="M416" i="1" s="1"/>
  <c r="M418" i="1" a="1"/>
  <c r="M418" i="1"/>
  <c r="M429" i="1" a="1"/>
  <c r="M429" i="1"/>
  <c r="M440" i="1" a="1"/>
  <c r="M440" i="1" s="1"/>
  <c r="M441" i="1" a="1"/>
  <c r="M441" i="1" s="1"/>
  <c r="M458" i="1" a="1"/>
  <c r="M458" i="1" s="1"/>
  <c r="M474" i="1" a="1"/>
  <c r="M474" i="1" s="1"/>
  <c r="M476" i="1" a="1"/>
  <c r="M476" i="1" s="1"/>
  <c r="M501" i="1" a="1"/>
  <c r="M501" i="1" s="1"/>
  <c r="M509" i="1" a="1"/>
  <c r="M509" i="1" s="1"/>
  <c r="M510" i="1" a="1"/>
  <c r="M510" i="1" s="1"/>
  <c r="M512" i="1" a="1"/>
  <c r="M512" i="1" s="1"/>
  <c r="M534" i="1" a="1"/>
  <c r="M534" i="1" s="1"/>
  <c r="M537" i="1" a="1"/>
  <c r="M537" i="1"/>
  <c r="M538" i="1" a="1"/>
  <c r="M538" i="1" s="1"/>
  <c r="M545" i="1" a="1"/>
  <c r="M545" i="1" s="1"/>
  <c r="M546" i="1" a="1"/>
  <c r="M546" i="1" s="1"/>
  <c r="M561" i="1" a="1"/>
  <c r="M561" i="1" s="1"/>
  <c r="M563" i="1" a="1"/>
  <c r="M563" i="1" s="1"/>
  <c r="M570" i="1" a="1"/>
  <c r="M570" i="1" s="1"/>
  <c r="M573" i="1" a="1"/>
  <c r="M573" i="1" s="1"/>
  <c r="M597" i="1" a="1"/>
  <c r="M597" i="1" s="1"/>
  <c r="M598" i="1" a="1"/>
  <c r="M598" i="1" s="1"/>
  <c r="M605" i="1" a="1"/>
  <c r="M605" i="1" s="1"/>
  <c r="M630" i="1" a="1"/>
  <c r="M630" i="1" s="1"/>
  <c r="M632" i="1" a="1"/>
  <c r="M632" i="1" s="1"/>
  <c r="M656" i="1" a="1"/>
  <c r="M656" i="1" s="1"/>
  <c r="M666" i="1" a="1"/>
  <c r="M666" i="1" s="1"/>
  <c r="M668" i="1" a="1"/>
  <c r="M668" i="1" s="1"/>
  <c r="M690" i="1" a="1"/>
  <c r="M690" i="1" s="1"/>
  <c r="M692" i="1" a="1"/>
  <c r="M692" i="1"/>
  <c r="M693" i="1" a="1"/>
  <c r="M693" i="1" s="1"/>
  <c r="M717" i="1" a="1"/>
  <c r="M717" i="1" s="1"/>
  <c r="M718" i="1" a="1"/>
  <c r="M718" i="1" s="1"/>
  <c r="M719" i="1" a="1"/>
  <c r="M719" i="1"/>
  <c r="M720" i="1" a="1"/>
  <c r="M720" i="1" s="1"/>
  <c r="M740" i="1" a="1"/>
  <c r="M740" i="1" s="1"/>
  <c r="M745" i="1" a="1"/>
  <c r="M745" i="1" s="1"/>
  <c r="M746" i="1" a="1"/>
  <c r="M746" i="1" s="1"/>
  <c r="M749" i="1" a="1"/>
  <c r="M749" i="1" s="1"/>
  <c r="M751" i="1" a="1"/>
  <c r="M751" i="1" s="1"/>
  <c r="M764" i="1" a="1"/>
  <c r="M764" i="1"/>
  <c r="M773" i="1" a="1"/>
  <c r="M773" i="1"/>
  <c r="M775" i="1"/>
  <c r="M776" i="1" a="1"/>
  <c r="M776" i="1"/>
  <c r="M785" i="1" a="1"/>
  <c r="M785" i="1"/>
  <c r="M786" i="1" a="1"/>
  <c r="M786" i="1" s="1"/>
  <c r="M802" i="1" a="1"/>
  <c r="M802" i="1"/>
  <c r="M822" i="1" a="1"/>
  <c r="M822" i="1" s="1"/>
  <c r="M823" i="1" a="1"/>
  <c r="M823" i="1" s="1"/>
  <c r="M825" i="1" a="1"/>
  <c r="M825" i="1" s="1"/>
  <c r="M828" i="1" a="1"/>
  <c r="M828" i="1" s="1"/>
  <c r="M830" i="1" a="1"/>
  <c r="M830" i="1" s="1"/>
  <c r="M845" i="1" a="1"/>
  <c r="M845" i="1" s="1"/>
  <c r="M852" i="1" a="1"/>
  <c r="M852" i="1"/>
  <c r="M854" i="1" a="1"/>
  <c r="M854" i="1" s="1"/>
  <c r="M857" i="1" a="1"/>
  <c r="M857" i="1" s="1"/>
  <c r="M869" i="1" a="1"/>
  <c r="M869" i="1"/>
  <c r="M872" i="1" a="1"/>
  <c r="M872" i="1" s="1"/>
  <c r="M896" i="1" a="1"/>
  <c r="M896" i="1" s="1"/>
  <c r="M898" i="1" a="1"/>
  <c r="M898" i="1" s="1"/>
  <c r="M908" i="1" a="1"/>
  <c r="M908" i="1"/>
  <c r="M909" i="1" a="1"/>
  <c r="M909" i="1" s="1"/>
  <c r="M910" i="1" a="1"/>
  <c r="M910" i="1" s="1"/>
  <c r="M911" i="1" a="1"/>
  <c r="M911" i="1" s="1"/>
  <c r="M915" i="1" a="1"/>
  <c r="M915" i="1" s="1"/>
  <c r="M920" i="1" a="1"/>
  <c r="M920" i="1" s="1"/>
  <c r="M933" i="1" a="1"/>
  <c r="M933" i="1" s="1"/>
  <c r="M934" i="1" a="1"/>
  <c r="M934" i="1" s="1"/>
  <c r="M943" i="1" a="1"/>
  <c r="M943" i="1" s="1"/>
  <c r="M955" i="1" a="1"/>
  <c r="M955" i="1"/>
  <c r="M956" i="1" a="1"/>
  <c r="M956" i="1"/>
  <c r="M957" i="1" a="1"/>
  <c r="M957" i="1" s="1"/>
  <c r="M967" i="1" a="1"/>
  <c r="M967" i="1" s="1"/>
  <c r="M977" i="1" a="1"/>
  <c r="M977" i="1" s="1"/>
  <c r="M980" i="1" a="1"/>
  <c r="M980" i="1" s="1"/>
  <c r="M989" i="1" a="1"/>
  <c r="M989" i="1"/>
  <c r="M990" i="1" a="1"/>
  <c r="M990" i="1" s="1"/>
  <c r="M993" i="1" a="1"/>
  <c r="M993" i="1" s="1"/>
  <c r="M994" i="1" a="1"/>
  <c r="M994" i="1" s="1"/>
  <c r="M1001" i="1" a="1"/>
  <c r="M1001" i="1" s="1"/>
  <c r="L464" i="1"/>
  <c r="L489" i="1"/>
  <c r="L490" i="1"/>
  <c r="L764" i="1"/>
  <c r="L944" i="1"/>
  <c r="K77" i="1" a="1"/>
  <c r="K77" i="1" s="1"/>
  <c r="K125" i="1" a="1"/>
  <c r="K125" i="1" s="1"/>
  <c r="K210" i="1" a="1"/>
  <c r="K210" i="1" s="1"/>
  <c r="K249" i="1" a="1"/>
  <c r="K249" i="1" s="1"/>
  <c r="K332" i="1" a="1"/>
  <c r="K332" i="1" s="1"/>
  <c r="K365" i="1" a="1"/>
  <c r="K365" i="1" s="1"/>
  <c r="K461" i="1" a="1"/>
  <c r="K461" i="1" s="1"/>
  <c r="K464" i="1" a="1"/>
  <c r="K464" i="1" s="1"/>
  <c r="K509" i="1" a="1"/>
  <c r="K509" i="1"/>
  <c r="K510" i="1" a="1"/>
  <c r="K510" i="1"/>
  <c r="K511" i="1" a="1"/>
  <c r="K511" i="1" s="1"/>
  <c r="K548" i="1" a="1"/>
  <c r="K548" i="1" s="1"/>
  <c r="K596" i="1" a="1"/>
  <c r="K596" i="1" s="1"/>
  <c r="K597" i="1" a="1"/>
  <c r="K597" i="1" s="1"/>
  <c r="K606" i="1" a="1"/>
  <c r="K606" i="1" s="1"/>
  <c r="K608" i="1" a="1"/>
  <c r="K608" i="1" s="1"/>
  <c r="K629" i="1" a="1"/>
  <c r="K629" i="1"/>
  <c r="K644" i="1" a="1"/>
  <c r="K644" i="1" s="1"/>
  <c r="K656" i="1" a="1"/>
  <c r="K656" i="1"/>
  <c r="K679" i="1" a="1"/>
  <c r="K679" i="1" s="1"/>
  <c r="K691" i="1" a="1"/>
  <c r="K691" i="1"/>
  <c r="K692" i="1" a="1"/>
  <c r="K692" i="1" s="1"/>
  <c r="K756" i="1" a="1"/>
  <c r="K756" i="1" s="1"/>
  <c r="K774" i="1" a="1"/>
  <c r="K774" i="1" s="1"/>
  <c r="K787" i="1" a="1"/>
  <c r="K787" i="1" s="1"/>
  <c r="K788" i="1" a="1"/>
  <c r="K788" i="1" s="1"/>
  <c r="K848" i="1" a="1"/>
  <c r="K848" i="1"/>
  <c r="K849" i="1" a="1"/>
  <c r="K849" i="1" s="1"/>
  <c r="K858" i="1" a="1"/>
  <c r="K858" i="1" s="1"/>
  <c r="K863" i="1" a="1"/>
  <c r="K863" i="1"/>
  <c r="K878" i="1" a="1"/>
  <c r="K878" i="1" s="1"/>
  <c r="K944" i="1" a="1"/>
  <c r="K944" i="1"/>
  <c r="K954" i="1" a="1"/>
  <c r="K954" i="1" s="1"/>
  <c r="J19" i="1"/>
  <c r="J20" i="1"/>
  <c r="J21" i="1"/>
  <c r="J22" i="1"/>
  <c r="J23" i="1"/>
  <c r="J24" i="1"/>
  <c r="J68" i="1"/>
  <c r="M68" i="1" s="1" a="1"/>
  <c r="M68" i="1" s="1"/>
  <c r="J89" i="1"/>
  <c r="M89" i="1" s="1" a="1"/>
  <c r="M89" i="1" s="1"/>
  <c r="J90" i="1"/>
  <c r="J91" i="1"/>
  <c r="J101" i="1"/>
  <c r="J106" i="1"/>
  <c r="J113" i="1"/>
  <c r="J114" i="1"/>
  <c r="J115" i="1"/>
  <c r="J128" i="1"/>
  <c r="M128" i="1" s="1" a="1"/>
  <c r="M128" i="1" s="1"/>
  <c r="J129" i="1"/>
  <c r="M129" i="1" s="1" a="1"/>
  <c r="M129" i="1" s="1"/>
  <c r="J153" i="1"/>
  <c r="J177" i="1"/>
  <c r="J185" i="1"/>
  <c r="J186" i="1"/>
  <c r="J187" i="1"/>
  <c r="J197" i="1"/>
  <c r="J233" i="1"/>
  <c r="J234" i="1"/>
  <c r="J235" i="1"/>
  <c r="J239" i="1"/>
  <c r="M239" i="1" s="1" a="1"/>
  <c r="M239" i="1" s="1"/>
  <c r="J259" i="1"/>
  <c r="J260" i="1"/>
  <c r="J297" i="1"/>
  <c r="J305" i="1"/>
  <c r="J306" i="1"/>
  <c r="J307" i="1"/>
  <c r="J320" i="1"/>
  <c r="J321" i="1"/>
  <c r="J346" i="1"/>
  <c r="J368" i="1"/>
  <c r="J369" i="1"/>
  <c r="J377" i="1"/>
  <c r="J391" i="1"/>
  <c r="J401" i="1"/>
  <c r="J403" i="1"/>
  <c r="J404" i="1"/>
  <c r="L404" i="1" s="1"/>
  <c r="J407" i="1"/>
  <c r="J408" i="1"/>
  <c r="J426" i="1"/>
  <c r="K426" i="1" s="1" a="1"/>
  <c r="K426" i="1" s="1"/>
  <c r="J450" i="1"/>
  <c r="K450" i="1" s="1" a="1"/>
  <c r="K450" i="1" s="1"/>
  <c r="J451" i="1"/>
  <c r="J452" i="1"/>
  <c r="J487" i="1"/>
  <c r="J500" i="1"/>
  <c r="J501" i="1"/>
  <c r="J502" i="1"/>
  <c r="J521" i="1"/>
  <c r="J533" i="1"/>
  <c r="J569" i="1"/>
  <c r="J581" i="1"/>
  <c r="J585" i="1"/>
  <c r="J629" i="1"/>
  <c r="J633" i="1"/>
  <c r="J634" i="1"/>
  <c r="J635" i="1"/>
  <c r="J641" i="1"/>
  <c r="J665" i="1"/>
  <c r="J677" i="1"/>
  <c r="J681" i="1"/>
  <c r="J713" i="1"/>
  <c r="J725" i="1"/>
  <c r="J737" i="1"/>
  <c r="J759" i="1"/>
  <c r="J773" i="1"/>
  <c r="J777" i="1"/>
  <c r="J821" i="1"/>
  <c r="J825" i="1"/>
  <c r="J833" i="1"/>
  <c r="J857" i="1"/>
  <c r="J869" i="1"/>
  <c r="J881" i="1"/>
  <c r="J929" i="1"/>
  <c r="J935" i="1"/>
  <c r="M935" i="1" s="1" a="1"/>
  <c r="M935" i="1" s="1"/>
  <c r="J965" i="1"/>
  <c r="J977" i="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I20" i="1"/>
  <c r="I21" i="1"/>
  <c r="I22" i="1"/>
  <c r="I23" i="1"/>
  <c r="I24" i="1"/>
  <c r="I25" i="1"/>
  <c r="J25" i="1" s="1"/>
  <c r="I26" i="1"/>
  <c r="J26" i="1" s="1"/>
  <c r="I27" i="1"/>
  <c r="J27" i="1" s="1"/>
  <c r="K27" i="1" s="1" a="1"/>
  <c r="K27" i="1" s="1"/>
  <c r="I28" i="1"/>
  <c r="J28" i="1" s="1"/>
  <c r="K28" i="1" s="1" a="1"/>
  <c r="K28" i="1" s="1"/>
  <c r="I29" i="1"/>
  <c r="J29" i="1" s="1"/>
  <c r="M29" i="1" s="1" a="1"/>
  <c r="M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M43" i="1" s="1" a="1"/>
  <c r="M43" i="1" s="1"/>
  <c r="I44" i="1"/>
  <c r="J44" i="1" s="1"/>
  <c r="I45" i="1"/>
  <c r="J45" i="1" s="1"/>
  <c r="I46" i="1"/>
  <c r="J46" i="1" s="1"/>
  <c r="I47" i="1"/>
  <c r="J47" i="1" s="1"/>
  <c r="I48" i="1"/>
  <c r="J48" i="1" s="1"/>
  <c r="I49" i="1"/>
  <c r="J49" i="1" s="1"/>
  <c r="I50" i="1"/>
  <c r="J50" i="1" s="1"/>
  <c r="I51" i="1"/>
  <c r="J51" i="1" s="1"/>
  <c r="I52" i="1"/>
  <c r="J52" i="1" s="1"/>
  <c r="I53" i="1"/>
  <c r="J53" i="1" s="1"/>
  <c r="M53" i="1" s="1" a="1"/>
  <c r="M53" i="1" s="1"/>
  <c r="I54" i="1"/>
  <c r="J54" i="1" s="1"/>
  <c r="I55" i="1"/>
  <c r="J55" i="1" s="1"/>
  <c r="I56" i="1"/>
  <c r="J56" i="1" s="1"/>
  <c r="I57" i="1"/>
  <c r="J57" i="1" s="1"/>
  <c r="I58" i="1"/>
  <c r="J58" i="1" s="1"/>
  <c r="I59" i="1"/>
  <c r="J59" i="1" s="1"/>
  <c r="I60" i="1"/>
  <c r="J60" i="1" s="1"/>
  <c r="I61" i="1"/>
  <c r="J61" i="1" s="1"/>
  <c r="M61" i="1" s="1" a="1"/>
  <c r="M61" i="1" s="1"/>
  <c r="I62" i="1"/>
  <c r="J62" i="1" s="1"/>
  <c r="I63" i="1"/>
  <c r="J63" i="1" s="1"/>
  <c r="I64" i="1"/>
  <c r="J64" i="1" s="1"/>
  <c r="I65" i="1"/>
  <c r="J65" i="1" s="1"/>
  <c r="M65" i="1" s="1" a="1"/>
  <c r="M65" i="1" s="1"/>
  <c r="I66" i="1"/>
  <c r="J66" i="1" s="1"/>
  <c r="I67" i="1"/>
  <c r="J67" i="1" s="1"/>
  <c r="I68" i="1"/>
  <c r="I69" i="1"/>
  <c r="J69" i="1" s="1"/>
  <c r="I70" i="1"/>
  <c r="J70" i="1" s="1"/>
  <c r="I71" i="1"/>
  <c r="J71" i="1" s="1"/>
  <c r="I72" i="1"/>
  <c r="J72" i="1" s="1"/>
  <c r="I73" i="1"/>
  <c r="J73" i="1" s="1"/>
  <c r="I74" i="1"/>
  <c r="J74" i="1" s="1"/>
  <c r="I75" i="1"/>
  <c r="J75" i="1" s="1"/>
  <c r="I76" i="1"/>
  <c r="J76" i="1" s="1"/>
  <c r="I77" i="1"/>
  <c r="J77" i="1" s="1"/>
  <c r="M77" i="1" s="1" a="1"/>
  <c r="M77" i="1" s="1"/>
  <c r="I78" i="1"/>
  <c r="J78" i="1" s="1"/>
  <c r="I79" i="1"/>
  <c r="J79" i="1" s="1"/>
  <c r="I80" i="1"/>
  <c r="J80" i="1" s="1"/>
  <c r="I81" i="1"/>
  <c r="J81" i="1" s="1"/>
  <c r="I82" i="1"/>
  <c r="J82" i="1" s="1"/>
  <c r="I83" i="1"/>
  <c r="J83" i="1" s="1"/>
  <c r="I84" i="1"/>
  <c r="J84" i="1" s="1"/>
  <c r="I85" i="1"/>
  <c r="J85" i="1" s="1"/>
  <c r="I86" i="1"/>
  <c r="J86" i="1" s="1"/>
  <c r="I87" i="1"/>
  <c r="J87" i="1" s="1"/>
  <c r="I88" i="1"/>
  <c r="J88" i="1" s="1"/>
  <c r="I89" i="1"/>
  <c r="I90" i="1"/>
  <c r="I91" i="1"/>
  <c r="I92" i="1"/>
  <c r="J92" i="1" s="1"/>
  <c r="I93" i="1"/>
  <c r="J93" i="1" s="1"/>
  <c r="I94" i="1"/>
  <c r="J94" i="1" s="1"/>
  <c r="I95" i="1"/>
  <c r="J95" i="1" s="1"/>
  <c r="I96" i="1"/>
  <c r="J96" i="1" s="1"/>
  <c r="I97" i="1"/>
  <c r="J97" i="1" s="1"/>
  <c r="I98" i="1"/>
  <c r="J98" i="1" s="1"/>
  <c r="I99" i="1"/>
  <c r="J99" i="1" s="1"/>
  <c r="I100" i="1"/>
  <c r="J100" i="1" s="1"/>
  <c r="I101" i="1"/>
  <c r="I102" i="1"/>
  <c r="J102" i="1" s="1"/>
  <c r="I103" i="1"/>
  <c r="J103" i="1" s="1"/>
  <c r="M103" i="1" s="1" a="1"/>
  <c r="M103" i="1" s="1"/>
  <c r="I104" i="1"/>
  <c r="J104" i="1" s="1"/>
  <c r="I105" i="1"/>
  <c r="J105" i="1" s="1"/>
  <c r="M105" i="1" s="1" a="1"/>
  <c r="M105" i="1" s="1"/>
  <c r="I106" i="1"/>
  <c r="I107" i="1"/>
  <c r="J107" i="1" s="1"/>
  <c r="I108" i="1"/>
  <c r="J108" i="1" s="1"/>
  <c r="I109" i="1"/>
  <c r="J109" i="1" s="1"/>
  <c r="I110" i="1"/>
  <c r="J110" i="1" s="1"/>
  <c r="I111" i="1"/>
  <c r="J111" i="1" s="1"/>
  <c r="I112" i="1"/>
  <c r="J112" i="1" s="1"/>
  <c r="I113" i="1"/>
  <c r="I114" i="1"/>
  <c r="I115" i="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I129" i="1"/>
  <c r="I130" i="1"/>
  <c r="J130" i="1" s="1"/>
  <c r="I131" i="1"/>
  <c r="J131" i="1" s="1"/>
  <c r="I132" i="1"/>
  <c r="J132" i="1" s="1"/>
  <c r="I133" i="1"/>
  <c r="J133" i="1" s="1"/>
  <c r="I134" i="1"/>
  <c r="J134" i="1" s="1"/>
  <c r="I135" i="1"/>
  <c r="J135" i="1" s="1"/>
  <c r="I136" i="1"/>
  <c r="J136" i="1" s="1"/>
  <c r="I137" i="1"/>
  <c r="J137" i="1" s="1"/>
  <c r="M137" i="1" s="1" a="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M151" i="1" s="1" a="1"/>
  <c r="M151" i="1" s="1"/>
  <c r="I152" i="1"/>
  <c r="J152" i="1" s="1"/>
  <c r="I153" i="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M169" i="1" s="1" a="1"/>
  <c r="M169" i="1" s="1"/>
  <c r="I170" i="1"/>
  <c r="J170" i="1" s="1"/>
  <c r="I171" i="1"/>
  <c r="J171" i="1" s="1"/>
  <c r="I172" i="1"/>
  <c r="J172" i="1" s="1"/>
  <c r="I173" i="1"/>
  <c r="J173" i="1" s="1"/>
  <c r="I174" i="1"/>
  <c r="J174" i="1" s="1"/>
  <c r="I175" i="1"/>
  <c r="J175" i="1" s="1"/>
  <c r="I176" i="1"/>
  <c r="J176" i="1" s="1"/>
  <c r="I177" i="1"/>
  <c r="I178" i="1"/>
  <c r="J178" i="1" s="1"/>
  <c r="I179" i="1"/>
  <c r="J179" i="1" s="1"/>
  <c r="I180" i="1"/>
  <c r="J180" i="1" s="1"/>
  <c r="I181" i="1"/>
  <c r="J181" i="1" s="1"/>
  <c r="I182" i="1"/>
  <c r="J182" i="1" s="1"/>
  <c r="I183" i="1"/>
  <c r="J183" i="1" s="1"/>
  <c r="I184" i="1"/>
  <c r="J184" i="1" s="1"/>
  <c r="I185" i="1"/>
  <c r="I186" i="1"/>
  <c r="I187" i="1"/>
  <c r="I188" i="1"/>
  <c r="J188" i="1" s="1"/>
  <c r="I189" i="1"/>
  <c r="J189" i="1" s="1"/>
  <c r="I190" i="1"/>
  <c r="J190" i="1" s="1"/>
  <c r="I191" i="1"/>
  <c r="J191" i="1" s="1"/>
  <c r="I192" i="1"/>
  <c r="J192" i="1" s="1"/>
  <c r="I193" i="1"/>
  <c r="J193" i="1" s="1"/>
  <c r="I194" i="1"/>
  <c r="J194" i="1" s="1"/>
  <c r="I195" i="1"/>
  <c r="J195" i="1" s="1"/>
  <c r="I196" i="1"/>
  <c r="J196" i="1" s="1"/>
  <c r="I197" i="1"/>
  <c r="I198" i="1"/>
  <c r="J198" i="1" s="1"/>
  <c r="I199" i="1"/>
  <c r="J199" i="1" s="1"/>
  <c r="M199" i="1" s="1" a="1"/>
  <c r="M199" i="1" s="1"/>
  <c r="I200" i="1"/>
  <c r="J200" i="1" s="1"/>
  <c r="I201" i="1"/>
  <c r="J201" i="1" s="1"/>
  <c r="I202" i="1"/>
  <c r="J202" i="1" s="1"/>
  <c r="I203" i="1"/>
  <c r="J203" i="1" s="1"/>
  <c r="I204" i="1"/>
  <c r="J204" i="1" s="1"/>
  <c r="I205" i="1"/>
  <c r="J205" i="1" s="1"/>
  <c r="I206" i="1"/>
  <c r="J206" i="1" s="1"/>
  <c r="I207" i="1"/>
  <c r="J207" i="1" s="1"/>
  <c r="I208" i="1"/>
  <c r="J208" i="1" s="1"/>
  <c r="I209" i="1"/>
  <c r="J209" i="1" s="1"/>
  <c r="M209" i="1" s="1" a="1"/>
  <c r="M209" i="1" s="1"/>
  <c r="I210" i="1"/>
  <c r="J210" i="1" s="1"/>
  <c r="I211" i="1"/>
  <c r="J211" i="1" s="1"/>
  <c r="I212" i="1"/>
  <c r="J212" i="1" s="1"/>
  <c r="I213" i="1"/>
  <c r="J213" i="1" s="1"/>
  <c r="M213" i="1" s="1" a="1"/>
  <c r="M213" i="1" s="1"/>
  <c r="I214" i="1"/>
  <c r="J214" i="1" s="1"/>
  <c r="I215" i="1"/>
  <c r="J215" i="1" s="1"/>
  <c r="I216" i="1"/>
  <c r="J216" i="1" s="1"/>
  <c r="I217" i="1"/>
  <c r="J217" i="1" s="1"/>
  <c r="I218" i="1"/>
  <c r="J218" i="1" s="1"/>
  <c r="I219" i="1"/>
  <c r="J219" i="1" s="1"/>
  <c r="I220" i="1"/>
  <c r="J220" i="1" s="1"/>
  <c r="I221" i="1"/>
  <c r="J221" i="1" s="1"/>
  <c r="M221" i="1" s="1" a="1"/>
  <c r="M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L232" i="1" s="1"/>
  <c r="I233" i="1"/>
  <c r="I234" i="1"/>
  <c r="I235" i="1"/>
  <c r="I236" i="1"/>
  <c r="J236" i="1" s="1"/>
  <c r="I237" i="1"/>
  <c r="J237" i="1" s="1"/>
  <c r="I238" i="1"/>
  <c r="J238" i="1" s="1"/>
  <c r="I239" i="1"/>
  <c r="I240" i="1"/>
  <c r="J240" i="1" s="1"/>
  <c r="I241" i="1"/>
  <c r="J241" i="1" s="1"/>
  <c r="I242" i="1"/>
  <c r="J242" i="1" s="1"/>
  <c r="I243" i="1"/>
  <c r="J243" i="1" s="1"/>
  <c r="M243" i="1" s="1" a="1"/>
  <c r="M243" i="1" s="1"/>
  <c r="I244" i="1"/>
  <c r="J244" i="1" s="1"/>
  <c r="I245" i="1"/>
  <c r="J245" i="1" s="1"/>
  <c r="M245" i="1" s="1" a="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M257" i="1" s="1" a="1"/>
  <c r="I258" i="1"/>
  <c r="J258" i="1" s="1"/>
  <c r="I259" i="1"/>
  <c r="I260" i="1"/>
  <c r="I261" i="1"/>
  <c r="J261" i="1" s="1"/>
  <c r="I262" i="1"/>
  <c r="J262" i="1" s="1"/>
  <c r="I263" i="1"/>
  <c r="J263" i="1" s="1"/>
  <c r="I264" i="1"/>
  <c r="J264" i="1" s="1"/>
  <c r="I265" i="1"/>
  <c r="J265" i="1" s="1"/>
  <c r="I266" i="1"/>
  <c r="J266" i="1" s="1"/>
  <c r="I267" i="1"/>
  <c r="J267" i="1" s="1"/>
  <c r="I268" i="1"/>
  <c r="J268" i="1" s="1"/>
  <c r="M268" i="1" s="1" a="1"/>
  <c r="M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K292" i="1" s="1" a="1"/>
  <c r="K292" i="1" s="1"/>
  <c r="I293" i="1"/>
  <c r="J293" i="1" s="1"/>
  <c r="I294" i="1"/>
  <c r="J294" i="1" s="1"/>
  <c r="I295" i="1"/>
  <c r="J295" i="1" s="1"/>
  <c r="I296" i="1"/>
  <c r="J296" i="1" s="1"/>
  <c r="I297" i="1"/>
  <c r="I298" i="1"/>
  <c r="J298" i="1" s="1"/>
  <c r="I299" i="1"/>
  <c r="J299" i="1" s="1"/>
  <c r="I300" i="1"/>
  <c r="J300" i="1" s="1"/>
  <c r="M300" i="1" s="1" a="1"/>
  <c r="M300" i="1" s="1"/>
  <c r="I301" i="1"/>
  <c r="J301" i="1" s="1"/>
  <c r="I302" i="1"/>
  <c r="J302" i="1" s="1"/>
  <c r="I303" i="1"/>
  <c r="J303" i="1" s="1"/>
  <c r="I304" i="1"/>
  <c r="J304" i="1" s="1"/>
  <c r="I305" i="1"/>
  <c r="I306" i="1"/>
  <c r="I307" i="1"/>
  <c r="I308" i="1"/>
  <c r="J308" i="1" s="1"/>
  <c r="I309" i="1"/>
  <c r="J309" i="1" s="1"/>
  <c r="I310" i="1"/>
  <c r="J310" i="1" s="1"/>
  <c r="I311" i="1"/>
  <c r="J311" i="1" s="1"/>
  <c r="I312" i="1"/>
  <c r="J312" i="1" s="1"/>
  <c r="I313" i="1"/>
  <c r="J313" i="1" s="1"/>
  <c r="I314" i="1"/>
  <c r="J314" i="1" s="1"/>
  <c r="I315" i="1"/>
  <c r="J315" i="1" s="1"/>
  <c r="I316" i="1"/>
  <c r="J316" i="1" s="1"/>
  <c r="I317" i="1"/>
  <c r="J317" i="1" s="1"/>
  <c r="I318" i="1"/>
  <c r="J318" i="1" s="1"/>
  <c r="I319" i="1"/>
  <c r="J319" i="1" s="1"/>
  <c r="I320" i="1"/>
  <c r="I321" i="1"/>
  <c r="I322" i="1"/>
  <c r="J322" i="1" s="1"/>
  <c r="I323" i="1"/>
  <c r="J323" i="1" s="1"/>
  <c r="I324" i="1"/>
  <c r="J324" i="1" s="1"/>
  <c r="I325" i="1"/>
  <c r="J325" i="1" s="1"/>
  <c r="I326" i="1"/>
  <c r="J326" i="1" s="1"/>
  <c r="M326" i="1" s="1" a="1"/>
  <c r="M326" i="1" s="1"/>
  <c r="I327" i="1"/>
  <c r="J327" i="1" s="1"/>
  <c r="I328" i="1"/>
  <c r="J328" i="1" s="1"/>
  <c r="I329" i="1"/>
  <c r="J329" i="1" s="1"/>
  <c r="I330" i="1"/>
  <c r="J330" i="1" s="1"/>
  <c r="I331" i="1"/>
  <c r="J331" i="1" s="1"/>
  <c r="I332" i="1"/>
  <c r="J332" i="1" s="1"/>
  <c r="I333" i="1"/>
  <c r="J333" i="1" s="1"/>
  <c r="K333" i="1" s="1" a="1"/>
  <c r="K333" i="1" s="1"/>
  <c r="I334" i="1"/>
  <c r="J334" i="1" s="1"/>
  <c r="I335" i="1"/>
  <c r="J335" i="1" s="1"/>
  <c r="I336" i="1"/>
  <c r="J336" i="1" s="1"/>
  <c r="I337" i="1"/>
  <c r="J337" i="1" s="1"/>
  <c r="I338" i="1"/>
  <c r="J338" i="1" s="1"/>
  <c r="I339" i="1"/>
  <c r="J339" i="1" s="1"/>
  <c r="K339" i="1" s="1" a="1"/>
  <c r="K339" i="1" s="1"/>
  <c r="I340" i="1"/>
  <c r="J340" i="1" s="1"/>
  <c r="I341" i="1"/>
  <c r="J341" i="1" s="1"/>
  <c r="I342" i="1"/>
  <c r="J342" i="1" s="1"/>
  <c r="I343" i="1"/>
  <c r="J343" i="1" s="1"/>
  <c r="I344" i="1"/>
  <c r="J344" i="1" s="1"/>
  <c r="I345" i="1"/>
  <c r="J345" i="1" s="1"/>
  <c r="I346" i="1"/>
  <c r="I347" i="1"/>
  <c r="J347" i="1" s="1"/>
  <c r="I348" i="1"/>
  <c r="J348" i="1" s="1"/>
  <c r="I349" i="1"/>
  <c r="J349" i="1" s="1"/>
  <c r="I350" i="1"/>
  <c r="J350" i="1" s="1"/>
  <c r="I351" i="1"/>
  <c r="J351" i="1" s="1"/>
  <c r="I352" i="1"/>
  <c r="J352" i="1" s="1"/>
  <c r="I353" i="1"/>
  <c r="J353" i="1" s="1"/>
  <c r="I354" i="1"/>
  <c r="J354" i="1" s="1"/>
  <c r="I355" i="1"/>
  <c r="J355" i="1" s="1"/>
  <c r="I356" i="1"/>
  <c r="J356" i="1" s="1"/>
  <c r="I357" i="1"/>
  <c r="J357" i="1" s="1"/>
  <c r="M357" i="1" s="1" a="1"/>
  <c r="M357" i="1" s="1"/>
  <c r="I358" i="1"/>
  <c r="J358" i="1" s="1"/>
  <c r="I359" i="1"/>
  <c r="J359" i="1" s="1"/>
  <c r="I360" i="1"/>
  <c r="J360" i="1" s="1"/>
  <c r="I361" i="1"/>
  <c r="J361" i="1" s="1"/>
  <c r="I362" i="1"/>
  <c r="J362" i="1" s="1"/>
  <c r="I363" i="1"/>
  <c r="J363" i="1" s="1"/>
  <c r="I364" i="1"/>
  <c r="J364" i="1" s="1"/>
  <c r="I365" i="1"/>
  <c r="J365" i="1" s="1"/>
  <c r="M365" i="1" s="1" a="1"/>
  <c r="M365" i="1" s="1"/>
  <c r="I366" i="1"/>
  <c r="J366" i="1" s="1"/>
  <c r="I367" i="1"/>
  <c r="J367" i="1" s="1"/>
  <c r="I368" i="1"/>
  <c r="I369" i="1"/>
  <c r="I370" i="1"/>
  <c r="J370" i="1" s="1"/>
  <c r="I371" i="1"/>
  <c r="J371" i="1" s="1"/>
  <c r="I372" i="1"/>
  <c r="J372" i="1" s="1"/>
  <c r="I373" i="1"/>
  <c r="J373" i="1" s="1"/>
  <c r="I374" i="1"/>
  <c r="J374" i="1" s="1"/>
  <c r="I375" i="1"/>
  <c r="J375" i="1" s="1"/>
  <c r="K375" i="1" s="1" a="1"/>
  <c r="K375" i="1" s="1"/>
  <c r="I376" i="1"/>
  <c r="J376" i="1" s="1"/>
  <c r="K376" i="1" s="1" a="1"/>
  <c r="K376" i="1" s="1"/>
  <c r="I377" i="1"/>
  <c r="I378" i="1"/>
  <c r="J378" i="1" s="1"/>
  <c r="I379" i="1"/>
  <c r="J379" i="1" s="1"/>
  <c r="I380" i="1"/>
  <c r="J380" i="1" s="1"/>
  <c r="I381" i="1"/>
  <c r="J381" i="1" s="1"/>
  <c r="I382" i="1"/>
  <c r="J382" i="1" s="1"/>
  <c r="I383" i="1"/>
  <c r="J383" i="1" s="1"/>
  <c r="I384" i="1"/>
  <c r="J384" i="1" s="1"/>
  <c r="I385" i="1"/>
  <c r="J385" i="1" s="1"/>
  <c r="I386" i="1"/>
  <c r="J386" i="1" s="1"/>
  <c r="I387" i="1"/>
  <c r="J387" i="1" s="1"/>
  <c r="I388" i="1"/>
  <c r="J388" i="1" s="1"/>
  <c r="K388" i="1" s="1" a="1"/>
  <c r="K388" i="1" s="1"/>
  <c r="I389" i="1"/>
  <c r="J389" i="1" s="1"/>
  <c r="I390" i="1"/>
  <c r="J390" i="1" s="1"/>
  <c r="I391" i="1"/>
  <c r="I392" i="1"/>
  <c r="J392" i="1" s="1"/>
  <c r="I393" i="1"/>
  <c r="J393" i="1" s="1"/>
  <c r="I394" i="1"/>
  <c r="J394" i="1" s="1"/>
  <c r="I395" i="1"/>
  <c r="J395" i="1" s="1"/>
  <c r="I396" i="1"/>
  <c r="J396" i="1" s="1"/>
  <c r="I397" i="1"/>
  <c r="J397" i="1" s="1"/>
  <c r="I398" i="1"/>
  <c r="J398" i="1" s="1"/>
  <c r="I399" i="1"/>
  <c r="J399" i="1" s="1"/>
  <c r="I400" i="1"/>
  <c r="J400" i="1" s="1"/>
  <c r="I401" i="1"/>
  <c r="I402" i="1"/>
  <c r="J402" i="1" s="1"/>
  <c r="I403" i="1"/>
  <c r="I404" i="1"/>
  <c r="I405" i="1"/>
  <c r="J405" i="1" s="1"/>
  <c r="I406" i="1"/>
  <c r="J406" i="1" s="1"/>
  <c r="I407" i="1"/>
  <c r="I408" i="1"/>
  <c r="I409" i="1"/>
  <c r="J409" i="1" s="1"/>
  <c r="I410" i="1"/>
  <c r="J410" i="1" s="1"/>
  <c r="I411" i="1"/>
  <c r="J411" i="1" s="1"/>
  <c r="I412" i="1"/>
  <c r="J412" i="1" s="1"/>
  <c r="I413" i="1"/>
  <c r="J413" i="1" s="1"/>
  <c r="I414" i="1"/>
  <c r="J414" i="1" s="1"/>
  <c r="I415" i="1"/>
  <c r="J415" i="1" s="1"/>
  <c r="I416" i="1"/>
  <c r="J416" i="1" s="1"/>
  <c r="I417" i="1"/>
  <c r="J417" i="1" s="1"/>
  <c r="L417" i="1" s="1"/>
  <c r="I418" i="1"/>
  <c r="J418" i="1" s="1"/>
  <c r="I419" i="1"/>
  <c r="J419" i="1" s="1"/>
  <c r="I420" i="1"/>
  <c r="J420" i="1" s="1"/>
  <c r="I421" i="1"/>
  <c r="J421" i="1" s="1"/>
  <c r="I422" i="1"/>
  <c r="J422" i="1" s="1"/>
  <c r="I423" i="1"/>
  <c r="J423" i="1" s="1"/>
  <c r="I424" i="1"/>
  <c r="J424" i="1" s="1"/>
  <c r="I425" i="1"/>
  <c r="J425" i="1" s="1"/>
  <c r="I426" i="1"/>
  <c r="I427" i="1"/>
  <c r="J427" i="1" s="1"/>
  <c r="I428" i="1"/>
  <c r="J428" i="1" s="1"/>
  <c r="I429" i="1"/>
  <c r="J429" i="1" s="1"/>
  <c r="I430" i="1"/>
  <c r="J430" i="1" s="1"/>
  <c r="I431" i="1"/>
  <c r="J431" i="1" s="1"/>
  <c r="M431" i="1" s="1" a="1"/>
  <c r="M431" i="1" s="1"/>
  <c r="I432" i="1"/>
  <c r="J432" i="1" s="1"/>
  <c r="I433" i="1"/>
  <c r="J433" i="1" s="1"/>
  <c r="I434" i="1"/>
  <c r="J434" i="1" s="1"/>
  <c r="I435" i="1"/>
  <c r="J435" i="1" s="1"/>
  <c r="I436" i="1"/>
  <c r="J436" i="1" s="1"/>
  <c r="I437" i="1"/>
  <c r="J437" i="1" s="1"/>
  <c r="I438" i="1"/>
  <c r="J438" i="1" s="1"/>
  <c r="I439" i="1"/>
  <c r="J439" i="1" s="1"/>
  <c r="I440" i="1"/>
  <c r="J440" i="1" s="1"/>
  <c r="I441" i="1"/>
  <c r="J441" i="1" s="1"/>
  <c r="I442" i="1"/>
  <c r="J442" i="1" s="1"/>
  <c r="I443" i="1"/>
  <c r="J443" i="1" s="1"/>
  <c r="I444" i="1"/>
  <c r="J444" i="1" s="1"/>
  <c r="I445" i="1"/>
  <c r="J445" i="1" s="1"/>
  <c r="I446" i="1"/>
  <c r="J446" i="1" s="1"/>
  <c r="I447" i="1"/>
  <c r="J447" i="1" s="1"/>
  <c r="I448" i="1"/>
  <c r="J448" i="1" s="1"/>
  <c r="I449" i="1"/>
  <c r="J449" i="1" s="1"/>
  <c r="I450" i="1"/>
  <c r="I451" i="1"/>
  <c r="I452" i="1"/>
  <c r="I453" i="1"/>
  <c r="J453" i="1" s="1"/>
  <c r="I454" i="1"/>
  <c r="J454" i="1" s="1"/>
  <c r="I455" i="1"/>
  <c r="J455" i="1" s="1"/>
  <c r="I456" i="1"/>
  <c r="J456" i="1" s="1"/>
  <c r="I457" i="1"/>
  <c r="J457" i="1" s="1"/>
  <c r="I458" i="1"/>
  <c r="J458" i="1" s="1"/>
  <c r="I459" i="1"/>
  <c r="J459" i="1" s="1"/>
  <c r="I460" i="1"/>
  <c r="J460" i="1" s="1"/>
  <c r="M460" i="1" s="1" a="1"/>
  <c r="M460" i="1" s="1"/>
  <c r="I461" i="1"/>
  <c r="J461" i="1" s="1"/>
  <c r="I462" i="1"/>
  <c r="J462" i="1" s="1"/>
  <c r="I463" i="1"/>
  <c r="J463" i="1" s="1"/>
  <c r="I464" i="1"/>
  <c r="J464" i="1" s="1"/>
  <c r="I465" i="1"/>
  <c r="J465" i="1" s="1"/>
  <c r="I466" i="1"/>
  <c r="J466" i="1" s="1"/>
  <c r="I467" i="1"/>
  <c r="J467" i="1" s="1"/>
  <c r="M467" i="1" s="1" a="1"/>
  <c r="M467" i="1" s="1"/>
  <c r="I468" i="1"/>
  <c r="J468" i="1" s="1"/>
  <c r="M468" i="1" s="1" a="1"/>
  <c r="M468" i="1" s="1"/>
  <c r="I469" i="1"/>
  <c r="J469" i="1" s="1"/>
  <c r="I470" i="1"/>
  <c r="J470" i="1" s="1"/>
  <c r="I471" i="1"/>
  <c r="J471" i="1" s="1"/>
  <c r="I472" i="1"/>
  <c r="J472" i="1" s="1"/>
  <c r="I473" i="1"/>
  <c r="J473" i="1" s="1"/>
  <c r="I474" i="1"/>
  <c r="J474" i="1" s="1"/>
  <c r="I475" i="1"/>
  <c r="J475" i="1" s="1"/>
  <c r="I476" i="1"/>
  <c r="J476" i="1" s="1"/>
  <c r="I477" i="1"/>
  <c r="J477" i="1" s="1"/>
  <c r="I478" i="1"/>
  <c r="J478" i="1" s="1"/>
  <c r="I479" i="1"/>
  <c r="J479" i="1" s="1"/>
  <c r="I480" i="1"/>
  <c r="J480" i="1" s="1"/>
  <c r="I481" i="1"/>
  <c r="J481" i="1" s="1"/>
  <c r="I482" i="1"/>
  <c r="J482" i="1" s="1"/>
  <c r="I483" i="1"/>
  <c r="J483" i="1" s="1"/>
  <c r="I484" i="1"/>
  <c r="J484" i="1" s="1"/>
  <c r="M484" i="1" s="1" a="1"/>
  <c r="M484" i="1" s="1"/>
  <c r="I485" i="1"/>
  <c r="J485" i="1" s="1"/>
  <c r="I486" i="1"/>
  <c r="J486" i="1" s="1"/>
  <c r="M486" i="1" s="1" a="1"/>
  <c r="M486" i="1" s="1"/>
  <c r="I487" i="1"/>
  <c r="I488" i="1"/>
  <c r="J488" i="1" s="1"/>
  <c r="I489" i="1"/>
  <c r="J489" i="1" s="1"/>
  <c r="I490" i="1"/>
  <c r="J490" i="1" s="1"/>
  <c r="I491" i="1"/>
  <c r="J491" i="1" s="1"/>
  <c r="I492" i="1"/>
  <c r="J492" i="1" s="1"/>
  <c r="I493" i="1"/>
  <c r="J493" i="1" s="1"/>
  <c r="I494" i="1"/>
  <c r="J494" i="1" s="1"/>
  <c r="M494" i="1" s="1" a="1"/>
  <c r="M494" i="1" s="1"/>
  <c r="I495" i="1"/>
  <c r="J495" i="1" s="1"/>
  <c r="M495" i="1" s="1" a="1"/>
  <c r="M495" i="1" s="1"/>
  <c r="I496" i="1"/>
  <c r="J496" i="1" s="1"/>
  <c r="I497" i="1"/>
  <c r="J497" i="1" s="1"/>
  <c r="I498" i="1"/>
  <c r="J498" i="1" s="1"/>
  <c r="I499" i="1"/>
  <c r="J499" i="1" s="1"/>
  <c r="I500" i="1"/>
  <c r="I501" i="1"/>
  <c r="I502" i="1"/>
  <c r="I503" i="1"/>
  <c r="J503" i="1" s="1"/>
  <c r="I504" i="1"/>
  <c r="J504" i="1" s="1"/>
  <c r="I505" i="1"/>
  <c r="J505" i="1" s="1"/>
  <c r="I506" i="1"/>
  <c r="J506" i="1" s="1"/>
  <c r="I507" i="1"/>
  <c r="J507" i="1" s="1"/>
  <c r="I508" i="1"/>
  <c r="J508" i="1" s="1"/>
  <c r="I509" i="1"/>
  <c r="J509" i="1" s="1"/>
  <c r="I510" i="1"/>
  <c r="J510" i="1" s="1"/>
  <c r="I511" i="1"/>
  <c r="J511" i="1" s="1"/>
  <c r="I512" i="1"/>
  <c r="J512" i="1" s="1"/>
  <c r="I513" i="1"/>
  <c r="J513" i="1" s="1"/>
  <c r="I514" i="1"/>
  <c r="J514" i="1" s="1"/>
  <c r="I515" i="1"/>
  <c r="J515" i="1" s="1"/>
  <c r="I516" i="1"/>
  <c r="J516" i="1" s="1"/>
  <c r="I517" i="1"/>
  <c r="J517" i="1" s="1"/>
  <c r="I518" i="1"/>
  <c r="J518" i="1" s="1"/>
  <c r="I519" i="1"/>
  <c r="J519" i="1" s="1"/>
  <c r="I520" i="1"/>
  <c r="J520" i="1" s="1"/>
  <c r="I521" i="1"/>
  <c r="I522" i="1"/>
  <c r="J522" i="1" s="1"/>
  <c r="I523" i="1"/>
  <c r="J523" i="1" s="1"/>
  <c r="I524" i="1"/>
  <c r="J524" i="1" s="1"/>
  <c r="I525" i="1"/>
  <c r="J525" i="1" s="1"/>
  <c r="I526" i="1"/>
  <c r="J526" i="1" s="1"/>
  <c r="M526" i="1" s="1" a="1"/>
  <c r="M526" i="1" s="1"/>
  <c r="I527" i="1"/>
  <c r="J527" i="1" s="1"/>
  <c r="I528" i="1"/>
  <c r="J528" i="1" s="1"/>
  <c r="I529" i="1"/>
  <c r="J529" i="1" s="1"/>
  <c r="I530" i="1"/>
  <c r="J530" i="1" s="1"/>
  <c r="I531" i="1"/>
  <c r="J531" i="1" s="1"/>
  <c r="I532" i="1"/>
  <c r="J532" i="1" s="1"/>
  <c r="I533" i="1"/>
  <c r="I534" i="1"/>
  <c r="J534" i="1" s="1"/>
  <c r="I535" i="1"/>
  <c r="J535" i="1" s="1"/>
  <c r="I536" i="1"/>
  <c r="J536" i="1" s="1"/>
  <c r="I537" i="1"/>
  <c r="J537" i="1" s="1"/>
  <c r="I538" i="1"/>
  <c r="J538" i="1" s="1"/>
  <c r="I539" i="1"/>
  <c r="J539" i="1" s="1"/>
  <c r="I540" i="1"/>
  <c r="J540" i="1" s="1"/>
  <c r="I541" i="1"/>
  <c r="J541" i="1" s="1"/>
  <c r="I542" i="1"/>
  <c r="J542" i="1" s="1"/>
  <c r="I543" i="1"/>
  <c r="J543" i="1" s="1"/>
  <c r="I544" i="1"/>
  <c r="J544" i="1" s="1"/>
  <c r="I545" i="1"/>
  <c r="J545" i="1" s="1"/>
  <c r="I546" i="1"/>
  <c r="J546" i="1" s="1"/>
  <c r="I547" i="1"/>
  <c r="J547" i="1" s="1"/>
  <c r="I548" i="1"/>
  <c r="J548" i="1" s="1"/>
  <c r="I549" i="1"/>
  <c r="J549" i="1" s="1"/>
  <c r="I550" i="1"/>
  <c r="J550" i="1" s="1"/>
  <c r="I551" i="1"/>
  <c r="J551" i="1" s="1"/>
  <c r="I552" i="1"/>
  <c r="J552" i="1" s="1"/>
  <c r="I553" i="1"/>
  <c r="J553" i="1" s="1"/>
  <c r="I554" i="1"/>
  <c r="J554" i="1" s="1"/>
  <c r="I555" i="1"/>
  <c r="J555" i="1" s="1"/>
  <c r="I556" i="1"/>
  <c r="J556" i="1" s="1"/>
  <c r="L556" i="1" s="1"/>
  <c r="I557" i="1"/>
  <c r="J557" i="1" s="1"/>
  <c r="I558" i="1"/>
  <c r="J558" i="1" s="1"/>
  <c r="I559" i="1"/>
  <c r="J559" i="1" s="1"/>
  <c r="I560" i="1"/>
  <c r="J560" i="1" s="1"/>
  <c r="I561" i="1"/>
  <c r="J561" i="1" s="1"/>
  <c r="I562" i="1"/>
  <c r="J562" i="1" s="1"/>
  <c r="M562" i="1" s="1" a="1"/>
  <c r="M562" i="1" s="1"/>
  <c r="I563" i="1"/>
  <c r="J563" i="1" s="1"/>
  <c r="I564" i="1"/>
  <c r="J564" i="1" s="1"/>
  <c r="I565" i="1"/>
  <c r="J565" i="1" s="1"/>
  <c r="I566" i="1"/>
  <c r="J566" i="1" s="1"/>
  <c r="I567" i="1"/>
  <c r="J567" i="1" s="1"/>
  <c r="I568" i="1"/>
  <c r="J568" i="1" s="1"/>
  <c r="I569" i="1"/>
  <c r="I570" i="1"/>
  <c r="J570" i="1" s="1"/>
  <c r="I571" i="1"/>
  <c r="J571" i="1" s="1"/>
  <c r="I572" i="1"/>
  <c r="J572" i="1" s="1"/>
  <c r="I573" i="1"/>
  <c r="J573" i="1" s="1"/>
  <c r="I574" i="1"/>
  <c r="J574" i="1" s="1"/>
  <c r="I575" i="1"/>
  <c r="J575" i="1" s="1"/>
  <c r="I576" i="1"/>
  <c r="J576" i="1" s="1"/>
  <c r="I577" i="1"/>
  <c r="J577" i="1" s="1"/>
  <c r="I578" i="1"/>
  <c r="J578" i="1" s="1"/>
  <c r="I579" i="1"/>
  <c r="J579" i="1" s="1"/>
  <c r="I580" i="1"/>
  <c r="J580" i="1" s="1"/>
  <c r="I581" i="1"/>
  <c r="I582" i="1"/>
  <c r="J582" i="1" s="1"/>
  <c r="I583" i="1"/>
  <c r="J583" i="1" s="1"/>
  <c r="I584" i="1"/>
  <c r="J584" i="1" s="1"/>
  <c r="I585" i="1"/>
  <c r="I586" i="1"/>
  <c r="J586" i="1" s="1"/>
  <c r="I587" i="1"/>
  <c r="J587" i="1" s="1"/>
  <c r="M587" i="1" s="1" a="1"/>
  <c r="M587" i="1" s="1"/>
  <c r="I588" i="1"/>
  <c r="J588" i="1" s="1"/>
  <c r="M588" i="1" s="1" a="1"/>
  <c r="M588" i="1" s="1"/>
  <c r="I589" i="1"/>
  <c r="J589" i="1" s="1"/>
  <c r="I590" i="1"/>
  <c r="J590" i="1" s="1"/>
  <c r="I591" i="1"/>
  <c r="J591" i="1" s="1"/>
  <c r="I592" i="1"/>
  <c r="J592" i="1" s="1"/>
  <c r="I593" i="1"/>
  <c r="J593" i="1" s="1"/>
  <c r="I594" i="1"/>
  <c r="J594" i="1" s="1"/>
  <c r="I595" i="1"/>
  <c r="J595" i="1" s="1"/>
  <c r="I596" i="1"/>
  <c r="J596" i="1" s="1"/>
  <c r="I597" i="1"/>
  <c r="J597" i="1" s="1"/>
  <c r="I598" i="1"/>
  <c r="J598" i="1" s="1"/>
  <c r="I599" i="1"/>
  <c r="J599" i="1" s="1"/>
  <c r="I600" i="1"/>
  <c r="J600" i="1" s="1"/>
  <c r="I601" i="1"/>
  <c r="J601" i="1" s="1"/>
  <c r="I602" i="1"/>
  <c r="J602" i="1" s="1"/>
  <c r="I603" i="1"/>
  <c r="J603" i="1" s="1"/>
  <c r="I604" i="1"/>
  <c r="J604" i="1" s="1"/>
  <c r="I605" i="1"/>
  <c r="J605" i="1" s="1"/>
  <c r="I606" i="1"/>
  <c r="J606" i="1" s="1"/>
  <c r="I607" i="1"/>
  <c r="J607" i="1" s="1"/>
  <c r="I608" i="1"/>
  <c r="J608" i="1" s="1"/>
  <c r="I609" i="1"/>
  <c r="J609" i="1" s="1"/>
  <c r="I610" i="1"/>
  <c r="J610" i="1" s="1"/>
  <c r="I611" i="1"/>
  <c r="J611" i="1" s="1"/>
  <c r="I612" i="1"/>
  <c r="J612" i="1" s="1"/>
  <c r="I613" i="1"/>
  <c r="J613" i="1" s="1"/>
  <c r="I614" i="1"/>
  <c r="J614" i="1" s="1"/>
  <c r="M614" i="1" s="1" a="1"/>
  <c r="M614" i="1" s="1"/>
  <c r="I615" i="1"/>
  <c r="J615" i="1" s="1"/>
  <c r="I616" i="1"/>
  <c r="J616" i="1" s="1"/>
  <c r="I617" i="1"/>
  <c r="J617" i="1" s="1"/>
  <c r="I618" i="1"/>
  <c r="J618" i="1" s="1"/>
  <c r="I619" i="1"/>
  <c r="J619" i="1" s="1"/>
  <c r="I620" i="1"/>
  <c r="J620" i="1" s="1"/>
  <c r="I621" i="1"/>
  <c r="J621" i="1" s="1"/>
  <c r="I622" i="1"/>
  <c r="J622" i="1" s="1"/>
  <c r="I623" i="1"/>
  <c r="J623" i="1" s="1"/>
  <c r="M623" i="1" s="1" a="1"/>
  <c r="M623" i="1" s="1"/>
  <c r="I624" i="1"/>
  <c r="J624" i="1" s="1"/>
  <c r="I625" i="1"/>
  <c r="J625" i="1" s="1"/>
  <c r="I626" i="1"/>
  <c r="J626" i="1" s="1"/>
  <c r="I627" i="1"/>
  <c r="J627" i="1" s="1"/>
  <c r="I628" i="1"/>
  <c r="J628" i="1" s="1"/>
  <c r="I629" i="1"/>
  <c r="I630" i="1"/>
  <c r="J630" i="1" s="1"/>
  <c r="I631" i="1"/>
  <c r="J631" i="1" s="1"/>
  <c r="I632" i="1"/>
  <c r="J632" i="1" s="1"/>
  <c r="I633" i="1"/>
  <c r="I634" i="1"/>
  <c r="I635" i="1"/>
  <c r="I636" i="1"/>
  <c r="J636" i="1" s="1"/>
  <c r="I637" i="1"/>
  <c r="J637" i="1" s="1"/>
  <c r="I638" i="1"/>
  <c r="J638" i="1" s="1"/>
  <c r="I639" i="1"/>
  <c r="J639" i="1" s="1"/>
  <c r="I640" i="1"/>
  <c r="J640" i="1" s="1"/>
  <c r="I641" i="1"/>
  <c r="I642" i="1"/>
  <c r="J642" i="1" s="1"/>
  <c r="I643" i="1"/>
  <c r="J643" i="1" s="1"/>
  <c r="I644" i="1"/>
  <c r="J644" i="1" s="1"/>
  <c r="I645" i="1"/>
  <c r="J645" i="1" s="1"/>
  <c r="I646" i="1"/>
  <c r="J646" i="1" s="1"/>
  <c r="I647" i="1"/>
  <c r="J647" i="1" s="1"/>
  <c r="I648" i="1"/>
  <c r="J648" i="1" s="1"/>
  <c r="I649" i="1"/>
  <c r="J649" i="1" s="1"/>
  <c r="I650" i="1"/>
  <c r="J650" i="1" s="1"/>
  <c r="I651" i="1"/>
  <c r="J651" i="1" s="1"/>
  <c r="I652" i="1"/>
  <c r="J652" i="1" s="1"/>
  <c r="I653" i="1"/>
  <c r="J653" i="1" s="1"/>
  <c r="I654" i="1"/>
  <c r="J654" i="1" s="1"/>
  <c r="I655" i="1"/>
  <c r="J655" i="1" s="1"/>
  <c r="I656" i="1"/>
  <c r="J656" i="1" s="1"/>
  <c r="I657" i="1"/>
  <c r="J657" i="1" s="1"/>
  <c r="I658" i="1"/>
  <c r="J658" i="1" s="1"/>
  <c r="I659" i="1"/>
  <c r="J659" i="1" s="1"/>
  <c r="I660" i="1"/>
  <c r="J660" i="1" s="1"/>
  <c r="K660" i="1" s="1" a="1"/>
  <c r="K660" i="1" s="1"/>
  <c r="I661" i="1"/>
  <c r="J661" i="1" s="1"/>
  <c r="I662" i="1"/>
  <c r="J662" i="1" s="1"/>
  <c r="I663" i="1"/>
  <c r="J663" i="1" s="1"/>
  <c r="I664" i="1"/>
  <c r="J664" i="1" s="1"/>
  <c r="I665" i="1"/>
  <c r="I666" i="1"/>
  <c r="J666" i="1" s="1"/>
  <c r="I667" i="1"/>
  <c r="J667" i="1" s="1"/>
  <c r="I668" i="1"/>
  <c r="J668" i="1" s="1"/>
  <c r="I669" i="1"/>
  <c r="J669" i="1" s="1"/>
  <c r="I670" i="1"/>
  <c r="J670" i="1" s="1"/>
  <c r="I671" i="1"/>
  <c r="J671" i="1" s="1"/>
  <c r="I672" i="1"/>
  <c r="J672" i="1" s="1"/>
  <c r="I673" i="1"/>
  <c r="J673" i="1" s="1"/>
  <c r="I674" i="1"/>
  <c r="J674" i="1" s="1"/>
  <c r="I675" i="1"/>
  <c r="J675" i="1" s="1"/>
  <c r="M675" i="1" s="1" a="1"/>
  <c r="M675" i="1" s="1"/>
  <c r="I676" i="1"/>
  <c r="J676" i="1" s="1"/>
  <c r="M676" i="1" s="1" a="1"/>
  <c r="M676" i="1" s="1"/>
  <c r="I677" i="1"/>
  <c r="I678" i="1"/>
  <c r="J678" i="1" s="1"/>
  <c r="I679" i="1"/>
  <c r="J679" i="1" s="1"/>
  <c r="I680" i="1"/>
  <c r="J680" i="1" s="1"/>
  <c r="I681" i="1"/>
  <c r="I682" i="1"/>
  <c r="J682" i="1" s="1"/>
  <c r="I683" i="1"/>
  <c r="J683" i="1" s="1"/>
  <c r="I684" i="1"/>
  <c r="J684" i="1" s="1"/>
  <c r="I685" i="1"/>
  <c r="J685" i="1" s="1"/>
  <c r="I686" i="1"/>
  <c r="J686" i="1" s="1"/>
  <c r="I687" i="1"/>
  <c r="J687" i="1" s="1"/>
  <c r="I688" i="1"/>
  <c r="J688" i="1" s="1"/>
  <c r="I689" i="1"/>
  <c r="J689" i="1" s="1"/>
  <c r="I690" i="1"/>
  <c r="J690" i="1" s="1"/>
  <c r="I691" i="1"/>
  <c r="J691" i="1" s="1"/>
  <c r="I692" i="1"/>
  <c r="J692" i="1" s="1"/>
  <c r="I693" i="1"/>
  <c r="J693" i="1" s="1"/>
  <c r="I694" i="1"/>
  <c r="J694" i="1" s="1"/>
  <c r="I695" i="1"/>
  <c r="J695" i="1" s="1"/>
  <c r="I696" i="1"/>
  <c r="J696" i="1" s="1"/>
  <c r="I697" i="1"/>
  <c r="J697" i="1" s="1"/>
  <c r="I698" i="1"/>
  <c r="J698" i="1" s="1"/>
  <c r="I699" i="1"/>
  <c r="J699" i="1" s="1"/>
  <c r="I700" i="1"/>
  <c r="J700" i="1" s="1"/>
  <c r="I701" i="1"/>
  <c r="J701" i="1" s="1"/>
  <c r="I702" i="1"/>
  <c r="J702" i="1" s="1"/>
  <c r="M702" i="1" s="1" a="1"/>
  <c r="M702" i="1" s="1"/>
  <c r="I703" i="1"/>
  <c r="J703" i="1" s="1"/>
  <c r="I704" i="1"/>
  <c r="J704" i="1" s="1"/>
  <c r="I705" i="1"/>
  <c r="J705" i="1" s="1"/>
  <c r="I706" i="1"/>
  <c r="J706" i="1" s="1"/>
  <c r="I707" i="1"/>
  <c r="J707" i="1" s="1"/>
  <c r="I708" i="1"/>
  <c r="J708" i="1" s="1"/>
  <c r="I709" i="1"/>
  <c r="J709" i="1" s="1"/>
  <c r="I710" i="1"/>
  <c r="J710" i="1" s="1"/>
  <c r="I711" i="1"/>
  <c r="J711" i="1" s="1"/>
  <c r="I712" i="1"/>
  <c r="J712" i="1" s="1"/>
  <c r="I713" i="1"/>
  <c r="I714" i="1"/>
  <c r="J714" i="1" s="1"/>
  <c r="I715" i="1"/>
  <c r="J715" i="1" s="1"/>
  <c r="I716" i="1"/>
  <c r="J716" i="1" s="1"/>
  <c r="I717" i="1"/>
  <c r="J717" i="1" s="1"/>
  <c r="I718" i="1"/>
  <c r="J718" i="1" s="1"/>
  <c r="I719" i="1"/>
  <c r="J719" i="1" s="1"/>
  <c r="I720" i="1"/>
  <c r="J720" i="1" s="1"/>
  <c r="I721" i="1"/>
  <c r="J721" i="1" s="1"/>
  <c r="I722" i="1"/>
  <c r="J722" i="1" s="1"/>
  <c r="I723" i="1"/>
  <c r="J723" i="1" s="1"/>
  <c r="I724" i="1"/>
  <c r="J724" i="1" s="1"/>
  <c r="I725" i="1"/>
  <c r="I726" i="1"/>
  <c r="J726" i="1" s="1"/>
  <c r="I727" i="1"/>
  <c r="J727" i="1" s="1"/>
  <c r="M727" i="1" s="1" a="1"/>
  <c r="M727" i="1" s="1"/>
  <c r="I728" i="1"/>
  <c r="J728" i="1" s="1"/>
  <c r="I729" i="1"/>
  <c r="J729" i="1" s="1"/>
  <c r="M729" i="1" s="1" a="1"/>
  <c r="M729" i="1" s="1"/>
  <c r="I730" i="1"/>
  <c r="J730" i="1" s="1"/>
  <c r="I731" i="1"/>
  <c r="J731" i="1" s="1"/>
  <c r="I732" i="1"/>
  <c r="J732" i="1" s="1"/>
  <c r="I733" i="1"/>
  <c r="J733" i="1" s="1"/>
  <c r="I734" i="1"/>
  <c r="J734" i="1" s="1"/>
  <c r="I735" i="1"/>
  <c r="J735" i="1" s="1"/>
  <c r="I736" i="1"/>
  <c r="J736" i="1" s="1"/>
  <c r="M736" i="1" s="1" a="1"/>
  <c r="M736" i="1" s="1"/>
  <c r="I737" i="1"/>
  <c r="I738" i="1"/>
  <c r="J738" i="1" s="1"/>
  <c r="I739" i="1"/>
  <c r="J739" i="1" s="1"/>
  <c r="I740" i="1"/>
  <c r="J740" i="1" s="1"/>
  <c r="I741" i="1"/>
  <c r="J741" i="1" s="1"/>
  <c r="I742" i="1"/>
  <c r="J742" i="1" s="1"/>
  <c r="I743" i="1"/>
  <c r="J743" i="1" s="1"/>
  <c r="I744" i="1"/>
  <c r="J744" i="1" s="1"/>
  <c r="I745" i="1"/>
  <c r="J745" i="1" s="1"/>
  <c r="I746" i="1"/>
  <c r="J746" i="1" s="1"/>
  <c r="I747" i="1"/>
  <c r="J747" i="1" s="1"/>
  <c r="I748" i="1"/>
  <c r="J748" i="1" s="1"/>
  <c r="I749" i="1"/>
  <c r="J749" i="1" s="1"/>
  <c r="I750" i="1"/>
  <c r="J750" i="1" s="1"/>
  <c r="I751" i="1"/>
  <c r="J751" i="1" s="1"/>
  <c r="I752" i="1"/>
  <c r="J752" i="1" s="1"/>
  <c r="I753" i="1"/>
  <c r="J753" i="1" s="1"/>
  <c r="I754" i="1"/>
  <c r="J754" i="1" s="1"/>
  <c r="I755" i="1"/>
  <c r="J755" i="1" s="1"/>
  <c r="I756" i="1"/>
  <c r="J756" i="1" s="1"/>
  <c r="I757" i="1"/>
  <c r="J757" i="1" s="1"/>
  <c r="M757" i="1" s="1" a="1"/>
  <c r="M757" i="1" s="1"/>
  <c r="I758" i="1"/>
  <c r="J758" i="1" s="1"/>
  <c r="I759" i="1"/>
  <c r="I760" i="1"/>
  <c r="J760" i="1" s="1"/>
  <c r="I761" i="1"/>
  <c r="J761" i="1" s="1"/>
  <c r="I762" i="1"/>
  <c r="J762" i="1" s="1"/>
  <c r="I763" i="1"/>
  <c r="J763" i="1" s="1"/>
  <c r="I764" i="1"/>
  <c r="J764" i="1" s="1"/>
  <c r="I765" i="1"/>
  <c r="J765" i="1" s="1"/>
  <c r="I766" i="1"/>
  <c r="J766" i="1" s="1"/>
  <c r="I767" i="1"/>
  <c r="J767" i="1" s="1"/>
  <c r="I768" i="1"/>
  <c r="J768" i="1" s="1"/>
  <c r="I769" i="1"/>
  <c r="J769" i="1" s="1"/>
  <c r="I770" i="1"/>
  <c r="J770" i="1" s="1"/>
  <c r="I771" i="1"/>
  <c r="J771" i="1" s="1"/>
  <c r="I772" i="1"/>
  <c r="J772" i="1" s="1"/>
  <c r="I773" i="1"/>
  <c r="I774" i="1"/>
  <c r="J774" i="1" s="1"/>
  <c r="I775" i="1"/>
  <c r="J775" i="1" s="1"/>
  <c r="M775" i="1" s="1" a="1"/>
  <c r="I776" i="1"/>
  <c r="J776" i="1" s="1"/>
  <c r="I777" i="1"/>
  <c r="I778" i="1"/>
  <c r="J778" i="1" s="1"/>
  <c r="I779" i="1"/>
  <c r="J779" i="1" s="1"/>
  <c r="I780" i="1"/>
  <c r="J780" i="1" s="1"/>
  <c r="I781" i="1"/>
  <c r="J781" i="1" s="1"/>
  <c r="I782" i="1"/>
  <c r="J782" i="1" s="1"/>
  <c r="I783" i="1"/>
  <c r="J783" i="1" s="1"/>
  <c r="I784" i="1"/>
  <c r="J784" i="1" s="1"/>
  <c r="I785" i="1"/>
  <c r="J785" i="1" s="1"/>
  <c r="I786" i="1"/>
  <c r="J786" i="1" s="1"/>
  <c r="I787" i="1"/>
  <c r="J787" i="1" s="1"/>
  <c r="I788" i="1"/>
  <c r="J788" i="1" s="1"/>
  <c r="I789" i="1"/>
  <c r="J789" i="1" s="1"/>
  <c r="I790" i="1"/>
  <c r="J790" i="1" s="1"/>
  <c r="I791" i="1"/>
  <c r="J791" i="1" s="1"/>
  <c r="I792" i="1"/>
  <c r="J792" i="1" s="1"/>
  <c r="I793" i="1"/>
  <c r="J793" i="1" s="1"/>
  <c r="I794" i="1"/>
  <c r="J794" i="1" s="1"/>
  <c r="I795" i="1"/>
  <c r="J795" i="1" s="1"/>
  <c r="I796" i="1"/>
  <c r="J796" i="1" s="1"/>
  <c r="I797" i="1"/>
  <c r="J797" i="1" s="1"/>
  <c r="M797" i="1" s="1" a="1"/>
  <c r="M797" i="1" s="1"/>
  <c r="I798" i="1"/>
  <c r="J798" i="1" s="1"/>
  <c r="I799" i="1"/>
  <c r="J799" i="1" s="1"/>
  <c r="I800" i="1"/>
  <c r="J800" i="1" s="1"/>
  <c r="I801" i="1"/>
  <c r="J801" i="1" s="1"/>
  <c r="I802" i="1"/>
  <c r="J802" i="1" s="1"/>
  <c r="I803" i="1"/>
  <c r="J803" i="1" s="1"/>
  <c r="I804" i="1"/>
  <c r="J804" i="1" s="1"/>
  <c r="I805" i="1"/>
  <c r="J805" i="1" s="1"/>
  <c r="I806" i="1"/>
  <c r="J806" i="1" s="1"/>
  <c r="I807" i="1"/>
  <c r="J807" i="1" s="1"/>
  <c r="I808" i="1"/>
  <c r="J808" i="1" s="1"/>
  <c r="I809" i="1"/>
  <c r="J809" i="1" s="1"/>
  <c r="I810" i="1"/>
  <c r="J810" i="1" s="1"/>
  <c r="I811" i="1"/>
  <c r="J811" i="1" s="1"/>
  <c r="I812" i="1"/>
  <c r="J812" i="1" s="1"/>
  <c r="I813" i="1"/>
  <c r="J813" i="1" s="1"/>
  <c r="M813" i="1" s="1" a="1"/>
  <c r="M813" i="1" s="1"/>
  <c r="I814" i="1"/>
  <c r="J814" i="1" s="1"/>
  <c r="I815" i="1"/>
  <c r="J815" i="1" s="1"/>
  <c r="I816" i="1"/>
  <c r="J816" i="1" s="1"/>
  <c r="I817" i="1"/>
  <c r="J817" i="1" s="1"/>
  <c r="I818" i="1"/>
  <c r="J818" i="1" s="1"/>
  <c r="I819" i="1"/>
  <c r="J819" i="1" s="1"/>
  <c r="I820" i="1"/>
  <c r="J820" i="1" s="1"/>
  <c r="I821" i="1"/>
  <c r="I822" i="1"/>
  <c r="J822" i="1" s="1"/>
  <c r="I823" i="1"/>
  <c r="J823" i="1" s="1"/>
  <c r="I824" i="1"/>
  <c r="J824" i="1" s="1"/>
  <c r="I825" i="1"/>
  <c r="I826" i="1"/>
  <c r="J826" i="1" s="1"/>
  <c r="I827" i="1"/>
  <c r="J827" i="1" s="1"/>
  <c r="I828" i="1"/>
  <c r="J828" i="1" s="1"/>
  <c r="I829" i="1"/>
  <c r="J829" i="1" s="1"/>
  <c r="I830" i="1"/>
  <c r="J830" i="1" s="1"/>
  <c r="I831" i="1"/>
  <c r="J831" i="1" s="1"/>
  <c r="I832" i="1"/>
  <c r="J832" i="1" s="1"/>
  <c r="I833" i="1"/>
  <c r="I834" i="1"/>
  <c r="J834" i="1" s="1"/>
  <c r="I835" i="1"/>
  <c r="J835" i="1" s="1"/>
  <c r="I836" i="1"/>
  <c r="J836" i="1" s="1"/>
  <c r="I837" i="1"/>
  <c r="J837" i="1" s="1"/>
  <c r="I838" i="1"/>
  <c r="J838" i="1" s="1"/>
  <c r="I839" i="1"/>
  <c r="J839" i="1" s="1"/>
  <c r="I840" i="1"/>
  <c r="J840" i="1" s="1"/>
  <c r="I841" i="1"/>
  <c r="J841" i="1" s="1"/>
  <c r="M841" i="1" s="1" a="1"/>
  <c r="M841" i="1" s="1"/>
  <c r="I842" i="1"/>
  <c r="J842" i="1" s="1"/>
  <c r="I843" i="1"/>
  <c r="J843" i="1" s="1"/>
  <c r="I844" i="1"/>
  <c r="J844" i="1" s="1"/>
  <c r="M844" i="1" s="1" a="1"/>
  <c r="M844" i="1" s="1"/>
  <c r="I845" i="1"/>
  <c r="J845" i="1" s="1"/>
  <c r="I846" i="1"/>
  <c r="J846" i="1" s="1"/>
  <c r="I847" i="1"/>
  <c r="J847" i="1" s="1"/>
  <c r="I848" i="1"/>
  <c r="J848" i="1" s="1"/>
  <c r="I849" i="1"/>
  <c r="J849" i="1" s="1"/>
  <c r="I850" i="1"/>
  <c r="J850" i="1" s="1"/>
  <c r="I851" i="1"/>
  <c r="J851" i="1" s="1"/>
  <c r="I852" i="1"/>
  <c r="J852" i="1" s="1"/>
  <c r="I853" i="1"/>
  <c r="J853" i="1" s="1"/>
  <c r="I854" i="1"/>
  <c r="J854" i="1" s="1"/>
  <c r="I855" i="1"/>
  <c r="J855" i="1" s="1"/>
  <c r="I856" i="1"/>
  <c r="J856" i="1" s="1"/>
  <c r="I857" i="1"/>
  <c r="I858" i="1"/>
  <c r="J858" i="1" s="1"/>
  <c r="I859" i="1"/>
  <c r="J859" i="1" s="1"/>
  <c r="I860" i="1"/>
  <c r="J860" i="1" s="1"/>
  <c r="I861" i="1"/>
  <c r="J861" i="1" s="1"/>
  <c r="I862" i="1"/>
  <c r="J862" i="1" s="1"/>
  <c r="I863" i="1"/>
  <c r="J863" i="1" s="1"/>
  <c r="I864" i="1"/>
  <c r="J864" i="1" s="1"/>
  <c r="M864" i="1" s="1" a="1"/>
  <c r="M864" i="1" s="1"/>
  <c r="I865" i="1"/>
  <c r="J865" i="1" s="1"/>
  <c r="I866" i="1"/>
  <c r="J866" i="1" s="1"/>
  <c r="I867" i="1"/>
  <c r="J867" i="1" s="1"/>
  <c r="I868" i="1"/>
  <c r="J868" i="1" s="1"/>
  <c r="I869" i="1"/>
  <c r="I870" i="1"/>
  <c r="J870" i="1" s="1"/>
  <c r="I871" i="1"/>
  <c r="J871" i="1" s="1"/>
  <c r="I872" i="1"/>
  <c r="J872" i="1" s="1"/>
  <c r="I873" i="1"/>
  <c r="J873" i="1" s="1"/>
  <c r="I874" i="1"/>
  <c r="J874" i="1" s="1"/>
  <c r="I875" i="1"/>
  <c r="J875" i="1" s="1"/>
  <c r="I876" i="1"/>
  <c r="J876" i="1" s="1"/>
  <c r="I877" i="1"/>
  <c r="J877" i="1" s="1"/>
  <c r="I878" i="1"/>
  <c r="J878" i="1" s="1"/>
  <c r="I879" i="1"/>
  <c r="J879" i="1" s="1"/>
  <c r="I880" i="1"/>
  <c r="J880" i="1" s="1"/>
  <c r="I881" i="1"/>
  <c r="I882" i="1"/>
  <c r="J882" i="1" s="1"/>
  <c r="I883" i="1"/>
  <c r="J883" i="1" s="1"/>
  <c r="I884" i="1"/>
  <c r="J884" i="1" s="1"/>
  <c r="I885" i="1"/>
  <c r="J885" i="1" s="1"/>
  <c r="I886" i="1"/>
  <c r="J886" i="1" s="1"/>
  <c r="I887" i="1"/>
  <c r="J887" i="1" s="1"/>
  <c r="I888" i="1"/>
  <c r="J888" i="1" s="1"/>
  <c r="I889" i="1"/>
  <c r="J889" i="1" s="1"/>
  <c r="I890" i="1"/>
  <c r="J890" i="1" s="1"/>
  <c r="M890" i="1" s="1" a="1"/>
  <c r="M890" i="1" s="1"/>
  <c r="I891" i="1"/>
  <c r="J891" i="1" s="1"/>
  <c r="M891" i="1" s="1" a="1"/>
  <c r="M891" i="1" s="1"/>
  <c r="I892" i="1"/>
  <c r="J892" i="1" s="1"/>
  <c r="I893" i="1"/>
  <c r="J893" i="1" s="1"/>
  <c r="I894" i="1"/>
  <c r="J894" i="1" s="1"/>
  <c r="I895" i="1"/>
  <c r="J895" i="1" s="1"/>
  <c r="I896" i="1"/>
  <c r="J896" i="1" s="1"/>
  <c r="I897" i="1"/>
  <c r="J897" i="1" s="1"/>
  <c r="I898" i="1"/>
  <c r="J898" i="1" s="1"/>
  <c r="I899" i="1"/>
  <c r="J899" i="1" s="1"/>
  <c r="I900" i="1"/>
  <c r="J900" i="1" s="1"/>
  <c r="I901" i="1"/>
  <c r="J901" i="1" s="1"/>
  <c r="M901" i="1" s="1" a="1"/>
  <c r="M901" i="1" s="1"/>
  <c r="I902" i="1"/>
  <c r="J902" i="1" s="1"/>
  <c r="I903" i="1"/>
  <c r="J903" i="1" s="1"/>
  <c r="I904" i="1"/>
  <c r="J904" i="1" s="1"/>
  <c r="I905" i="1"/>
  <c r="J905" i="1" s="1"/>
  <c r="I906" i="1"/>
  <c r="J906" i="1" s="1"/>
  <c r="I907" i="1"/>
  <c r="J907" i="1" s="1"/>
  <c r="I908" i="1"/>
  <c r="J908" i="1" s="1"/>
  <c r="I909" i="1"/>
  <c r="J909" i="1" s="1"/>
  <c r="I910" i="1"/>
  <c r="J910" i="1" s="1"/>
  <c r="I911" i="1"/>
  <c r="J911" i="1" s="1"/>
  <c r="I912" i="1"/>
  <c r="J912" i="1" s="1"/>
  <c r="I913" i="1"/>
  <c r="J913" i="1" s="1"/>
  <c r="I914" i="1"/>
  <c r="J914" i="1" s="1"/>
  <c r="I915" i="1"/>
  <c r="J915" i="1" s="1"/>
  <c r="I916" i="1"/>
  <c r="J916" i="1" s="1"/>
  <c r="I917" i="1"/>
  <c r="J917" i="1" s="1"/>
  <c r="M917" i="1" s="1" a="1"/>
  <c r="M917" i="1" s="1"/>
  <c r="I918" i="1"/>
  <c r="J918" i="1" s="1"/>
  <c r="I919" i="1"/>
  <c r="J919" i="1" s="1"/>
  <c r="I920" i="1"/>
  <c r="J920" i="1" s="1"/>
  <c r="I921" i="1"/>
  <c r="J921" i="1" s="1"/>
  <c r="I922" i="1"/>
  <c r="J922" i="1" s="1"/>
  <c r="M922" i="1" s="1" a="1"/>
  <c r="M922" i="1" s="1"/>
  <c r="I923" i="1"/>
  <c r="J923" i="1" s="1"/>
  <c r="I924" i="1"/>
  <c r="J924" i="1" s="1"/>
  <c r="M924" i="1" s="1" a="1"/>
  <c r="M924" i="1" s="1"/>
  <c r="I925" i="1"/>
  <c r="J925" i="1" s="1"/>
  <c r="I926" i="1"/>
  <c r="J926" i="1" s="1"/>
  <c r="M926" i="1" s="1" a="1"/>
  <c r="M926" i="1" s="1"/>
  <c r="I927" i="1"/>
  <c r="J927" i="1" s="1"/>
  <c r="I928" i="1"/>
  <c r="J928" i="1" s="1"/>
  <c r="I929" i="1"/>
  <c r="I930" i="1"/>
  <c r="J930" i="1" s="1"/>
  <c r="I931" i="1"/>
  <c r="J931" i="1" s="1"/>
  <c r="I932" i="1"/>
  <c r="J932" i="1" s="1"/>
  <c r="I933" i="1"/>
  <c r="J933" i="1" s="1"/>
  <c r="I934" i="1"/>
  <c r="J934" i="1" s="1"/>
  <c r="I935" i="1"/>
  <c r="I936" i="1"/>
  <c r="J936" i="1" s="1"/>
  <c r="I937" i="1"/>
  <c r="J937" i="1" s="1"/>
  <c r="I938" i="1"/>
  <c r="J938" i="1" s="1"/>
  <c r="I939" i="1"/>
  <c r="J939" i="1" s="1"/>
  <c r="I940" i="1"/>
  <c r="J940" i="1" s="1"/>
  <c r="I941" i="1"/>
  <c r="J941" i="1" s="1"/>
  <c r="I942" i="1"/>
  <c r="J942" i="1" s="1"/>
  <c r="K942" i="1" s="1" a="1"/>
  <c r="K942" i="1" s="1"/>
  <c r="I943" i="1"/>
  <c r="J943" i="1" s="1"/>
  <c r="I944" i="1"/>
  <c r="J944" i="1" s="1"/>
  <c r="I945" i="1"/>
  <c r="J945" i="1" s="1"/>
  <c r="I946" i="1"/>
  <c r="J946" i="1" s="1"/>
  <c r="I947" i="1"/>
  <c r="J947" i="1" s="1"/>
  <c r="M947" i="1" s="1" a="1"/>
  <c r="M947" i="1" s="1"/>
  <c r="I948" i="1"/>
  <c r="J948" i="1" s="1"/>
  <c r="I949" i="1"/>
  <c r="J949" i="1" s="1"/>
  <c r="I950" i="1"/>
  <c r="J950" i="1" s="1"/>
  <c r="I951" i="1"/>
  <c r="J951" i="1" s="1"/>
  <c r="I952" i="1"/>
  <c r="J952" i="1" s="1"/>
  <c r="I953" i="1"/>
  <c r="J953" i="1" s="1"/>
  <c r="I954" i="1"/>
  <c r="J954" i="1" s="1"/>
  <c r="I955" i="1"/>
  <c r="J955" i="1" s="1"/>
  <c r="I956" i="1"/>
  <c r="J956" i="1" s="1"/>
  <c r="I957" i="1"/>
  <c r="J957" i="1" s="1"/>
  <c r="L957" i="1" s="1"/>
  <c r="I958" i="1"/>
  <c r="J958" i="1" s="1"/>
  <c r="L958" i="1" s="1"/>
  <c r="I959" i="1"/>
  <c r="J959" i="1" s="1"/>
  <c r="I960" i="1"/>
  <c r="J960" i="1" s="1"/>
  <c r="I961" i="1"/>
  <c r="J961" i="1" s="1"/>
  <c r="I962" i="1"/>
  <c r="J962" i="1" s="1"/>
  <c r="I963" i="1"/>
  <c r="J963" i="1" s="1"/>
  <c r="K963" i="1" s="1" a="1"/>
  <c r="K963" i="1" s="1"/>
  <c r="I964" i="1"/>
  <c r="J964" i="1" s="1"/>
  <c r="I965" i="1"/>
  <c r="I966" i="1"/>
  <c r="J966" i="1" s="1"/>
  <c r="M966" i="1" s="1" a="1"/>
  <c r="M966" i="1" s="1"/>
  <c r="I967" i="1"/>
  <c r="J967" i="1" s="1"/>
  <c r="I968" i="1"/>
  <c r="J968" i="1" s="1"/>
  <c r="I969" i="1"/>
  <c r="J969" i="1" s="1"/>
  <c r="I970" i="1"/>
  <c r="J970" i="1" s="1"/>
  <c r="I971" i="1"/>
  <c r="J971" i="1" s="1"/>
  <c r="I972" i="1"/>
  <c r="J972" i="1" s="1"/>
  <c r="M972" i="1" s="1" a="1"/>
  <c r="M972" i="1" s="1"/>
  <c r="I973" i="1"/>
  <c r="J973" i="1" s="1"/>
  <c r="I974" i="1"/>
  <c r="J974" i="1" s="1"/>
  <c r="I975" i="1"/>
  <c r="J975" i="1" s="1"/>
  <c r="I976" i="1"/>
  <c r="J976" i="1" s="1"/>
  <c r="I977" i="1"/>
  <c r="I978" i="1"/>
  <c r="J978" i="1" s="1"/>
  <c r="I979" i="1"/>
  <c r="J979" i="1" s="1"/>
  <c r="I980" i="1"/>
  <c r="J980" i="1" s="1"/>
  <c r="I981" i="1"/>
  <c r="J981" i="1" s="1"/>
  <c r="I982" i="1"/>
  <c r="J982" i="1" s="1"/>
  <c r="M982" i="1" s="1" a="1"/>
  <c r="M982" i="1" s="1"/>
  <c r="I983" i="1"/>
  <c r="J983" i="1" s="1"/>
  <c r="I984" i="1"/>
  <c r="J984" i="1" s="1"/>
  <c r="I985" i="1"/>
  <c r="J985" i="1" s="1"/>
  <c r="I986" i="1"/>
  <c r="J986" i="1" s="1"/>
  <c r="I987" i="1"/>
  <c r="J987" i="1" s="1"/>
  <c r="I988" i="1"/>
  <c r="J988" i="1" s="1"/>
  <c r="I989" i="1"/>
  <c r="J989" i="1" s="1"/>
  <c r="I990" i="1"/>
  <c r="J990" i="1" s="1"/>
  <c r="I991" i="1"/>
  <c r="J991" i="1" s="1"/>
  <c r="I992" i="1"/>
  <c r="J992" i="1" s="1"/>
  <c r="I993" i="1"/>
  <c r="J993" i="1" s="1"/>
  <c r="I994" i="1"/>
  <c r="J994" i="1" s="1"/>
  <c r="I995" i="1"/>
  <c r="J995" i="1" s="1"/>
  <c r="I996" i="1"/>
  <c r="J996" i="1" s="1"/>
  <c r="I997" i="1"/>
  <c r="J997" i="1" s="1"/>
  <c r="I998" i="1"/>
  <c r="J998" i="1" s="1"/>
  <c r="I999" i="1"/>
  <c r="J999" i="1" s="1"/>
  <c r="I1000" i="1"/>
  <c r="J1000" i="1" s="1"/>
  <c r="I1001" i="1"/>
  <c r="J1001" i="1" s="1"/>
  <c r="I2" i="1"/>
  <c r="M240" i="1" l="1" a="1"/>
  <c r="M240" i="1" s="1"/>
  <c r="M875" i="1" a="1"/>
  <c r="M875" i="1" s="1"/>
  <c r="M683" i="1" a="1"/>
  <c r="M683" i="1" s="1"/>
  <c r="M874" i="1" a="1"/>
  <c r="M874" i="1" s="1"/>
  <c r="M778" i="1" a="1"/>
  <c r="M778" i="1" s="1"/>
  <c r="N682" i="1"/>
  <c r="M682" i="1" a="1"/>
  <c r="M682" i="1" s="1"/>
  <c r="N586" i="1"/>
  <c r="M586" i="1" a="1"/>
  <c r="M586" i="1" s="1"/>
  <c r="N370" i="1"/>
  <c r="M370" i="1" a="1"/>
  <c r="M370" i="1" s="1"/>
  <c r="M178" i="1" a="1"/>
  <c r="M178" i="1" s="1"/>
  <c r="N873" i="1"/>
  <c r="M873" i="1" a="1"/>
  <c r="M873" i="1" s="1"/>
  <c r="N258" i="1"/>
  <c r="M258" i="1" a="1"/>
  <c r="M258" i="1" s="1"/>
  <c r="N66" i="1"/>
  <c r="M66" i="1" a="1"/>
  <c r="M66" i="1" s="1"/>
  <c r="M42" i="1" a="1"/>
  <c r="M42" i="1" s="1"/>
  <c r="N1000" i="1"/>
  <c r="M1000" i="1" a="1"/>
  <c r="M1000" i="1" s="1"/>
  <c r="L976" i="1"/>
  <c r="O976" i="1"/>
  <c r="M976" i="1" a="1"/>
  <c r="M976" i="1" s="1"/>
  <c r="K976" i="1" a="1"/>
  <c r="K976" i="1" s="1"/>
  <c r="M952" i="1" a="1"/>
  <c r="M952" i="1" s="1"/>
  <c r="L928" i="1"/>
  <c r="N928" i="1"/>
  <c r="M928" i="1" a="1"/>
  <c r="M928" i="1" s="1"/>
  <c r="N904" i="1"/>
  <c r="M904" i="1" a="1"/>
  <c r="M904" i="1" s="1"/>
  <c r="L880" i="1"/>
  <c r="O880" i="1"/>
  <c r="M880" i="1" a="1"/>
  <c r="M880" i="1" s="1"/>
  <c r="L832" i="1"/>
  <c r="K832" i="1" a="1"/>
  <c r="K832" i="1" s="1"/>
  <c r="M832" i="1" a="1"/>
  <c r="M832" i="1" s="1"/>
  <c r="N820" i="1"/>
  <c r="M820" i="1" a="1"/>
  <c r="M820" i="1" s="1"/>
  <c r="N808" i="1"/>
  <c r="M808" i="1" a="1"/>
  <c r="M808" i="1" s="1"/>
  <c r="M772" i="1" a="1"/>
  <c r="M772" i="1" s="1"/>
  <c r="K760" i="1" a="1"/>
  <c r="K760" i="1" s="1"/>
  <c r="O760" i="1"/>
  <c r="L760" i="1"/>
  <c r="M760" i="1" a="1"/>
  <c r="M760" i="1" s="1"/>
  <c r="K640" i="1" a="1"/>
  <c r="K640" i="1" s="1"/>
  <c r="N640" i="1"/>
  <c r="M640" i="1" a="1"/>
  <c r="M640" i="1" s="1"/>
  <c r="L592" i="1"/>
  <c r="K592" i="1" a="1"/>
  <c r="K592" i="1" s="1"/>
  <c r="M592" i="1" a="1"/>
  <c r="M592" i="1" s="1"/>
  <c r="O568" i="1"/>
  <c r="M568" i="1" a="1"/>
  <c r="M568" i="1" s="1"/>
  <c r="O936" i="1"/>
  <c r="M936" i="1" a="1"/>
  <c r="M936" i="1" s="1"/>
  <c r="M696" i="1" a="1"/>
  <c r="M696" i="1" s="1"/>
  <c r="L298" i="1"/>
  <c r="N298" i="1"/>
  <c r="M298" i="1" a="1"/>
  <c r="M298" i="1" s="1"/>
  <c r="K298" i="1" a="1"/>
  <c r="K298" i="1" s="1"/>
  <c r="O999" i="1"/>
  <c r="N999" i="1"/>
  <c r="M999" i="1" a="1"/>
  <c r="M999" i="1" s="1"/>
  <c r="L975" i="1"/>
  <c r="M975" i="1" a="1"/>
  <c r="M975" i="1" s="1"/>
  <c r="K975" i="1" a="1"/>
  <c r="K975" i="1" s="1"/>
  <c r="L879" i="1"/>
  <c r="O879" i="1"/>
  <c r="N879" i="1"/>
  <c r="M879" i="1" a="1"/>
  <c r="M879" i="1" s="1"/>
  <c r="K879" i="1" a="1"/>
  <c r="K879" i="1" s="1"/>
  <c r="O831" i="1"/>
  <c r="N831" i="1"/>
  <c r="M831" i="1" a="1"/>
  <c r="M831" i="1" s="1"/>
  <c r="M723" i="1" a="1"/>
  <c r="M723" i="1" s="1"/>
  <c r="O687" i="1"/>
  <c r="M687" i="1" a="1"/>
  <c r="M687" i="1" s="1"/>
  <c r="K639" i="1" a="1"/>
  <c r="K639" i="1" s="1"/>
  <c r="O639" i="1"/>
  <c r="N639" i="1"/>
  <c r="M639" i="1" a="1"/>
  <c r="M639" i="1" s="1"/>
  <c r="L591" i="1"/>
  <c r="O591" i="1"/>
  <c r="K591" i="1" a="1"/>
  <c r="K591" i="1" s="1"/>
  <c r="M591" i="1" a="1"/>
  <c r="M591" i="1" s="1"/>
  <c r="O519" i="1"/>
  <c r="M519" i="1" a="1"/>
  <c r="M519" i="1" s="1"/>
  <c r="O459" i="1"/>
  <c r="N459" i="1"/>
  <c r="K459" i="1" a="1"/>
  <c r="K459" i="1" s="1"/>
  <c r="M459" i="1" a="1"/>
  <c r="M459" i="1" s="1"/>
  <c r="L459" i="1"/>
  <c r="N938" i="1"/>
  <c r="M938" i="1" a="1"/>
  <c r="M938" i="1" s="1"/>
  <c r="N937" i="1"/>
  <c r="M937" i="1" a="1"/>
  <c r="M937" i="1" s="1"/>
  <c r="O988" i="1"/>
  <c r="N988" i="1"/>
  <c r="M988" i="1" a="1"/>
  <c r="M988" i="1" s="1"/>
  <c r="O868" i="1"/>
  <c r="N868" i="1"/>
  <c r="M868" i="1" a="1"/>
  <c r="M868" i="1" s="1"/>
  <c r="O700" i="1"/>
  <c r="L496" i="1"/>
  <c r="N496" i="1"/>
  <c r="M496" i="1" a="1"/>
  <c r="M496" i="1" s="1"/>
  <c r="K496" i="1" a="1"/>
  <c r="K496" i="1" s="1"/>
  <c r="L424" i="1"/>
  <c r="O424" i="1"/>
  <c r="N424" i="1"/>
  <c r="M424" i="1" a="1"/>
  <c r="M424" i="1" s="1"/>
  <c r="K424" i="1" a="1"/>
  <c r="K424" i="1" s="1"/>
  <c r="L352" i="1"/>
  <c r="M352" i="1" a="1"/>
  <c r="M352" i="1" s="1"/>
  <c r="O280" i="1"/>
  <c r="M280" i="1" a="1"/>
  <c r="M280" i="1" s="1"/>
  <c r="O220" i="1"/>
  <c r="N220" i="1"/>
  <c r="M220" i="1" a="1"/>
  <c r="M220" i="1" s="1"/>
  <c r="O160" i="1"/>
  <c r="N160" i="1"/>
  <c r="L160" i="1"/>
  <c r="K160" i="1" a="1"/>
  <c r="K160" i="1" s="1"/>
  <c r="M160" i="1" a="1"/>
  <c r="M160" i="1" s="1"/>
  <c r="L100" i="1"/>
  <c r="O100" i="1"/>
  <c r="M100" i="1" a="1"/>
  <c r="M100" i="1" s="1"/>
  <c r="K100" i="1" a="1"/>
  <c r="K100" i="1" s="1"/>
  <c r="O52" i="1"/>
  <c r="N52" i="1"/>
  <c r="M52" i="1" a="1"/>
  <c r="M52" i="1" s="1"/>
  <c r="O4" i="1"/>
  <c r="N4" i="1"/>
  <c r="M4" i="1" a="1"/>
  <c r="M4" i="1" s="1"/>
  <c r="O987" i="1"/>
  <c r="O915" i="1"/>
  <c r="N915" i="1"/>
  <c r="O843" i="1"/>
  <c r="N843" i="1"/>
  <c r="M843" i="1" a="1"/>
  <c r="M843" i="1" s="1"/>
  <c r="O783" i="1"/>
  <c r="N783" i="1"/>
  <c r="M783" i="1" a="1"/>
  <c r="M783" i="1" s="1"/>
  <c r="M651" i="1" a="1"/>
  <c r="M651" i="1" s="1"/>
  <c r="N579" i="1"/>
  <c r="M579" i="1" a="1"/>
  <c r="M579" i="1" s="1"/>
  <c r="K447" i="1" a="1"/>
  <c r="K447" i="1" s="1"/>
  <c r="O447" i="1"/>
  <c r="N447" i="1"/>
  <c r="L447" i="1"/>
  <c r="L387" i="1"/>
  <c r="L327" i="1"/>
  <c r="O327" i="1"/>
  <c r="M327" i="1" a="1"/>
  <c r="M327" i="1" s="1"/>
  <c r="K327" i="1" a="1"/>
  <c r="K327" i="1" s="1"/>
  <c r="L267" i="1"/>
  <c r="O267" i="1"/>
  <c r="N267" i="1"/>
  <c r="K267" i="1" a="1"/>
  <c r="K267" i="1" s="1"/>
  <c r="M267" i="1" a="1"/>
  <c r="M267" i="1" s="1"/>
  <c r="M219" i="1" a="1"/>
  <c r="M219" i="1" s="1"/>
  <c r="L147" i="1"/>
  <c r="N147" i="1"/>
  <c r="K147" i="1" a="1"/>
  <c r="K147" i="1" s="1"/>
  <c r="M147" i="1" a="1"/>
  <c r="M147" i="1" s="1"/>
  <c r="L99" i="1"/>
  <c r="O99" i="1"/>
  <c r="N99" i="1"/>
  <c r="M99" i="1" a="1"/>
  <c r="M99" i="1" s="1"/>
  <c r="M63" i="1" a="1"/>
  <c r="M63" i="1" s="1"/>
  <c r="O15" i="1"/>
  <c r="M15" i="1" a="1"/>
  <c r="M15" i="1" s="1"/>
  <c r="O321" i="1"/>
  <c r="N321" i="1"/>
  <c r="M321" i="1" a="1"/>
  <c r="M321" i="1" s="1"/>
  <c r="N23" i="1"/>
  <c r="O23" i="1"/>
  <c r="M23" i="1" a="1"/>
  <c r="M23" i="1" s="1"/>
  <c r="L950" i="1"/>
  <c r="M950" i="1" a="1"/>
  <c r="M950" i="1" s="1"/>
  <c r="L878" i="1"/>
  <c r="O878" i="1"/>
  <c r="N878" i="1"/>
  <c r="L806" i="1"/>
  <c r="O806" i="1"/>
  <c r="N806" i="1"/>
  <c r="M806" i="1" a="1"/>
  <c r="M806" i="1" s="1"/>
  <c r="N734" i="1"/>
  <c r="M734" i="1" a="1"/>
  <c r="M734" i="1" s="1"/>
  <c r="N674" i="1"/>
  <c r="M674" i="1" a="1"/>
  <c r="M674" i="1" s="1"/>
  <c r="N602" i="1"/>
  <c r="O602" i="1"/>
  <c r="M602" i="1" a="1"/>
  <c r="M602" i="1" s="1"/>
  <c r="O542" i="1"/>
  <c r="N542" i="1"/>
  <c r="M542" i="1" a="1"/>
  <c r="M542" i="1" s="1"/>
  <c r="N470" i="1"/>
  <c r="M470" i="1" a="1"/>
  <c r="M470" i="1" s="1"/>
  <c r="O398" i="1"/>
  <c r="M398" i="1" a="1"/>
  <c r="M398" i="1" s="1"/>
  <c r="O338" i="1"/>
  <c r="N338" i="1"/>
  <c r="M338" i="1" a="1"/>
  <c r="M338" i="1" s="1"/>
  <c r="O278" i="1"/>
  <c r="N278" i="1"/>
  <c r="M278" i="1" a="1"/>
  <c r="M278" i="1" s="1"/>
  <c r="K218" i="1" a="1"/>
  <c r="K218" i="1" s="1"/>
  <c r="L218" i="1"/>
  <c r="M218" i="1" a="1"/>
  <c r="M218" i="1" s="1"/>
  <c r="N158" i="1"/>
  <c r="M158" i="1" a="1"/>
  <c r="M158" i="1" s="1"/>
  <c r="O74" i="1"/>
  <c r="N74" i="1"/>
  <c r="M74" i="1" a="1"/>
  <c r="M74" i="1" s="1"/>
  <c r="O961" i="1"/>
  <c r="N961" i="1"/>
  <c r="M961" i="1" a="1"/>
  <c r="M961" i="1" s="1"/>
  <c r="M889" i="1" a="1"/>
  <c r="M889" i="1" s="1"/>
  <c r="O829" i="1"/>
  <c r="M829" i="1" a="1"/>
  <c r="M829" i="1" s="1"/>
  <c r="O769" i="1"/>
  <c r="N769" i="1"/>
  <c r="M769" i="1" a="1"/>
  <c r="M769" i="1" s="1"/>
  <c r="O697" i="1"/>
  <c r="N697" i="1"/>
  <c r="M697" i="1" a="1"/>
  <c r="M697" i="1" s="1"/>
  <c r="M637" i="1" a="1"/>
  <c r="M637" i="1" s="1"/>
  <c r="O577" i="1"/>
  <c r="M577" i="1" a="1"/>
  <c r="M577" i="1" s="1"/>
  <c r="O517" i="1"/>
  <c r="N517" i="1"/>
  <c r="M517" i="1" a="1"/>
  <c r="M517" i="1" s="1"/>
  <c r="O457" i="1"/>
  <c r="N457" i="1"/>
  <c r="M457" i="1" a="1"/>
  <c r="M457" i="1" s="1"/>
  <c r="L397" i="1"/>
  <c r="O397" i="1"/>
  <c r="M397" i="1" a="1"/>
  <c r="M397" i="1" s="1"/>
  <c r="K397" i="1" a="1"/>
  <c r="K397" i="1" s="1"/>
  <c r="O337" i="1"/>
  <c r="N337" i="1"/>
  <c r="M337" i="1" a="1"/>
  <c r="M337" i="1" s="1"/>
  <c r="L277" i="1"/>
  <c r="N277" i="1"/>
  <c r="O277" i="1"/>
  <c r="K277" i="1" a="1"/>
  <c r="K277" i="1" s="1"/>
  <c r="M277" i="1" a="1"/>
  <c r="M277" i="1" s="1"/>
  <c r="N205" i="1"/>
  <c r="M205" i="1" a="1"/>
  <c r="M205" i="1" s="1"/>
  <c r="O133" i="1"/>
  <c r="N133" i="1"/>
  <c r="M133" i="1" a="1"/>
  <c r="M133" i="1" s="1"/>
  <c r="O85" i="1"/>
  <c r="N85" i="1"/>
  <c r="M85" i="1" a="1"/>
  <c r="M85" i="1" s="1"/>
  <c r="N37" i="1"/>
  <c r="M37" i="1" a="1"/>
  <c r="M37" i="1" s="1"/>
  <c r="M447" i="1" a="1"/>
  <c r="M447" i="1" s="1"/>
  <c r="O948" i="1"/>
  <c r="N900" i="1"/>
  <c r="O900" i="1"/>
  <c r="O852" i="1"/>
  <c r="N852" i="1"/>
  <c r="N792" i="1"/>
  <c r="O792" i="1"/>
  <c r="O732" i="1"/>
  <c r="M732" i="1" a="1"/>
  <c r="M732" i="1" s="1"/>
  <c r="O672" i="1"/>
  <c r="M672" i="1" a="1"/>
  <c r="M672" i="1" s="1"/>
  <c r="O612" i="1"/>
  <c r="N612" i="1"/>
  <c r="O552" i="1"/>
  <c r="N552" i="1"/>
  <c r="O504" i="1"/>
  <c r="N504" i="1"/>
  <c r="M504" i="1" a="1"/>
  <c r="M504" i="1" s="1"/>
  <c r="O384" i="1"/>
  <c r="M384" i="1" a="1"/>
  <c r="M384" i="1" s="1"/>
  <c r="N312" i="1"/>
  <c r="O312" i="1"/>
  <c r="M312" i="1" a="1"/>
  <c r="M312" i="1" s="1"/>
  <c r="L228" i="1"/>
  <c r="O228" i="1"/>
  <c r="N228" i="1"/>
  <c r="M228" i="1" a="1"/>
  <c r="M228" i="1" s="1"/>
  <c r="M168" i="1" a="1"/>
  <c r="M168" i="1" s="1"/>
  <c r="O120" i="1"/>
  <c r="M120" i="1" a="1"/>
  <c r="M120" i="1" s="1"/>
  <c r="O72" i="1"/>
  <c r="N72" i="1"/>
  <c r="M72" i="1" a="1"/>
  <c r="M72" i="1" s="1"/>
  <c r="N36" i="1"/>
  <c r="O36" i="1"/>
  <c r="M36" i="1" a="1"/>
  <c r="M36" i="1" s="1"/>
  <c r="M881" i="1" a="1"/>
  <c r="M881" i="1" s="1"/>
  <c r="O197" i="1"/>
  <c r="M197" i="1" a="1"/>
  <c r="M197" i="1" s="1"/>
  <c r="K106" i="1" a="1"/>
  <c r="K106" i="1" s="1"/>
  <c r="O106" i="1"/>
  <c r="N106" i="1"/>
  <c r="M106" i="1" a="1"/>
  <c r="M106" i="1" s="1"/>
  <c r="L460" i="1"/>
  <c r="O995" i="1"/>
  <c r="M995" i="1" a="1"/>
  <c r="M995" i="1" s="1"/>
  <c r="N923" i="1"/>
  <c r="M923" i="1" a="1"/>
  <c r="M923" i="1" s="1"/>
  <c r="L863" i="1"/>
  <c r="O863" i="1"/>
  <c r="N863" i="1"/>
  <c r="O815" i="1"/>
  <c r="N815" i="1"/>
  <c r="N743" i="1"/>
  <c r="O743" i="1"/>
  <c r="M743" i="1" a="1"/>
  <c r="M743" i="1" s="1"/>
  <c r="M671" i="1" a="1"/>
  <c r="M671" i="1" s="1"/>
  <c r="L611" i="1"/>
  <c r="O611" i="1"/>
  <c r="N611" i="1"/>
  <c r="K611" i="1" a="1"/>
  <c r="K611" i="1" s="1"/>
  <c r="M611" i="1" a="1"/>
  <c r="M611" i="1" s="1"/>
  <c r="L563" i="1"/>
  <c r="O563" i="1"/>
  <c r="N563" i="1"/>
  <c r="M503" i="1" a="1"/>
  <c r="M503" i="1" s="1"/>
  <c r="O443" i="1"/>
  <c r="M443" i="1" a="1"/>
  <c r="M443" i="1" s="1"/>
  <c r="L383" i="1"/>
  <c r="N383" i="1"/>
  <c r="O383" i="1"/>
  <c r="O335" i="1"/>
  <c r="N335" i="1"/>
  <c r="M335" i="1" a="1"/>
  <c r="M335" i="1" s="1"/>
  <c r="M263" i="1" a="1"/>
  <c r="M263" i="1" s="1"/>
  <c r="N191" i="1"/>
  <c r="M191" i="1" a="1"/>
  <c r="M191" i="1" s="1"/>
  <c r="O119" i="1"/>
  <c r="N119" i="1"/>
  <c r="M119" i="1" a="1"/>
  <c r="M119" i="1" s="1"/>
  <c r="N59" i="1"/>
  <c r="O59" i="1"/>
  <c r="M59" i="1" a="1"/>
  <c r="M59" i="1" s="1"/>
  <c r="M101" i="1" a="1"/>
  <c r="M101" i="1" s="1"/>
  <c r="O946" i="1"/>
  <c r="O886" i="1"/>
  <c r="N886" i="1"/>
  <c r="M886" i="1" a="1"/>
  <c r="M886" i="1" s="1"/>
  <c r="K826" i="1" a="1"/>
  <c r="K826" i="1" s="1"/>
  <c r="O826" i="1"/>
  <c r="N826" i="1"/>
  <c r="M826" i="1" a="1"/>
  <c r="M826" i="1" s="1"/>
  <c r="L826" i="1"/>
  <c r="M754" i="1" a="1"/>
  <c r="M754" i="1" s="1"/>
  <c r="N694" i="1"/>
  <c r="M694" i="1" a="1"/>
  <c r="M694" i="1" s="1"/>
  <c r="O622" i="1"/>
  <c r="N622" i="1"/>
  <c r="M622" i="1" a="1"/>
  <c r="M622" i="1" s="1"/>
  <c r="O538" i="1"/>
  <c r="N538" i="1"/>
  <c r="M478" i="1" a="1"/>
  <c r="M478" i="1" s="1"/>
  <c r="O406" i="1"/>
  <c r="M406" i="1" a="1"/>
  <c r="M406" i="1" s="1"/>
  <c r="L286" i="1"/>
  <c r="O286" i="1"/>
  <c r="N286" i="1"/>
  <c r="M286" i="1" a="1"/>
  <c r="M286" i="1" s="1"/>
  <c r="O214" i="1"/>
  <c r="N214" i="1"/>
  <c r="M154" i="1" a="1"/>
  <c r="M154" i="1" s="1"/>
  <c r="O94" i="1"/>
  <c r="M94" i="1" a="1"/>
  <c r="M94" i="1" s="1"/>
  <c r="O10" i="1"/>
  <c r="N10" i="1"/>
  <c r="M10" i="1" a="1"/>
  <c r="M10" i="1" s="1"/>
  <c r="L501" i="1"/>
  <c r="O501" i="1"/>
  <c r="N501" i="1"/>
  <c r="L921" i="1"/>
  <c r="M921" i="1" a="1"/>
  <c r="M921" i="1" s="1"/>
  <c r="K921" i="1" a="1"/>
  <c r="K921" i="1" s="1"/>
  <c r="M863" i="1" a="1"/>
  <c r="M863" i="1" s="1"/>
  <c r="M815" i="1" a="1"/>
  <c r="M815" i="1" s="1"/>
  <c r="M641" i="1" a="1"/>
  <c r="M641" i="1" s="1"/>
  <c r="O892" i="1"/>
  <c r="N892" i="1"/>
  <c r="M892" i="1" a="1"/>
  <c r="M892" i="1" s="1"/>
  <c r="O748" i="1"/>
  <c r="M748" i="1" a="1"/>
  <c r="M748" i="1" s="1"/>
  <c r="N676" i="1"/>
  <c r="K616" i="1" a="1"/>
  <c r="K616" i="1" s="1"/>
  <c r="O616" i="1"/>
  <c r="N616" i="1"/>
  <c r="L544" i="1"/>
  <c r="O544" i="1"/>
  <c r="N544" i="1"/>
  <c r="M544" i="1" a="1"/>
  <c r="M544" i="1" s="1"/>
  <c r="L472" i="1"/>
  <c r="K472" i="1" a="1"/>
  <c r="K472" i="1" s="1"/>
  <c r="M472" i="1" a="1"/>
  <c r="M472" i="1" s="1"/>
  <c r="K400" i="1" a="1"/>
  <c r="K400" i="1" s="1"/>
  <c r="O400" i="1"/>
  <c r="N400" i="1"/>
  <c r="L400" i="1"/>
  <c r="M400" i="1" a="1"/>
  <c r="M400" i="1" s="1"/>
  <c r="O328" i="1"/>
  <c r="N328" i="1"/>
  <c r="M328" i="1" a="1"/>
  <c r="M328" i="1" s="1"/>
  <c r="K256" i="1" a="1"/>
  <c r="K256" i="1" s="1"/>
  <c r="L256" i="1"/>
  <c r="M256" i="1" a="1"/>
  <c r="M256" i="1" s="1"/>
  <c r="L184" i="1"/>
  <c r="O184" i="1"/>
  <c r="N184" i="1"/>
  <c r="M184" i="1" a="1"/>
  <c r="M184" i="1" s="1"/>
  <c r="K184" i="1" a="1"/>
  <c r="K184" i="1" s="1"/>
  <c r="O124" i="1"/>
  <c r="N124" i="1"/>
  <c r="M124" i="1" a="1"/>
  <c r="M124" i="1" s="1"/>
  <c r="M88" i="1" a="1"/>
  <c r="M88" i="1" s="1"/>
  <c r="L40" i="1"/>
  <c r="O40" i="1"/>
  <c r="N40" i="1"/>
  <c r="M40" i="1" a="1"/>
  <c r="M40" i="1" s="1"/>
  <c r="L833" i="1"/>
  <c r="O833" i="1"/>
  <c r="N833" i="1"/>
  <c r="K833" i="1" a="1"/>
  <c r="K833" i="1" s="1"/>
  <c r="M833" i="1" a="1"/>
  <c r="M833" i="1" s="1"/>
  <c r="K346" i="1" a="1"/>
  <c r="K346" i="1" s="1"/>
  <c r="N346" i="1"/>
  <c r="L346" i="1"/>
  <c r="M346" i="1" a="1"/>
  <c r="M346" i="1" s="1"/>
  <c r="O939" i="1"/>
  <c r="N939" i="1"/>
  <c r="M939" i="1" a="1"/>
  <c r="M939" i="1" s="1"/>
  <c r="O819" i="1"/>
  <c r="N819" i="1"/>
  <c r="M819" i="1" a="1"/>
  <c r="M819" i="1" s="1"/>
  <c r="M747" i="1" a="1"/>
  <c r="M747" i="1" s="1"/>
  <c r="K615" i="1" a="1"/>
  <c r="K615" i="1" s="1"/>
  <c r="N615" i="1"/>
  <c r="M615" i="1" a="1"/>
  <c r="M615" i="1" s="1"/>
  <c r="K555" i="1" a="1"/>
  <c r="K555" i="1" s="1"/>
  <c r="O555" i="1"/>
  <c r="N555" i="1"/>
  <c r="L555" i="1"/>
  <c r="M555" i="1" a="1"/>
  <c r="M555" i="1" s="1"/>
  <c r="L471" i="1"/>
  <c r="M471" i="1" a="1"/>
  <c r="M471" i="1" s="1"/>
  <c r="L411" i="1"/>
  <c r="O411" i="1"/>
  <c r="N411" i="1"/>
  <c r="K411" i="1" a="1"/>
  <c r="K411" i="1" s="1"/>
  <c r="L351" i="1"/>
  <c r="O351" i="1"/>
  <c r="N351" i="1"/>
  <c r="M351" i="1" a="1"/>
  <c r="M351" i="1" s="1"/>
  <c r="M279" i="1" a="1"/>
  <c r="M279" i="1" s="1"/>
  <c r="O207" i="1"/>
  <c r="M207" i="1" a="1"/>
  <c r="M207" i="1" s="1"/>
  <c r="O123" i="1"/>
  <c r="N123" i="1"/>
  <c r="M123" i="1" a="1"/>
  <c r="M123" i="1" s="1"/>
  <c r="O39" i="1"/>
  <c r="N39" i="1"/>
  <c r="M39" i="1" a="1"/>
  <c r="M39" i="1" s="1"/>
  <c r="M974" i="1" a="1"/>
  <c r="M974" i="1" s="1"/>
  <c r="O914" i="1"/>
  <c r="M914" i="1" a="1"/>
  <c r="M914" i="1" s="1"/>
  <c r="O866" i="1"/>
  <c r="N866" i="1"/>
  <c r="M866" i="1" a="1"/>
  <c r="M866" i="1" s="1"/>
  <c r="N818" i="1"/>
  <c r="O818" i="1"/>
  <c r="M818" i="1" a="1"/>
  <c r="M818" i="1" s="1"/>
  <c r="K686" i="1" a="1"/>
  <c r="K686" i="1" s="1"/>
  <c r="N686" i="1"/>
  <c r="M686" i="1" a="1"/>
  <c r="M686" i="1" s="1"/>
  <c r="N626" i="1"/>
  <c r="O626" i="1"/>
  <c r="M626" i="1" a="1"/>
  <c r="M626" i="1" s="1"/>
  <c r="O566" i="1"/>
  <c r="N566" i="1"/>
  <c r="M566" i="1" a="1"/>
  <c r="M566" i="1" s="1"/>
  <c r="M506" i="1" a="1"/>
  <c r="M506" i="1" s="1"/>
  <c r="N446" i="1"/>
  <c r="M446" i="1" a="1"/>
  <c r="M446" i="1" s="1"/>
  <c r="O374" i="1"/>
  <c r="N374" i="1"/>
  <c r="O302" i="1"/>
  <c r="N302" i="1"/>
  <c r="M302" i="1" a="1"/>
  <c r="M302" i="1" s="1"/>
  <c r="O242" i="1"/>
  <c r="M242" i="1" a="1"/>
  <c r="M242" i="1" s="1"/>
  <c r="O182" i="1"/>
  <c r="M182" i="1" a="1"/>
  <c r="M182" i="1" s="1"/>
  <c r="L134" i="1"/>
  <c r="O134" i="1"/>
  <c r="N134" i="1"/>
  <c r="M134" i="1" a="1"/>
  <c r="M134" i="1" s="1"/>
  <c r="N98" i="1"/>
  <c r="O98" i="1"/>
  <c r="M98" i="1" a="1"/>
  <c r="M98" i="1" s="1"/>
  <c r="M62" i="1" a="1"/>
  <c r="M62" i="1" s="1"/>
  <c r="O38" i="1"/>
  <c r="M38" i="1" a="1"/>
  <c r="M38" i="1" s="1"/>
  <c r="L14" i="1"/>
  <c r="N14" i="1"/>
  <c r="O14" i="1"/>
  <c r="M14" i="1" a="1"/>
  <c r="M14" i="1" s="1"/>
  <c r="O533" i="1"/>
  <c r="N533" i="1"/>
  <c r="M533" i="1" a="1"/>
  <c r="M533" i="1" s="1"/>
  <c r="M234" i="1" a="1"/>
  <c r="M234" i="1" s="1"/>
  <c r="N114" i="1"/>
  <c r="M114" i="1" a="1"/>
  <c r="M114" i="1" s="1"/>
  <c r="N973" i="1"/>
  <c r="O973" i="1"/>
  <c r="M973" i="1" a="1"/>
  <c r="M973" i="1" s="1"/>
  <c r="O913" i="1"/>
  <c r="N913" i="1"/>
  <c r="M913" i="1" a="1"/>
  <c r="M913" i="1" s="1"/>
  <c r="M853" i="1" a="1"/>
  <c r="M853" i="1" s="1"/>
  <c r="O793" i="1"/>
  <c r="M793" i="1" a="1"/>
  <c r="M793" i="1" s="1"/>
  <c r="O733" i="1"/>
  <c r="N733" i="1"/>
  <c r="M733" i="1" a="1"/>
  <c r="M733" i="1" s="1"/>
  <c r="N673" i="1"/>
  <c r="O673" i="1"/>
  <c r="M673" i="1" a="1"/>
  <c r="M673" i="1" s="1"/>
  <c r="M613" i="1" a="1"/>
  <c r="M613" i="1" s="1"/>
  <c r="N553" i="1"/>
  <c r="M553" i="1" a="1"/>
  <c r="M553" i="1" s="1"/>
  <c r="N493" i="1"/>
  <c r="O493" i="1"/>
  <c r="M493" i="1" a="1"/>
  <c r="M493" i="1" s="1"/>
  <c r="N433" i="1"/>
  <c r="O433" i="1"/>
  <c r="M433" i="1" a="1"/>
  <c r="M433" i="1" s="1"/>
  <c r="M373" i="1" a="1"/>
  <c r="M373" i="1" s="1"/>
  <c r="L313" i="1"/>
  <c r="N313" i="1"/>
  <c r="O313" i="1"/>
  <c r="M313" i="1" a="1"/>
  <c r="M313" i="1" s="1"/>
  <c r="N253" i="1"/>
  <c r="O253" i="1"/>
  <c r="M253" i="1" a="1"/>
  <c r="M253" i="1" s="1"/>
  <c r="O193" i="1"/>
  <c r="M193" i="1" a="1"/>
  <c r="M193" i="1" s="1"/>
  <c r="K145" i="1" a="1"/>
  <c r="K145" i="1" s="1"/>
  <c r="N145" i="1"/>
  <c r="M145" i="1" a="1"/>
  <c r="M145" i="1" s="1"/>
  <c r="N97" i="1"/>
  <c r="O97" i="1"/>
  <c r="M97" i="1" a="1"/>
  <c r="M97" i="1" s="1"/>
  <c r="O49" i="1"/>
  <c r="N49" i="1"/>
  <c r="M49" i="1" a="1"/>
  <c r="M49" i="1" s="1"/>
  <c r="L13" i="1"/>
  <c r="M13" i="1" a="1"/>
  <c r="M13" i="1" s="1"/>
  <c r="K13" i="1" a="1"/>
  <c r="K13" i="1" s="1"/>
  <c r="N635" i="1"/>
  <c r="O635" i="1"/>
  <c r="M635" i="1" a="1"/>
  <c r="M635" i="1" s="1"/>
  <c r="O307" i="1"/>
  <c r="N307" i="1"/>
  <c r="M307" i="1" a="1"/>
  <c r="M307" i="1" s="1"/>
  <c r="O113" i="1"/>
  <c r="M113" i="1" a="1"/>
  <c r="M113" i="1" s="1"/>
  <c r="K99" i="1" a="1"/>
  <c r="K99" i="1" s="1"/>
  <c r="O996" i="1"/>
  <c r="M996" i="1" a="1"/>
  <c r="M996" i="1" s="1"/>
  <c r="O876" i="1"/>
  <c r="N876" i="1"/>
  <c r="M876" i="1" a="1"/>
  <c r="M876" i="1" s="1"/>
  <c r="O816" i="1"/>
  <c r="N816" i="1"/>
  <c r="M816" i="1" a="1"/>
  <c r="M816" i="1" s="1"/>
  <c r="L756" i="1"/>
  <c r="M756" i="1" a="1"/>
  <c r="M756" i="1" s="1"/>
  <c r="N648" i="1"/>
  <c r="O588" i="1"/>
  <c r="N588" i="1"/>
  <c r="N528" i="1"/>
  <c r="O528" i="1"/>
  <c r="M528" i="1" a="1"/>
  <c r="M528" i="1" s="1"/>
  <c r="N468" i="1"/>
  <c r="M336" i="1" a="1"/>
  <c r="M336" i="1" s="1"/>
  <c r="N264" i="1"/>
  <c r="M264" i="1" a="1"/>
  <c r="M264" i="1" s="1"/>
  <c r="O192" i="1"/>
  <c r="N192" i="1"/>
  <c r="M192" i="1" a="1"/>
  <c r="M192" i="1" s="1"/>
  <c r="O132" i="1"/>
  <c r="N132" i="1"/>
  <c r="M132" i="1" a="1"/>
  <c r="M132" i="1" s="1"/>
  <c r="M84" i="1" a="1"/>
  <c r="M84" i="1" s="1"/>
  <c r="N48" i="1"/>
  <c r="M48" i="1" a="1"/>
  <c r="M48" i="1" s="1"/>
  <c r="L12" i="1"/>
  <c r="N12" i="1"/>
  <c r="O12" i="1"/>
  <c r="M12" i="1" a="1"/>
  <c r="M12" i="1" s="1"/>
  <c r="K12" i="1" a="1"/>
  <c r="K12" i="1" s="1"/>
  <c r="N713" i="1"/>
  <c r="N634" i="1"/>
  <c r="M634" i="1" a="1"/>
  <c r="M634" i="1" s="1"/>
  <c r="O306" i="1"/>
  <c r="N306" i="1"/>
  <c r="M306" i="1" a="1"/>
  <c r="M306" i="1" s="1"/>
  <c r="O20" i="1"/>
  <c r="N20" i="1"/>
  <c r="M20" i="1" a="1"/>
  <c r="M20" i="1" s="1"/>
  <c r="N887" i="1"/>
  <c r="K827" i="1" a="1"/>
  <c r="K827" i="1" s="1"/>
  <c r="N827" i="1"/>
  <c r="O827" i="1"/>
  <c r="M827" i="1" a="1"/>
  <c r="M827" i="1" s="1"/>
  <c r="L827" i="1"/>
  <c r="O767" i="1"/>
  <c r="N767" i="1"/>
  <c r="M767" i="1" a="1"/>
  <c r="M767" i="1" s="1"/>
  <c r="L707" i="1"/>
  <c r="N707" i="1"/>
  <c r="K707" i="1" a="1"/>
  <c r="K707" i="1" s="1"/>
  <c r="N647" i="1"/>
  <c r="O647" i="1"/>
  <c r="M647" i="1" a="1"/>
  <c r="M647" i="1" s="1"/>
  <c r="O599" i="1"/>
  <c r="N599" i="1"/>
  <c r="M599" i="1" a="1"/>
  <c r="M599" i="1" s="1"/>
  <c r="N575" i="1"/>
  <c r="M575" i="1" a="1"/>
  <c r="M575" i="1" s="1"/>
  <c r="O527" i="1"/>
  <c r="M527" i="1" a="1"/>
  <c r="M527" i="1" s="1"/>
  <c r="O467" i="1"/>
  <c r="N467" i="1"/>
  <c r="K347" i="1" a="1"/>
  <c r="K347" i="1" s="1"/>
  <c r="N347" i="1"/>
  <c r="O347" i="1"/>
  <c r="L347" i="1"/>
  <c r="M347" i="1" a="1"/>
  <c r="M347" i="1" s="1"/>
  <c r="M287" i="1" a="1"/>
  <c r="M287" i="1" s="1"/>
  <c r="N215" i="1"/>
  <c r="M215" i="1" a="1"/>
  <c r="M215" i="1" s="1"/>
  <c r="N167" i="1"/>
  <c r="O167" i="1"/>
  <c r="N107" i="1"/>
  <c r="O107" i="1"/>
  <c r="O71" i="1"/>
  <c r="N71" i="1"/>
  <c r="M71" i="1" a="1"/>
  <c r="M71" i="1" s="1"/>
  <c r="M11" i="1" a="1"/>
  <c r="M11" i="1" s="1"/>
  <c r="N633" i="1"/>
  <c r="M633" i="1" a="1"/>
  <c r="M633" i="1" s="1"/>
  <c r="M792" i="1" a="1"/>
  <c r="M792" i="1" s="1"/>
  <c r="O970" i="1"/>
  <c r="N970" i="1"/>
  <c r="M970" i="1" a="1"/>
  <c r="M970" i="1" s="1"/>
  <c r="O910" i="1"/>
  <c r="M850" i="1" a="1"/>
  <c r="M850" i="1" s="1"/>
  <c r="L790" i="1"/>
  <c r="O790" i="1"/>
  <c r="N790" i="1"/>
  <c r="O730" i="1"/>
  <c r="N730" i="1"/>
  <c r="O670" i="1"/>
  <c r="N670" i="1"/>
  <c r="M670" i="1" a="1"/>
  <c r="M670" i="1" s="1"/>
  <c r="N550" i="1"/>
  <c r="M550" i="1" a="1"/>
  <c r="M550" i="1" s="1"/>
  <c r="K490" i="1" a="1"/>
  <c r="K490" i="1" s="1"/>
  <c r="O490" i="1"/>
  <c r="N490" i="1"/>
  <c r="M490" i="1" a="1"/>
  <c r="M490" i="1" s="1"/>
  <c r="O430" i="1"/>
  <c r="N430" i="1"/>
  <c r="M430" i="1" a="1"/>
  <c r="M430" i="1" s="1"/>
  <c r="M322" i="1" a="1"/>
  <c r="M322" i="1" s="1"/>
  <c r="O274" i="1"/>
  <c r="M274" i="1" a="1"/>
  <c r="M274" i="1" s="1"/>
  <c r="O226" i="1"/>
  <c r="N226" i="1"/>
  <c r="M226" i="1" a="1"/>
  <c r="M226" i="1" s="1"/>
  <c r="K190" i="1" a="1"/>
  <c r="K190" i="1" s="1"/>
  <c r="O190" i="1"/>
  <c r="N190" i="1"/>
  <c r="M190" i="1" a="1"/>
  <c r="M190" i="1" s="1"/>
  <c r="M130" i="1" a="1"/>
  <c r="M130" i="1" s="1"/>
  <c r="K82" i="1" a="1"/>
  <c r="K82" i="1" s="1"/>
  <c r="O82" i="1"/>
  <c r="N82" i="1"/>
  <c r="M82" i="1" a="1"/>
  <c r="M82" i="1" s="1"/>
  <c r="O34" i="1"/>
  <c r="N34" i="1"/>
  <c r="M34" i="1" a="1"/>
  <c r="M34" i="1" s="1"/>
  <c r="O91" i="1"/>
  <c r="M91" i="1" a="1"/>
  <c r="M91" i="1" s="1"/>
  <c r="M707" i="1" a="1"/>
  <c r="M707" i="1" s="1"/>
  <c r="O981" i="1"/>
  <c r="O261" i="1"/>
  <c r="N261" i="1"/>
  <c r="M261" i="1" a="1"/>
  <c r="M261" i="1" s="1"/>
  <c r="O69" i="1"/>
  <c r="N69" i="1"/>
  <c r="M69" i="1" a="1"/>
  <c r="M69" i="1" s="1"/>
  <c r="O965" i="1"/>
  <c r="M965" i="1" a="1"/>
  <c r="M965" i="1" s="1"/>
  <c r="L500" i="1"/>
  <c r="O500" i="1"/>
  <c r="M500" i="1" a="1"/>
  <c r="M500" i="1" s="1"/>
  <c r="K500" i="1" a="1"/>
  <c r="K500" i="1" s="1"/>
  <c r="O391" i="1"/>
  <c r="N391" i="1"/>
  <c r="M391" i="1" a="1"/>
  <c r="M391" i="1" s="1"/>
  <c r="L297" i="1"/>
  <c r="O297" i="1"/>
  <c r="K297" i="1" a="1"/>
  <c r="K297" i="1" s="1"/>
  <c r="N90" i="1"/>
  <c r="M90" i="1" a="1"/>
  <c r="M90" i="1" s="1"/>
  <c r="K460" i="1" a="1"/>
  <c r="K460" i="1" s="1"/>
  <c r="M887" i="1" a="1"/>
  <c r="M887" i="1" s="1"/>
  <c r="M758" i="1" a="1"/>
  <c r="M758" i="1" s="1"/>
  <c r="M648" i="1" a="1"/>
  <c r="M648" i="1" s="1"/>
  <c r="O344" i="1"/>
  <c r="N344" i="1"/>
  <c r="M344" i="1" a="1"/>
  <c r="M344" i="1" s="1"/>
  <c r="L212" i="1"/>
  <c r="M212" i="1" a="1"/>
  <c r="M212" i="1" s="1"/>
  <c r="N777" i="1"/>
  <c r="M777" i="1" a="1"/>
  <c r="M777" i="1" s="1"/>
  <c r="O487" i="1"/>
  <c r="N487" i="1"/>
  <c r="M487" i="1" a="1"/>
  <c r="M487" i="1" s="1"/>
  <c r="O377" i="1"/>
  <c r="N377" i="1"/>
  <c r="M377" i="1" a="1"/>
  <c r="M377" i="1" s="1"/>
  <c r="M260" i="1" a="1"/>
  <c r="M260" i="1" s="1"/>
  <c r="K544" i="1" a="1"/>
  <c r="K544" i="1" s="1"/>
  <c r="M987" i="1" a="1"/>
  <c r="M987" i="1" s="1"/>
  <c r="O463" i="1"/>
  <c r="N463" i="1"/>
  <c r="M463" i="1" a="1"/>
  <c r="M463" i="1" s="1"/>
  <c r="O343" i="1"/>
  <c r="N343" i="1"/>
  <c r="M343" i="1" a="1"/>
  <c r="M343" i="1" s="1"/>
  <c r="M283" i="1" a="1"/>
  <c r="M283" i="1" s="1"/>
  <c r="L211" i="1"/>
  <c r="N211" i="1"/>
  <c r="M211" i="1" a="1"/>
  <c r="M211" i="1" s="1"/>
  <c r="L67" i="1"/>
  <c r="O67" i="1"/>
  <c r="N67" i="1"/>
  <c r="M67" i="1" a="1"/>
  <c r="M67" i="1" s="1"/>
  <c r="O773" i="1"/>
  <c r="M681" i="1" a="1"/>
  <c r="M681" i="1" s="1"/>
  <c r="N259" i="1"/>
  <c r="M259" i="1" a="1"/>
  <c r="M259" i="1" s="1"/>
  <c r="O177" i="1"/>
  <c r="N177" i="1"/>
  <c r="M177" i="1" a="1"/>
  <c r="M177" i="1" s="1"/>
  <c r="M946" i="1" a="1"/>
  <c r="M946" i="1" s="1"/>
  <c r="M730" i="1" a="1"/>
  <c r="M730" i="1" s="1"/>
  <c r="M552" i="1" a="1"/>
  <c r="M552" i="1" s="1"/>
  <c r="M167" i="1" a="1"/>
  <c r="M167" i="1" s="1"/>
  <c r="N964" i="1"/>
  <c r="M964" i="1" a="1"/>
  <c r="M964" i="1" s="1"/>
  <c r="O916" i="1"/>
  <c r="N916" i="1"/>
  <c r="M916" i="1" a="1"/>
  <c r="M916" i="1" s="1"/>
  <c r="O856" i="1"/>
  <c r="N856" i="1"/>
  <c r="M856" i="1" a="1"/>
  <c r="M856" i="1" s="1"/>
  <c r="O712" i="1"/>
  <c r="M712" i="1" a="1"/>
  <c r="M712" i="1" s="1"/>
  <c r="N652" i="1"/>
  <c r="M652" i="1" a="1"/>
  <c r="M652" i="1" s="1"/>
  <c r="L520" i="1"/>
  <c r="O520" i="1"/>
  <c r="N520" i="1"/>
  <c r="K448" i="1" a="1"/>
  <c r="K448" i="1" s="1"/>
  <c r="O448" i="1"/>
  <c r="N448" i="1"/>
  <c r="M448" i="1" a="1"/>
  <c r="M448" i="1" s="1"/>
  <c r="L376" i="1"/>
  <c r="M376" i="1" a="1"/>
  <c r="M376" i="1" s="1"/>
  <c r="L292" i="1"/>
  <c r="O292" i="1"/>
  <c r="N292" i="1"/>
  <c r="M292" i="1" a="1"/>
  <c r="M292" i="1" s="1"/>
  <c r="O208" i="1"/>
  <c r="N208" i="1"/>
  <c r="M208" i="1" a="1"/>
  <c r="M208" i="1" s="1"/>
  <c r="O136" i="1"/>
  <c r="M136" i="1" a="1"/>
  <c r="M136" i="1" s="1"/>
  <c r="L76" i="1"/>
  <c r="O76" i="1"/>
  <c r="K76" i="1" a="1"/>
  <c r="K76" i="1" s="1"/>
  <c r="M76" i="1" a="1"/>
  <c r="M76" i="1" s="1"/>
  <c r="L28" i="1"/>
  <c r="O28" i="1"/>
  <c r="N28" i="1"/>
  <c r="M28" i="1" a="1"/>
  <c r="M28" i="1" s="1"/>
  <c r="N935" i="1"/>
  <c r="K759" i="1" a="1"/>
  <c r="K759" i="1" s="1"/>
  <c r="N759" i="1"/>
  <c r="L759" i="1"/>
  <c r="M759" i="1" a="1"/>
  <c r="M759" i="1" s="1"/>
  <c r="L450" i="1"/>
  <c r="O450" i="1"/>
  <c r="N450" i="1"/>
  <c r="M450" i="1" a="1"/>
  <c r="M450" i="1" s="1"/>
  <c r="N239" i="1"/>
  <c r="O239" i="1"/>
  <c r="M24" i="1" a="1"/>
  <c r="M24" i="1" s="1"/>
  <c r="L963" i="1"/>
  <c r="N963" i="1"/>
  <c r="M963" i="1" a="1"/>
  <c r="M963" i="1" s="1"/>
  <c r="O903" i="1"/>
  <c r="N903" i="1"/>
  <c r="M903" i="1" a="1"/>
  <c r="M903" i="1" s="1"/>
  <c r="O855" i="1"/>
  <c r="N855" i="1"/>
  <c r="M807" i="1" a="1"/>
  <c r="M807" i="1" s="1"/>
  <c r="O699" i="1"/>
  <c r="M699" i="1" a="1"/>
  <c r="M699" i="1" s="1"/>
  <c r="O627" i="1"/>
  <c r="N627" i="1"/>
  <c r="M627" i="1" a="1"/>
  <c r="M627" i="1" s="1"/>
  <c r="O543" i="1"/>
  <c r="N543" i="1"/>
  <c r="M543" i="1" a="1"/>
  <c r="M543" i="1" s="1"/>
  <c r="L423" i="1"/>
  <c r="O423" i="1"/>
  <c r="K423" i="1" a="1"/>
  <c r="K423" i="1" s="1"/>
  <c r="M423" i="1" a="1"/>
  <c r="M423" i="1" s="1"/>
  <c r="K363" i="1" a="1"/>
  <c r="K363" i="1" s="1"/>
  <c r="O363" i="1"/>
  <c r="N363" i="1"/>
  <c r="M363" i="1" a="1"/>
  <c r="M363" i="1" s="1"/>
  <c r="O303" i="1"/>
  <c r="M303" i="1" a="1"/>
  <c r="M303" i="1" s="1"/>
  <c r="O243" i="1"/>
  <c r="N243" i="1"/>
  <c r="N171" i="1"/>
  <c r="M171" i="1" a="1"/>
  <c r="M171" i="1" s="1"/>
  <c r="K75" i="1" a="1"/>
  <c r="K75" i="1" s="1"/>
  <c r="O75" i="1"/>
  <c r="N75" i="1"/>
  <c r="M75" i="1" a="1"/>
  <c r="M75" i="1" s="1"/>
  <c r="O737" i="1"/>
  <c r="M737" i="1" a="1"/>
  <c r="M737" i="1" s="1"/>
  <c r="K387" i="1" a="1"/>
  <c r="K387" i="1" s="1"/>
  <c r="M483" i="1" a="1"/>
  <c r="M483" i="1" s="1"/>
  <c r="M387" i="1" a="1"/>
  <c r="M387" i="1" s="1"/>
  <c r="N986" i="1"/>
  <c r="O986" i="1"/>
  <c r="M986" i="1" a="1"/>
  <c r="M986" i="1" s="1"/>
  <c r="O926" i="1"/>
  <c r="N926" i="1"/>
  <c r="O890" i="1"/>
  <c r="N890" i="1"/>
  <c r="M842" i="1" a="1"/>
  <c r="M842" i="1" s="1"/>
  <c r="N782" i="1"/>
  <c r="M782" i="1" a="1"/>
  <c r="M782" i="1" s="1"/>
  <c r="N710" i="1"/>
  <c r="O710" i="1"/>
  <c r="M710" i="1" a="1"/>
  <c r="M710" i="1" s="1"/>
  <c r="N650" i="1"/>
  <c r="O650" i="1"/>
  <c r="O590" i="1"/>
  <c r="O530" i="1"/>
  <c r="M530" i="1" a="1"/>
  <c r="M530" i="1" s="1"/>
  <c r="L482" i="1"/>
  <c r="N482" i="1"/>
  <c r="O482" i="1"/>
  <c r="K482" i="1" a="1"/>
  <c r="K482" i="1" s="1"/>
  <c r="M482" i="1" a="1"/>
  <c r="M482" i="1" s="1"/>
  <c r="N422" i="1"/>
  <c r="O422" i="1"/>
  <c r="M422" i="1" a="1"/>
  <c r="M422" i="1" s="1"/>
  <c r="M362" i="1" a="1"/>
  <c r="M362" i="1" s="1"/>
  <c r="N314" i="1"/>
  <c r="M314" i="1" a="1"/>
  <c r="M314" i="1" s="1"/>
  <c r="N254" i="1"/>
  <c r="O254" i="1"/>
  <c r="M254" i="1" a="1"/>
  <c r="M254" i="1" s="1"/>
  <c r="N194" i="1"/>
  <c r="O194" i="1"/>
  <c r="M194" i="1" a="1"/>
  <c r="M194" i="1" s="1"/>
  <c r="M122" i="1" a="1"/>
  <c r="M122" i="1" s="1"/>
  <c r="K26" i="1" a="1"/>
  <c r="K26" i="1" s="1"/>
  <c r="N26" i="1"/>
  <c r="M26" i="1" a="1"/>
  <c r="M26" i="1" s="1"/>
  <c r="O408" i="1"/>
  <c r="N408" i="1"/>
  <c r="M408" i="1" a="1"/>
  <c r="M408" i="1" s="1"/>
  <c r="O997" i="1"/>
  <c r="N997" i="1"/>
  <c r="M997" i="1" a="1"/>
  <c r="M997" i="1" s="1"/>
  <c r="N865" i="1"/>
  <c r="M865" i="1" a="1"/>
  <c r="M865" i="1" s="1"/>
  <c r="N805" i="1"/>
  <c r="O721" i="1"/>
  <c r="N721" i="1"/>
  <c r="M721" i="1" a="1"/>
  <c r="M721" i="1" s="1"/>
  <c r="O649" i="1"/>
  <c r="N649" i="1"/>
  <c r="M649" i="1" a="1"/>
  <c r="M649" i="1" s="1"/>
  <c r="M589" i="1" a="1"/>
  <c r="M589" i="1" s="1"/>
  <c r="N529" i="1"/>
  <c r="M529" i="1" a="1"/>
  <c r="M529" i="1" s="1"/>
  <c r="O481" i="1"/>
  <c r="N481" i="1"/>
  <c r="M481" i="1" a="1"/>
  <c r="M481" i="1" s="1"/>
  <c r="O421" i="1"/>
  <c r="N421" i="1"/>
  <c r="M421" i="1" a="1"/>
  <c r="M421" i="1" s="1"/>
  <c r="L349" i="1"/>
  <c r="O349" i="1"/>
  <c r="M349" i="1" a="1"/>
  <c r="M349" i="1" s="1"/>
  <c r="K349" i="1" a="1"/>
  <c r="K349" i="1" s="1"/>
  <c r="O301" i="1"/>
  <c r="N301" i="1"/>
  <c r="M301" i="1" a="1"/>
  <c r="M301" i="1" s="1"/>
  <c r="O229" i="1"/>
  <c r="N229" i="1"/>
  <c r="M229" i="1" a="1"/>
  <c r="M229" i="1" s="1"/>
  <c r="N169" i="1"/>
  <c r="O109" i="1"/>
  <c r="M109" i="1" a="1"/>
  <c r="M109" i="1" s="1"/>
  <c r="N61" i="1"/>
  <c r="O407" i="1"/>
  <c r="N407" i="1"/>
  <c r="M407" i="1" a="1"/>
  <c r="M407" i="1" s="1"/>
  <c r="O21" i="1"/>
  <c r="N21" i="1"/>
  <c r="M21" i="1" a="1"/>
  <c r="M21" i="1" s="1"/>
  <c r="M960" i="1" a="1"/>
  <c r="M960" i="1" s="1"/>
  <c r="O912" i="1"/>
  <c r="M912" i="1" a="1"/>
  <c r="M912" i="1" s="1"/>
  <c r="O840" i="1"/>
  <c r="N840" i="1"/>
  <c r="M840" i="1" a="1"/>
  <c r="M840" i="1" s="1"/>
  <c r="O780" i="1"/>
  <c r="N780" i="1"/>
  <c r="M780" i="1" a="1"/>
  <c r="M780" i="1" s="1"/>
  <c r="L708" i="1"/>
  <c r="N708" i="1"/>
  <c r="M708" i="1" a="1"/>
  <c r="M708" i="1" s="1"/>
  <c r="K708" i="1" a="1"/>
  <c r="K708" i="1" s="1"/>
  <c r="O636" i="1"/>
  <c r="N636" i="1"/>
  <c r="M636" i="1" a="1"/>
  <c r="M636" i="1" s="1"/>
  <c r="O564" i="1"/>
  <c r="N564" i="1"/>
  <c r="M564" i="1" a="1"/>
  <c r="M564" i="1" s="1"/>
  <c r="O492" i="1"/>
  <c r="M492" i="1" a="1"/>
  <c r="M492" i="1" s="1"/>
  <c r="N432" i="1"/>
  <c r="O432" i="1"/>
  <c r="M432" i="1" a="1"/>
  <c r="M432" i="1" s="1"/>
  <c r="O360" i="1"/>
  <c r="N360" i="1"/>
  <c r="K288" i="1" a="1"/>
  <c r="K288" i="1" s="1"/>
  <c r="O288" i="1"/>
  <c r="N288" i="1"/>
  <c r="M288" i="1" a="1"/>
  <c r="M288" i="1" s="1"/>
  <c r="N216" i="1"/>
  <c r="M216" i="1" a="1"/>
  <c r="M216" i="1" s="1"/>
  <c r="O156" i="1"/>
  <c r="N156" i="1"/>
  <c r="M156" i="1" a="1"/>
  <c r="M156" i="1" s="1"/>
  <c r="N96" i="1"/>
  <c r="O96" i="1"/>
  <c r="M96" i="1" a="1"/>
  <c r="M96" i="1" s="1"/>
  <c r="M444" i="1" a="1"/>
  <c r="M444" i="1" s="1"/>
  <c r="O971" i="1"/>
  <c r="N971" i="1"/>
  <c r="M971" i="1" a="1"/>
  <c r="M971" i="1" s="1"/>
  <c r="N851" i="1"/>
  <c r="O851" i="1"/>
  <c r="M851" i="1" a="1"/>
  <c r="M851" i="1" s="1"/>
  <c r="N791" i="1"/>
  <c r="O791" i="1"/>
  <c r="M791" i="1" a="1"/>
  <c r="M791" i="1" s="1"/>
  <c r="N731" i="1"/>
  <c r="O731" i="1"/>
  <c r="M731" i="1" a="1"/>
  <c r="M731" i="1" s="1"/>
  <c r="O551" i="1"/>
  <c r="M551" i="1" a="1"/>
  <c r="M551" i="1" s="1"/>
  <c r="K491" i="1" a="1"/>
  <c r="K491" i="1" s="1"/>
  <c r="N491" i="1"/>
  <c r="L491" i="1"/>
  <c r="M491" i="1" a="1"/>
  <c r="M491" i="1" s="1"/>
  <c r="N431" i="1"/>
  <c r="O431" i="1"/>
  <c r="N371" i="1"/>
  <c r="O371" i="1"/>
  <c r="M371" i="1" a="1"/>
  <c r="M371" i="1" s="1"/>
  <c r="M311" i="1" a="1"/>
  <c r="M311" i="1" s="1"/>
  <c r="O155" i="1"/>
  <c r="N35" i="1"/>
  <c r="O35" i="1"/>
  <c r="M35" i="1" a="1"/>
  <c r="M35" i="1" s="1"/>
  <c r="M374" i="1" a="1"/>
  <c r="M374" i="1" s="1"/>
  <c r="O994" i="1"/>
  <c r="N994" i="1"/>
  <c r="L934" i="1"/>
  <c r="K934" i="1" a="1"/>
  <c r="K934" i="1" s="1"/>
  <c r="O814" i="1"/>
  <c r="M814" i="1" a="1"/>
  <c r="M814" i="1" s="1"/>
  <c r="O718" i="1"/>
  <c r="N718" i="1"/>
  <c r="O646" i="1"/>
  <c r="N646" i="1"/>
  <c r="M646" i="1" a="1"/>
  <c r="M646" i="1" s="1"/>
  <c r="O574" i="1"/>
  <c r="M574" i="1" a="1"/>
  <c r="M574" i="1" s="1"/>
  <c r="O514" i="1"/>
  <c r="N514" i="1"/>
  <c r="M514" i="1" a="1"/>
  <c r="M514" i="1" s="1"/>
  <c r="O454" i="1"/>
  <c r="N454" i="1"/>
  <c r="M454" i="1" a="1"/>
  <c r="M454" i="1" s="1"/>
  <c r="O382" i="1"/>
  <c r="N382" i="1"/>
  <c r="O310" i="1"/>
  <c r="N310" i="1"/>
  <c r="M310" i="1" a="1"/>
  <c r="M310" i="1" s="1"/>
  <c r="L250" i="1"/>
  <c r="O250" i="1"/>
  <c r="N250" i="1"/>
  <c r="M250" i="1" a="1"/>
  <c r="M250" i="1" s="1"/>
  <c r="O166" i="1"/>
  <c r="N166" i="1"/>
  <c r="M166" i="1" a="1"/>
  <c r="M166" i="1" s="1"/>
  <c r="K46" i="1" a="1"/>
  <c r="K46" i="1" s="1"/>
  <c r="O46" i="1"/>
  <c r="N46" i="1"/>
  <c r="M46" i="1" a="1"/>
  <c r="M46" i="1" s="1"/>
  <c r="M790" i="1" a="1"/>
  <c r="M790" i="1" s="1"/>
  <c r="K957" i="1" a="1"/>
  <c r="K957" i="1" s="1"/>
  <c r="O957" i="1"/>
  <c r="N957" i="1"/>
  <c r="K897" i="1" a="1"/>
  <c r="K897" i="1" s="1"/>
  <c r="O897" i="1"/>
  <c r="N897" i="1"/>
  <c r="M897" i="1" a="1"/>
  <c r="M897" i="1" s="1"/>
  <c r="O185" i="1"/>
  <c r="N185" i="1"/>
  <c r="M185" i="1" a="1"/>
  <c r="M185" i="1" s="1"/>
  <c r="M616" i="1" a="1"/>
  <c r="M616" i="1" s="1"/>
  <c r="J2" i="1"/>
  <c r="B2" i="2"/>
  <c r="L966" i="1"/>
  <c r="O966" i="1"/>
  <c r="L930" i="1"/>
  <c r="O930" i="1"/>
  <c r="N930" i="1"/>
  <c r="M930" i="1" a="1"/>
  <c r="M930" i="1" s="1"/>
  <c r="L906" i="1"/>
  <c r="O906" i="1"/>
  <c r="N906" i="1"/>
  <c r="M906" i="1" a="1"/>
  <c r="M906" i="1" s="1"/>
  <c r="K906" i="1" a="1"/>
  <c r="K906" i="1" s="1"/>
  <c r="L858" i="1"/>
  <c r="O858" i="1"/>
  <c r="M858" i="1" a="1"/>
  <c r="M858" i="1" s="1"/>
  <c r="L834" i="1"/>
  <c r="O834" i="1"/>
  <c r="N834" i="1"/>
  <c r="M834" i="1" a="1"/>
  <c r="M834" i="1" s="1"/>
  <c r="K834" i="1" a="1"/>
  <c r="K834" i="1" s="1"/>
  <c r="O786" i="1"/>
  <c r="N786" i="1"/>
  <c r="N750" i="1"/>
  <c r="M750" i="1" a="1"/>
  <c r="M750" i="1" s="1"/>
  <c r="L726" i="1"/>
  <c r="O726" i="1"/>
  <c r="N726" i="1"/>
  <c r="M726" i="1" a="1"/>
  <c r="M726" i="1" s="1"/>
  <c r="K726" i="1" a="1"/>
  <c r="K726" i="1" s="1"/>
  <c r="L690" i="1"/>
  <c r="O690" i="1"/>
  <c r="N690" i="1"/>
  <c r="K690" i="1" a="1"/>
  <c r="K690" i="1" s="1"/>
  <c r="L654" i="1"/>
  <c r="O654" i="1"/>
  <c r="N654" i="1"/>
  <c r="M654" i="1" a="1"/>
  <c r="M654" i="1" s="1"/>
  <c r="K654" i="1" a="1"/>
  <c r="K654" i="1" s="1"/>
  <c r="L630" i="1"/>
  <c r="O630" i="1"/>
  <c r="N630" i="1"/>
  <c r="K630" i="1" a="1"/>
  <c r="K630" i="1" s="1"/>
  <c r="O594" i="1"/>
  <c r="N594" i="1"/>
  <c r="M594" i="1" a="1"/>
  <c r="M594" i="1" s="1"/>
  <c r="L570" i="1"/>
  <c r="O570" i="1"/>
  <c r="N570" i="1"/>
  <c r="L534" i="1"/>
  <c r="O534" i="1"/>
  <c r="N534" i="1"/>
  <c r="O498" i="1"/>
  <c r="N498" i="1"/>
  <c r="M498" i="1" a="1"/>
  <c r="M498" i="1" s="1"/>
  <c r="O462" i="1"/>
  <c r="N462" i="1"/>
  <c r="M462" i="1" a="1"/>
  <c r="M462" i="1" s="1"/>
  <c r="L402" i="1"/>
  <c r="O402" i="1"/>
  <c r="N402" i="1"/>
  <c r="L366" i="1"/>
  <c r="O366" i="1"/>
  <c r="N366" i="1"/>
  <c r="K366" i="1" a="1"/>
  <c r="K366" i="1" s="1"/>
  <c r="M366" i="1" a="1"/>
  <c r="M366" i="1" s="1"/>
  <c r="O330" i="1"/>
  <c r="N330" i="1"/>
  <c r="M330" i="1" a="1"/>
  <c r="M330" i="1" s="1"/>
  <c r="O294" i="1"/>
  <c r="M294" i="1" a="1"/>
  <c r="M294" i="1" s="1"/>
  <c r="O246" i="1"/>
  <c r="M246" i="1" a="1"/>
  <c r="M246" i="1" s="1"/>
  <c r="O222" i="1"/>
  <c r="N222" i="1"/>
  <c r="M222" i="1" a="1"/>
  <c r="M222" i="1" s="1"/>
  <c r="O198" i="1"/>
  <c r="N198" i="1"/>
  <c r="M198" i="1" a="1"/>
  <c r="M198" i="1" s="1"/>
  <c r="O174" i="1"/>
  <c r="M174" i="1" a="1"/>
  <c r="M174" i="1" s="1"/>
  <c r="L162" i="1"/>
  <c r="N162" i="1"/>
  <c r="M162" i="1" a="1"/>
  <c r="M162" i="1" s="1"/>
  <c r="O138" i="1"/>
  <c r="N138" i="1"/>
  <c r="M138" i="1" a="1"/>
  <c r="M138" i="1" s="1"/>
  <c r="L126" i="1"/>
  <c r="O126" i="1"/>
  <c r="N126" i="1"/>
  <c r="M126" i="1" a="1"/>
  <c r="M126" i="1" s="1"/>
  <c r="K126" i="1" a="1"/>
  <c r="K126" i="1" s="1"/>
  <c r="O102" i="1"/>
  <c r="M102" i="1" a="1"/>
  <c r="M102" i="1" s="1"/>
  <c r="L78" i="1"/>
  <c r="O78" i="1"/>
  <c r="N78" i="1"/>
  <c r="M78" i="1" a="1"/>
  <c r="M78" i="1" s="1"/>
  <c r="O54" i="1"/>
  <c r="N54" i="1"/>
  <c r="M54" i="1" a="1"/>
  <c r="M54" i="1" s="1"/>
  <c r="N30" i="1"/>
  <c r="M30" i="1" a="1"/>
  <c r="M30" i="1" s="1"/>
  <c r="N18" i="1"/>
  <c r="M18" i="1" a="1"/>
  <c r="M18" i="1" s="1"/>
  <c r="O6" i="1"/>
  <c r="N6" i="1"/>
  <c r="M6" i="1" a="1"/>
  <c r="M6" i="1" s="1"/>
  <c r="O869" i="1"/>
  <c r="N869" i="1"/>
  <c r="O585" i="1"/>
  <c r="M585" i="1" a="1"/>
  <c r="M585" i="1" s="1"/>
  <c r="O452" i="1"/>
  <c r="M452" i="1" a="1"/>
  <c r="M452" i="1" s="1"/>
  <c r="O369" i="1"/>
  <c r="N369" i="1"/>
  <c r="M369" i="1" a="1"/>
  <c r="M369" i="1" s="1"/>
  <c r="O153" i="1"/>
  <c r="N153" i="1"/>
  <c r="M153" i="1" a="1"/>
  <c r="M153" i="1" s="1"/>
  <c r="K534" i="1" a="1"/>
  <c r="K534" i="1" s="1"/>
  <c r="M981" i="1" a="1"/>
  <c r="M981" i="1" s="1"/>
  <c r="M900" i="1" a="1"/>
  <c r="M900" i="1" s="1"/>
  <c r="M878" i="1" a="1"/>
  <c r="M878" i="1" s="1"/>
  <c r="M612" i="1" a="1"/>
  <c r="M612" i="1" s="1"/>
  <c r="M520" i="1" a="1"/>
  <c r="M520" i="1" s="1"/>
  <c r="M360" i="1" a="1"/>
  <c r="M360" i="1" s="1"/>
  <c r="M155" i="1" a="1"/>
  <c r="M155" i="1" s="1"/>
  <c r="O940" i="1"/>
  <c r="N940" i="1"/>
  <c r="M940" i="1" a="1"/>
  <c r="M940" i="1" s="1"/>
  <c r="O844" i="1"/>
  <c r="N844" i="1"/>
  <c r="N796" i="1"/>
  <c r="M796" i="1" a="1"/>
  <c r="M796" i="1" s="1"/>
  <c r="N784" i="1"/>
  <c r="M784" i="1" a="1"/>
  <c r="M784" i="1" s="1"/>
  <c r="O736" i="1"/>
  <c r="N736" i="1"/>
  <c r="O724" i="1"/>
  <c r="N724" i="1"/>
  <c r="M724" i="1" a="1"/>
  <c r="M724" i="1" s="1"/>
  <c r="O688" i="1"/>
  <c r="M688" i="1" a="1"/>
  <c r="M688" i="1" s="1"/>
  <c r="O664" i="1"/>
  <c r="O628" i="1"/>
  <c r="N628" i="1"/>
  <c r="M628" i="1" a="1"/>
  <c r="M628" i="1" s="1"/>
  <c r="O604" i="1"/>
  <c r="N604" i="1"/>
  <c r="O580" i="1"/>
  <c r="N580" i="1"/>
  <c r="M580" i="1" a="1"/>
  <c r="M580" i="1" s="1"/>
  <c r="K556" i="1" a="1"/>
  <c r="K556" i="1" s="1"/>
  <c r="O556" i="1"/>
  <c r="N556" i="1"/>
  <c r="M556" i="1" a="1"/>
  <c r="M556" i="1" s="1"/>
  <c r="O532" i="1"/>
  <c r="N532" i="1"/>
  <c r="M532" i="1" a="1"/>
  <c r="M532" i="1" s="1"/>
  <c r="O508" i="1"/>
  <c r="N508" i="1"/>
  <c r="M508" i="1" a="1"/>
  <c r="M508" i="1" s="1"/>
  <c r="O484" i="1"/>
  <c r="N484" i="1"/>
  <c r="N460" i="1"/>
  <c r="L436" i="1"/>
  <c r="N436" i="1"/>
  <c r="M436" i="1" a="1"/>
  <c r="M436" i="1" s="1"/>
  <c r="L412" i="1"/>
  <c r="O412" i="1"/>
  <c r="N412" i="1"/>
  <c r="K412" i="1" a="1"/>
  <c r="K412" i="1" s="1"/>
  <c r="L388" i="1"/>
  <c r="O388" i="1"/>
  <c r="M388" i="1" a="1"/>
  <c r="M388" i="1" s="1"/>
  <c r="K364" i="1" a="1"/>
  <c r="K364" i="1" s="1"/>
  <c r="N364" i="1"/>
  <c r="M364" i="1" a="1"/>
  <c r="M364" i="1" s="1"/>
  <c r="L340" i="1"/>
  <c r="O340" i="1"/>
  <c r="N340" i="1"/>
  <c r="K340" i="1" a="1"/>
  <c r="K340" i="1" s="1"/>
  <c r="M340" i="1" a="1"/>
  <c r="M340" i="1" s="1"/>
  <c r="O316" i="1"/>
  <c r="M316" i="1" a="1"/>
  <c r="M316" i="1" s="1"/>
  <c r="O304" i="1"/>
  <c r="M304" i="1" a="1"/>
  <c r="M304" i="1" s="1"/>
  <c r="O268" i="1"/>
  <c r="N268" i="1"/>
  <c r="O244" i="1"/>
  <c r="N244" i="1"/>
  <c r="M244" i="1" a="1"/>
  <c r="M244" i="1" s="1"/>
  <c r="K232" i="1" a="1"/>
  <c r="K232" i="1" s="1"/>
  <c r="O232" i="1"/>
  <c r="M232" i="1" a="1"/>
  <c r="M232" i="1" s="1"/>
  <c r="O196" i="1"/>
  <c r="M196" i="1" a="1"/>
  <c r="M196" i="1" s="1"/>
  <c r="L172" i="1"/>
  <c r="O172" i="1"/>
  <c r="N172" i="1"/>
  <c r="M172" i="1" a="1"/>
  <c r="M172" i="1" s="1"/>
  <c r="O148" i="1"/>
  <c r="N148" i="1"/>
  <c r="O112" i="1"/>
  <c r="M112" i="1" a="1"/>
  <c r="M112" i="1" s="1"/>
  <c r="O64" i="1"/>
  <c r="M64" i="1" a="1"/>
  <c r="M64" i="1" s="1"/>
  <c r="O16" i="1"/>
  <c r="N16" i="1"/>
  <c r="M16" i="1" a="1"/>
  <c r="M16" i="1" s="1"/>
  <c r="O569" i="1"/>
  <c r="N569" i="1"/>
  <c r="M569" i="1" a="1"/>
  <c r="M569" i="1" s="1"/>
  <c r="L951" i="1"/>
  <c r="N951" i="1"/>
  <c r="M951" i="1" a="1"/>
  <c r="M951" i="1" s="1"/>
  <c r="N927" i="1"/>
  <c r="M927" i="1" a="1"/>
  <c r="M927" i="1" s="1"/>
  <c r="L891" i="1"/>
  <c r="O891" i="1"/>
  <c r="N891" i="1"/>
  <c r="L867" i="1"/>
  <c r="O867" i="1"/>
  <c r="N867" i="1"/>
  <c r="M867" i="1" a="1"/>
  <c r="M867" i="1" s="1"/>
  <c r="O795" i="1"/>
  <c r="N795" i="1"/>
  <c r="M795" i="1" a="1"/>
  <c r="M795" i="1" s="1"/>
  <c r="O771" i="1"/>
  <c r="N771" i="1"/>
  <c r="M771" i="1" a="1"/>
  <c r="M771" i="1" s="1"/>
  <c r="O735" i="1"/>
  <c r="N735" i="1"/>
  <c r="M735" i="1" a="1"/>
  <c r="M735" i="1" s="1"/>
  <c r="O711" i="1"/>
  <c r="N711" i="1"/>
  <c r="M711" i="1" a="1"/>
  <c r="M711" i="1" s="1"/>
  <c r="O675" i="1"/>
  <c r="N675" i="1"/>
  <c r="N663" i="1"/>
  <c r="M663" i="1" a="1"/>
  <c r="M663" i="1" s="1"/>
  <c r="O603" i="1"/>
  <c r="N603" i="1"/>
  <c r="M603" i="1" a="1"/>
  <c r="M603" i="1" s="1"/>
  <c r="O567" i="1"/>
  <c r="N567" i="1"/>
  <c r="M567" i="1" a="1"/>
  <c r="M567" i="1" s="1"/>
  <c r="N531" i="1"/>
  <c r="M531" i="1" a="1"/>
  <c r="M531" i="1" s="1"/>
  <c r="N507" i="1"/>
  <c r="M507" i="1" a="1"/>
  <c r="M507" i="1" s="1"/>
  <c r="L495" i="1"/>
  <c r="O495" i="1"/>
  <c r="N495" i="1"/>
  <c r="K495" i="1" a="1"/>
  <c r="K495" i="1" s="1"/>
  <c r="L435" i="1"/>
  <c r="O435" i="1"/>
  <c r="M435" i="1" a="1"/>
  <c r="M435" i="1" s="1"/>
  <c r="K399" i="1" a="1"/>
  <c r="K399" i="1" s="1"/>
  <c r="N399" i="1"/>
  <c r="M399" i="1" a="1"/>
  <c r="M399" i="1" s="1"/>
  <c r="L399" i="1"/>
  <c r="L375" i="1"/>
  <c r="O375" i="1"/>
  <c r="N375" i="1"/>
  <c r="M375" i="1" a="1"/>
  <c r="M375" i="1" s="1"/>
  <c r="L339" i="1"/>
  <c r="N339" i="1"/>
  <c r="M339" i="1" a="1"/>
  <c r="M339" i="1" s="1"/>
  <c r="N315" i="1"/>
  <c r="M315" i="1" a="1"/>
  <c r="M315" i="1" s="1"/>
  <c r="L291" i="1"/>
  <c r="O291" i="1"/>
  <c r="N291" i="1"/>
  <c r="K291" i="1" a="1"/>
  <c r="K291" i="1" s="1"/>
  <c r="M291" i="1" a="1"/>
  <c r="M291" i="1" s="1"/>
  <c r="K255" i="1" a="1"/>
  <c r="K255" i="1" s="1"/>
  <c r="N255" i="1"/>
  <c r="M255" i="1" a="1"/>
  <c r="M255" i="1" s="1"/>
  <c r="L255" i="1"/>
  <c r="K231" i="1" a="1"/>
  <c r="K231" i="1" s="1"/>
  <c r="O231" i="1"/>
  <c r="N231" i="1"/>
  <c r="M231" i="1" a="1"/>
  <c r="M231" i="1" s="1"/>
  <c r="O195" i="1"/>
  <c r="N195" i="1"/>
  <c r="M195" i="1" a="1"/>
  <c r="M195" i="1" s="1"/>
  <c r="L183" i="1"/>
  <c r="N183" i="1"/>
  <c r="K183" i="1" a="1"/>
  <c r="K183" i="1" s="1"/>
  <c r="M183" i="1" a="1"/>
  <c r="M183" i="1" s="1"/>
  <c r="K159" i="1" a="1"/>
  <c r="K159" i="1" s="1"/>
  <c r="O159" i="1"/>
  <c r="N159" i="1"/>
  <c r="M159" i="1" a="1"/>
  <c r="M159" i="1" s="1"/>
  <c r="L135" i="1"/>
  <c r="O135" i="1"/>
  <c r="N135" i="1"/>
  <c r="K135" i="1" a="1"/>
  <c r="K135" i="1" s="1"/>
  <c r="M135" i="1" a="1"/>
  <c r="M135" i="1" s="1"/>
  <c r="O111" i="1"/>
  <c r="N111" i="1"/>
  <c r="M111" i="1" a="1"/>
  <c r="M111" i="1" s="1"/>
  <c r="O87" i="1"/>
  <c r="N87" i="1"/>
  <c r="M87" i="1" a="1"/>
  <c r="M87" i="1" s="1"/>
  <c r="O51" i="1"/>
  <c r="N51" i="1"/>
  <c r="M51" i="1" a="1"/>
  <c r="M51" i="1" s="1"/>
  <c r="L27" i="1"/>
  <c r="O27" i="1"/>
  <c r="M27" i="1" a="1"/>
  <c r="M27" i="1" s="1"/>
  <c r="L929" i="1"/>
  <c r="N929" i="1"/>
  <c r="M929" i="1" a="1"/>
  <c r="M929" i="1" s="1"/>
  <c r="K929" i="1" a="1"/>
  <c r="K929" i="1" s="1"/>
  <c r="L426" i="1"/>
  <c r="O426" i="1"/>
  <c r="N426" i="1"/>
  <c r="M426" i="1" a="1"/>
  <c r="M426" i="1" s="1"/>
  <c r="L235" i="1"/>
  <c r="N235" i="1"/>
  <c r="M235" i="1" a="1"/>
  <c r="M235" i="1" s="1"/>
  <c r="N115" i="1"/>
  <c r="M115" i="1" a="1"/>
  <c r="M115" i="1" s="1"/>
  <c r="M664" i="1" a="1"/>
  <c r="M664" i="1" s="1"/>
  <c r="M604" i="1" a="1"/>
  <c r="M604" i="1" s="1"/>
  <c r="N998" i="1"/>
  <c r="O998" i="1"/>
  <c r="M998" i="1" a="1"/>
  <c r="M998" i="1" s="1"/>
  <c r="L962" i="1"/>
  <c r="N962" i="1"/>
  <c r="M962" i="1" a="1"/>
  <c r="M962" i="1" s="1"/>
  <c r="O902" i="1"/>
  <c r="N902" i="1"/>
  <c r="O854" i="1"/>
  <c r="N854" i="1"/>
  <c r="N830" i="1"/>
  <c r="O830" i="1"/>
  <c r="N794" i="1"/>
  <c r="O794" i="1"/>
  <c r="M794" i="1" a="1"/>
  <c r="M794" i="1" s="1"/>
  <c r="O770" i="1"/>
  <c r="M770" i="1" a="1"/>
  <c r="M770" i="1" s="1"/>
  <c r="N746" i="1"/>
  <c r="O746" i="1"/>
  <c r="N722" i="1"/>
  <c r="O722" i="1"/>
  <c r="M722" i="1" a="1"/>
  <c r="M722" i="1" s="1"/>
  <c r="N698" i="1"/>
  <c r="O698" i="1"/>
  <c r="M698" i="1" a="1"/>
  <c r="M698" i="1" s="1"/>
  <c r="O662" i="1"/>
  <c r="M662" i="1" a="1"/>
  <c r="M662" i="1" s="1"/>
  <c r="N638" i="1"/>
  <c r="O638" i="1"/>
  <c r="M638" i="1" a="1"/>
  <c r="M638" i="1" s="1"/>
  <c r="O614" i="1"/>
  <c r="N614" i="1"/>
  <c r="N578" i="1"/>
  <c r="O578" i="1"/>
  <c r="N554" i="1"/>
  <c r="O554" i="1"/>
  <c r="M554" i="1" a="1"/>
  <c r="M554" i="1" s="1"/>
  <c r="N518" i="1"/>
  <c r="M518" i="1" a="1"/>
  <c r="M518" i="1" s="1"/>
  <c r="N494" i="1"/>
  <c r="O494" i="1"/>
  <c r="O458" i="1"/>
  <c r="N458" i="1"/>
  <c r="O434" i="1"/>
  <c r="N434" i="1"/>
  <c r="M434" i="1" a="1"/>
  <c r="M434" i="1" s="1"/>
  <c r="N410" i="1"/>
  <c r="O410" i="1"/>
  <c r="M410" i="1" a="1"/>
  <c r="M410" i="1" s="1"/>
  <c r="O386" i="1"/>
  <c r="N386" i="1"/>
  <c r="M386" i="1" a="1"/>
  <c r="M386" i="1" s="1"/>
  <c r="N350" i="1"/>
  <c r="O350" i="1"/>
  <c r="M350" i="1" a="1"/>
  <c r="M350" i="1" s="1"/>
  <c r="O326" i="1"/>
  <c r="N326" i="1"/>
  <c r="K290" i="1" a="1"/>
  <c r="K290" i="1" s="1"/>
  <c r="O290" i="1"/>
  <c r="N290" i="1"/>
  <c r="M290" i="1" a="1"/>
  <c r="M290" i="1" s="1"/>
  <c r="N266" i="1"/>
  <c r="O266" i="1"/>
  <c r="M266" i="1" a="1"/>
  <c r="M266" i="1" s="1"/>
  <c r="O230" i="1"/>
  <c r="N230" i="1"/>
  <c r="M230" i="1" a="1"/>
  <c r="M230" i="1" s="1"/>
  <c r="O206" i="1"/>
  <c r="N206" i="1"/>
  <c r="M206" i="1" a="1"/>
  <c r="M206" i="1" s="1"/>
  <c r="N170" i="1"/>
  <c r="O170" i="1"/>
  <c r="M170" i="1" a="1"/>
  <c r="M170" i="1" s="1"/>
  <c r="K146" i="1" a="1"/>
  <c r="K146" i="1" s="1"/>
  <c r="O146" i="1"/>
  <c r="N146" i="1"/>
  <c r="M146" i="1" a="1"/>
  <c r="M146" i="1" s="1"/>
  <c r="O110" i="1"/>
  <c r="N110" i="1"/>
  <c r="M110" i="1" a="1"/>
  <c r="M110" i="1" s="1"/>
  <c r="O86" i="1"/>
  <c r="N86" i="1"/>
  <c r="M86" i="1" a="1"/>
  <c r="M86" i="1" s="1"/>
  <c r="O50" i="1"/>
  <c r="M50" i="1" a="1"/>
  <c r="M50" i="1" s="1"/>
  <c r="L320" i="1"/>
  <c r="O320" i="1"/>
  <c r="N320" i="1"/>
  <c r="M320" i="1" a="1"/>
  <c r="M320" i="1" s="1"/>
  <c r="O22" i="1"/>
  <c r="N22" i="1"/>
  <c r="M22" i="1" a="1"/>
  <c r="M22" i="1" s="1"/>
  <c r="O985" i="1"/>
  <c r="N985" i="1"/>
  <c r="M985" i="1" a="1"/>
  <c r="M985" i="1" s="1"/>
  <c r="N949" i="1"/>
  <c r="M949" i="1" a="1"/>
  <c r="M949" i="1" s="1"/>
  <c r="O925" i="1"/>
  <c r="N925" i="1"/>
  <c r="M925" i="1" a="1"/>
  <c r="M925" i="1" s="1"/>
  <c r="N901" i="1"/>
  <c r="O901" i="1"/>
  <c r="O877" i="1"/>
  <c r="N877" i="1"/>
  <c r="O841" i="1"/>
  <c r="N841" i="1"/>
  <c r="N817" i="1"/>
  <c r="O781" i="1"/>
  <c r="N781" i="1"/>
  <c r="M781" i="1" a="1"/>
  <c r="M781" i="1" s="1"/>
  <c r="O757" i="1"/>
  <c r="N757" i="1"/>
  <c r="N745" i="1"/>
  <c r="O745" i="1"/>
  <c r="O709" i="1"/>
  <c r="N709" i="1"/>
  <c r="M709" i="1" a="1"/>
  <c r="M709" i="1" s="1"/>
  <c r="K685" i="1" a="1"/>
  <c r="K685" i="1" s="1"/>
  <c r="N685" i="1"/>
  <c r="O685" i="1"/>
  <c r="M685" i="1" a="1"/>
  <c r="M685" i="1" s="1"/>
  <c r="O661" i="1"/>
  <c r="N661" i="1"/>
  <c r="M661" i="1" a="1"/>
  <c r="M661" i="1" s="1"/>
  <c r="O625" i="1"/>
  <c r="N625" i="1"/>
  <c r="M625" i="1" a="1"/>
  <c r="M625" i="1" s="1"/>
  <c r="O601" i="1"/>
  <c r="N601" i="1"/>
  <c r="M601" i="1" a="1"/>
  <c r="M601" i="1" s="1"/>
  <c r="O565" i="1"/>
  <c r="N565" i="1"/>
  <c r="M565" i="1" a="1"/>
  <c r="M565" i="1" s="1"/>
  <c r="N541" i="1"/>
  <c r="O541" i="1"/>
  <c r="M541" i="1" a="1"/>
  <c r="M541" i="1" s="1"/>
  <c r="O505" i="1"/>
  <c r="N505" i="1"/>
  <c r="M505" i="1" a="1"/>
  <c r="M505" i="1" s="1"/>
  <c r="N469" i="1"/>
  <c r="O469" i="1"/>
  <c r="M469" i="1" a="1"/>
  <c r="M469" i="1" s="1"/>
  <c r="O445" i="1"/>
  <c r="N445" i="1"/>
  <c r="M445" i="1" a="1"/>
  <c r="M445" i="1" s="1"/>
  <c r="O409" i="1"/>
  <c r="N409" i="1"/>
  <c r="M409" i="1" a="1"/>
  <c r="M409" i="1" s="1"/>
  <c r="N385" i="1"/>
  <c r="O385" i="1"/>
  <c r="M385" i="1" a="1"/>
  <c r="M385" i="1" s="1"/>
  <c r="O361" i="1"/>
  <c r="N361" i="1"/>
  <c r="M361" i="1" a="1"/>
  <c r="M361" i="1" s="1"/>
  <c r="N325" i="1"/>
  <c r="O325" i="1"/>
  <c r="M325" i="1" a="1"/>
  <c r="M325" i="1" s="1"/>
  <c r="K289" i="1" a="1"/>
  <c r="K289" i="1" s="1"/>
  <c r="O289" i="1"/>
  <c r="N289" i="1"/>
  <c r="M289" i="1" a="1"/>
  <c r="M289" i="1" s="1"/>
  <c r="O265" i="1"/>
  <c r="N265" i="1"/>
  <c r="M265" i="1" a="1"/>
  <c r="M265" i="1" s="1"/>
  <c r="O241" i="1"/>
  <c r="M241" i="1" a="1"/>
  <c r="M241" i="1" s="1"/>
  <c r="N217" i="1"/>
  <c r="O217" i="1"/>
  <c r="M217" i="1" a="1"/>
  <c r="M217" i="1" s="1"/>
  <c r="N181" i="1"/>
  <c r="O181" i="1"/>
  <c r="M181" i="1" a="1"/>
  <c r="M181" i="1" s="1"/>
  <c r="O157" i="1"/>
  <c r="N157" i="1"/>
  <c r="M157" i="1" a="1"/>
  <c r="M157" i="1" s="1"/>
  <c r="O121" i="1"/>
  <c r="M121" i="1" a="1"/>
  <c r="M121" i="1" s="1"/>
  <c r="O73" i="1"/>
  <c r="N73" i="1"/>
  <c r="M73" i="1" a="1"/>
  <c r="M73" i="1" s="1"/>
  <c r="O25" i="1"/>
  <c r="N25" i="1"/>
  <c r="M25" i="1" a="1"/>
  <c r="M25" i="1" s="1"/>
  <c r="K825" i="1" a="1"/>
  <c r="K825" i="1" s="1"/>
  <c r="O825" i="1"/>
  <c r="N825" i="1"/>
  <c r="L825" i="1"/>
  <c r="N521" i="1"/>
  <c r="M521" i="1" a="1"/>
  <c r="M521" i="1" s="1"/>
  <c r="O984" i="1"/>
  <c r="N984" i="1"/>
  <c r="M984" i="1" a="1"/>
  <c r="M984" i="1" s="1"/>
  <c r="N972" i="1"/>
  <c r="O972" i="1"/>
  <c r="O924" i="1"/>
  <c r="N924" i="1"/>
  <c r="N888" i="1"/>
  <c r="O888" i="1"/>
  <c r="L864" i="1"/>
  <c r="O864" i="1"/>
  <c r="N864" i="1"/>
  <c r="K864" i="1" a="1"/>
  <c r="K864" i="1" s="1"/>
  <c r="N828" i="1"/>
  <c r="O828" i="1"/>
  <c r="O804" i="1"/>
  <c r="N804" i="1"/>
  <c r="M804" i="1" a="1"/>
  <c r="M804" i="1" s="1"/>
  <c r="O768" i="1"/>
  <c r="N768" i="1"/>
  <c r="M768" i="1" a="1"/>
  <c r="M768" i="1" s="1"/>
  <c r="O744" i="1"/>
  <c r="M744" i="1" a="1"/>
  <c r="M744" i="1" s="1"/>
  <c r="O720" i="1"/>
  <c r="N720" i="1"/>
  <c r="K684" i="1" a="1"/>
  <c r="K684" i="1" s="1"/>
  <c r="N684" i="1"/>
  <c r="O684" i="1"/>
  <c r="M684" i="1" a="1"/>
  <c r="M684" i="1" s="1"/>
  <c r="L660" i="1"/>
  <c r="O660" i="1"/>
  <c r="N660" i="1"/>
  <c r="M660" i="1" a="1"/>
  <c r="M660" i="1" s="1"/>
  <c r="O624" i="1"/>
  <c r="N624" i="1"/>
  <c r="O600" i="1"/>
  <c r="N600" i="1"/>
  <c r="M600" i="1" a="1"/>
  <c r="M600" i="1" s="1"/>
  <c r="N576" i="1"/>
  <c r="O576" i="1"/>
  <c r="M576" i="1" a="1"/>
  <c r="M576" i="1" s="1"/>
  <c r="O540" i="1"/>
  <c r="N540" i="1"/>
  <c r="M540" i="1" a="1"/>
  <c r="M540" i="1" s="1"/>
  <c r="L516" i="1"/>
  <c r="O516" i="1"/>
  <c r="N516" i="1"/>
  <c r="M516" i="1" a="1"/>
  <c r="M516" i="1" s="1"/>
  <c r="O480" i="1"/>
  <c r="N480" i="1"/>
  <c r="M480" i="1" a="1"/>
  <c r="M480" i="1" s="1"/>
  <c r="O456" i="1"/>
  <c r="N456" i="1"/>
  <c r="M456" i="1" a="1"/>
  <c r="M456" i="1" s="1"/>
  <c r="O420" i="1"/>
  <c r="N420" i="1"/>
  <c r="M420" i="1" a="1"/>
  <c r="M420" i="1" s="1"/>
  <c r="L396" i="1"/>
  <c r="O396" i="1"/>
  <c r="N396" i="1"/>
  <c r="M396" i="1" a="1"/>
  <c r="M396" i="1" s="1"/>
  <c r="K396" i="1" a="1"/>
  <c r="K396" i="1" s="1"/>
  <c r="O372" i="1"/>
  <c r="N372" i="1"/>
  <c r="M372" i="1" a="1"/>
  <c r="M372" i="1" s="1"/>
  <c r="L348" i="1"/>
  <c r="N348" i="1"/>
  <c r="O348" i="1"/>
  <c r="M348" i="1" a="1"/>
  <c r="M348" i="1" s="1"/>
  <c r="N324" i="1"/>
  <c r="O324" i="1"/>
  <c r="O300" i="1"/>
  <c r="N300" i="1"/>
  <c r="L276" i="1"/>
  <c r="O276" i="1"/>
  <c r="N276" i="1"/>
  <c r="M276" i="1" a="1"/>
  <c r="M276" i="1" s="1"/>
  <c r="K276" i="1" a="1"/>
  <c r="K276" i="1" s="1"/>
  <c r="O252" i="1"/>
  <c r="N252" i="1"/>
  <c r="M252" i="1" a="1"/>
  <c r="M252" i="1" s="1"/>
  <c r="O204" i="1"/>
  <c r="N204" i="1"/>
  <c r="M204" i="1" a="1"/>
  <c r="M204" i="1" s="1"/>
  <c r="O180" i="1"/>
  <c r="N180" i="1"/>
  <c r="M180" i="1" a="1"/>
  <c r="M180" i="1" s="1"/>
  <c r="K144" i="1" a="1"/>
  <c r="K144" i="1" s="1"/>
  <c r="N144" i="1"/>
  <c r="O144" i="1"/>
  <c r="M144" i="1" a="1"/>
  <c r="M144" i="1" s="1"/>
  <c r="O108" i="1"/>
  <c r="M108" i="1" a="1"/>
  <c r="M108" i="1" s="1"/>
  <c r="N60" i="1"/>
  <c r="O60" i="1"/>
  <c r="M60" i="1" a="1"/>
  <c r="M60" i="1" s="1"/>
  <c r="L821" i="1"/>
  <c r="O821" i="1"/>
  <c r="N821" i="1"/>
  <c r="M821" i="1" a="1"/>
  <c r="M821" i="1" s="1"/>
  <c r="K821" i="1" a="1"/>
  <c r="K821" i="1" s="1"/>
  <c r="M412" i="1" a="1"/>
  <c r="M412" i="1" s="1"/>
  <c r="O983" i="1"/>
  <c r="M983" i="1" a="1"/>
  <c r="M983" i="1" s="1"/>
  <c r="K959" i="1" a="1"/>
  <c r="K959" i="1" s="1"/>
  <c r="N959" i="1"/>
  <c r="O959" i="1"/>
  <c r="L959" i="1"/>
  <c r="K899" i="1" a="1"/>
  <c r="K899" i="1" s="1"/>
  <c r="O899" i="1"/>
  <c r="N899" i="1"/>
  <c r="M899" i="1" a="1"/>
  <c r="M899" i="1" s="1"/>
  <c r="O839" i="1"/>
  <c r="N839" i="1"/>
  <c r="M839" i="1" a="1"/>
  <c r="M839" i="1" s="1"/>
  <c r="O803" i="1"/>
  <c r="N803" i="1"/>
  <c r="M803" i="1" a="1"/>
  <c r="M803" i="1" s="1"/>
  <c r="O779" i="1"/>
  <c r="N779" i="1"/>
  <c r="M779" i="1" a="1"/>
  <c r="M779" i="1" s="1"/>
  <c r="L755" i="1"/>
  <c r="O755" i="1"/>
  <c r="N755" i="1"/>
  <c r="M755" i="1" a="1"/>
  <c r="M755" i="1" s="1"/>
  <c r="K755" i="1" a="1"/>
  <c r="K755" i="1" s="1"/>
  <c r="N719" i="1"/>
  <c r="O695" i="1"/>
  <c r="N695" i="1"/>
  <c r="M695" i="1" a="1"/>
  <c r="M695" i="1" s="1"/>
  <c r="N659" i="1"/>
  <c r="O659" i="1"/>
  <c r="M659" i="1" a="1"/>
  <c r="M659" i="1" s="1"/>
  <c r="N623" i="1"/>
  <c r="O623" i="1"/>
  <c r="N587" i="1"/>
  <c r="O587" i="1"/>
  <c r="O539" i="1"/>
  <c r="M539" i="1" a="1"/>
  <c r="M539" i="1" s="1"/>
  <c r="L515" i="1"/>
  <c r="N515" i="1"/>
  <c r="O515" i="1"/>
  <c r="K515" i="1" a="1"/>
  <c r="K515" i="1" s="1"/>
  <c r="M515" i="1" a="1"/>
  <c r="M515" i="1" s="1"/>
  <c r="N479" i="1"/>
  <c r="O479" i="1"/>
  <c r="M479" i="1" a="1"/>
  <c r="M479" i="1" s="1"/>
  <c r="O455" i="1"/>
  <c r="M455" i="1" a="1"/>
  <c r="M455" i="1" s="1"/>
  <c r="K419" i="1" a="1"/>
  <c r="K419" i="1" s="1"/>
  <c r="N419" i="1"/>
  <c r="O419" i="1"/>
  <c r="M419" i="1" a="1"/>
  <c r="M419" i="1" s="1"/>
  <c r="O395" i="1"/>
  <c r="N395" i="1"/>
  <c r="M395" i="1" a="1"/>
  <c r="M395" i="1" s="1"/>
  <c r="O359" i="1"/>
  <c r="N359" i="1"/>
  <c r="M359" i="1" a="1"/>
  <c r="M359" i="1" s="1"/>
  <c r="O323" i="1"/>
  <c r="M323" i="1" a="1"/>
  <c r="M323" i="1" s="1"/>
  <c r="N299" i="1"/>
  <c r="O299" i="1"/>
  <c r="M299" i="1" a="1"/>
  <c r="M299" i="1" s="1"/>
  <c r="O275" i="1"/>
  <c r="N275" i="1"/>
  <c r="M275" i="1" a="1"/>
  <c r="M275" i="1" s="1"/>
  <c r="O251" i="1"/>
  <c r="N251" i="1"/>
  <c r="M251" i="1" a="1"/>
  <c r="M251" i="1" s="1"/>
  <c r="L227" i="1"/>
  <c r="N227" i="1"/>
  <c r="O227" i="1"/>
  <c r="M227" i="1" a="1"/>
  <c r="M227" i="1" s="1"/>
  <c r="O203" i="1"/>
  <c r="N203" i="1"/>
  <c r="M203" i="1" a="1"/>
  <c r="M203" i="1" s="1"/>
  <c r="N179" i="1"/>
  <c r="O179" i="1"/>
  <c r="M179" i="1" a="1"/>
  <c r="M179" i="1" s="1"/>
  <c r="N143" i="1"/>
  <c r="O143" i="1"/>
  <c r="M143" i="1" a="1"/>
  <c r="M143" i="1" s="1"/>
  <c r="O131" i="1"/>
  <c r="N131" i="1"/>
  <c r="M131" i="1" a="1"/>
  <c r="M131" i="1" s="1"/>
  <c r="N95" i="1"/>
  <c r="O95" i="1"/>
  <c r="M95" i="1" a="1"/>
  <c r="M95" i="1" s="1"/>
  <c r="K83" i="1" a="1"/>
  <c r="K83" i="1" s="1"/>
  <c r="O83" i="1"/>
  <c r="N83" i="1"/>
  <c r="M83" i="1" a="1"/>
  <c r="M83" i="1" s="1"/>
  <c r="O47" i="1"/>
  <c r="N47" i="1"/>
  <c r="M47" i="1" a="1"/>
  <c r="M47" i="1" s="1"/>
  <c r="O502" i="1"/>
  <c r="N502" i="1"/>
  <c r="M502" i="1" a="1"/>
  <c r="M502" i="1" s="1"/>
  <c r="O305" i="1"/>
  <c r="N305" i="1"/>
  <c r="M305" i="1" a="1"/>
  <c r="M305" i="1" s="1"/>
  <c r="O187" i="1"/>
  <c r="N187" i="1"/>
  <c r="M187" i="1" a="1"/>
  <c r="M187" i="1" s="1"/>
  <c r="M888" i="1" a="1"/>
  <c r="M888" i="1" s="1"/>
  <c r="M713" i="1" a="1"/>
  <c r="M713" i="1" s="1"/>
  <c r="M624" i="1" a="1"/>
  <c r="M624" i="1" s="1"/>
  <c r="M411" i="1" a="1"/>
  <c r="M411" i="1" s="1"/>
  <c r="M107" i="1" a="1"/>
  <c r="M107" i="1" s="1"/>
  <c r="O982" i="1"/>
  <c r="N982" i="1"/>
  <c r="K958" i="1" a="1"/>
  <c r="K958" i="1" s="1"/>
  <c r="O958" i="1"/>
  <c r="N958" i="1"/>
  <c r="M958" i="1" a="1"/>
  <c r="M958" i="1" s="1"/>
  <c r="O922" i="1"/>
  <c r="N922" i="1"/>
  <c r="K898" i="1" a="1"/>
  <c r="K898" i="1" s="1"/>
  <c r="O898" i="1"/>
  <c r="N898" i="1"/>
  <c r="O862" i="1"/>
  <c r="N862" i="1"/>
  <c r="M862" i="1" a="1"/>
  <c r="M862" i="1" s="1"/>
  <c r="O838" i="1"/>
  <c r="N838" i="1"/>
  <c r="M838" i="1" a="1"/>
  <c r="M838" i="1" s="1"/>
  <c r="O802" i="1"/>
  <c r="N802" i="1"/>
  <c r="O766" i="1"/>
  <c r="N766" i="1"/>
  <c r="M766" i="1" a="1"/>
  <c r="M766" i="1" s="1"/>
  <c r="L742" i="1"/>
  <c r="O742" i="1"/>
  <c r="N742" i="1"/>
  <c r="M742" i="1" a="1"/>
  <c r="M742" i="1" s="1"/>
  <c r="O706" i="1"/>
  <c r="N706" i="1"/>
  <c r="M706" i="1" a="1"/>
  <c r="M706" i="1" s="1"/>
  <c r="O658" i="1"/>
  <c r="N658" i="1"/>
  <c r="M658" i="1" a="1"/>
  <c r="M658" i="1" s="1"/>
  <c r="L610" i="1"/>
  <c r="O610" i="1"/>
  <c r="N610" i="1"/>
  <c r="M610" i="1" a="1"/>
  <c r="M610" i="1" s="1"/>
  <c r="O562" i="1"/>
  <c r="N562" i="1"/>
  <c r="O526" i="1"/>
  <c r="N526" i="1"/>
  <c r="O466" i="1"/>
  <c r="N466" i="1"/>
  <c r="M466" i="1" a="1"/>
  <c r="M466" i="1" s="1"/>
  <c r="O442" i="1"/>
  <c r="N442" i="1"/>
  <c r="M442" i="1" a="1"/>
  <c r="M442" i="1" s="1"/>
  <c r="K418" i="1" a="1"/>
  <c r="K418" i="1" s="1"/>
  <c r="O418" i="1"/>
  <c r="N418" i="1"/>
  <c r="L418" i="1"/>
  <c r="O394" i="1"/>
  <c r="N394" i="1"/>
  <c r="M394" i="1" a="1"/>
  <c r="M394" i="1" s="1"/>
  <c r="O358" i="1"/>
  <c r="N358" i="1"/>
  <c r="O334" i="1"/>
  <c r="N334" i="1"/>
  <c r="M334" i="1" a="1"/>
  <c r="M334" i="1" s="1"/>
  <c r="O262" i="1"/>
  <c r="N262" i="1"/>
  <c r="M262" i="1" a="1"/>
  <c r="M262" i="1" s="1"/>
  <c r="O238" i="1"/>
  <c r="N238" i="1"/>
  <c r="M238" i="1" a="1"/>
  <c r="M238" i="1" s="1"/>
  <c r="O202" i="1"/>
  <c r="N202" i="1"/>
  <c r="M202" i="1" a="1"/>
  <c r="M202" i="1" s="1"/>
  <c r="K142" i="1" a="1"/>
  <c r="K142" i="1" s="1"/>
  <c r="O142" i="1"/>
  <c r="N142" i="1"/>
  <c r="M142" i="1" a="1"/>
  <c r="M142" i="1" s="1"/>
  <c r="O118" i="1"/>
  <c r="N118" i="1"/>
  <c r="M118" i="1" a="1"/>
  <c r="M118" i="1" s="1"/>
  <c r="O70" i="1"/>
  <c r="N70" i="1"/>
  <c r="M70" i="1" a="1"/>
  <c r="M70" i="1" s="1"/>
  <c r="O58" i="1"/>
  <c r="N58" i="1"/>
  <c r="M58" i="1" a="1"/>
  <c r="M58" i="1" s="1"/>
  <c r="L629" i="1"/>
  <c r="O629" i="1"/>
  <c r="N629" i="1"/>
  <c r="M629" i="1" a="1"/>
  <c r="M629" i="1" s="1"/>
  <c r="O401" i="1"/>
  <c r="N401" i="1"/>
  <c r="M401" i="1" a="1"/>
  <c r="M401" i="1" s="1"/>
  <c r="O186" i="1"/>
  <c r="N186" i="1"/>
  <c r="M186" i="1" a="1"/>
  <c r="M186" i="1" s="1"/>
  <c r="L448" i="1"/>
  <c r="M948" i="1" a="1"/>
  <c r="M948" i="1" s="1"/>
  <c r="M817" i="1" a="1"/>
  <c r="M817" i="1" s="1"/>
  <c r="M650" i="1" a="1"/>
  <c r="M650" i="1" s="1"/>
  <c r="M590" i="1" a="1"/>
  <c r="M590" i="1" s="1"/>
  <c r="O993" i="1"/>
  <c r="N993" i="1"/>
  <c r="O969" i="1"/>
  <c r="N969" i="1"/>
  <c r="M969" i="1" a="1"/>
  <c r="M969" i="1" s="1"/>
  <c r="O945" i="1"/>
  <c r="N945" i="1"/>
  <c r="M945" i="1" a="1"/>
  <c r="M945" i="1" s="1"/>
  <c r="O933" i="1"/>
  <c r="N933" i="1"/>
  <c r="O909" i="1"/>
  <c r="N909" i="1"/>
  <c r="O885" i="1"/>
  <c r="N885" i="1"/>
  <c r="M885" i="1" a="1"/>
  <c r="M885" i="1" s="1"/>
  <c r="O861" i="1"/>
  <c r="N861" i="1"/>
  <c r="M861" i="1" a="1"/>
  <c r="M861" i="1" s="1"/>
  <c r="L849" i="1"/>
  <c r="O849" i="1"/>
  <c r="N849" i="1"/>
  <c r="M849" i="1" a="1"/>
  <c r="M849" i="1" s="1"/>
  <c r="O837" i="1"/>
  <c r="N837" i="1"/>
  <c r="M837" i="1" a="1"/>
  <c r="M837" i="1" s="1"/>
  <c r="O813" i="1"/>
  <c r="N813" i="1"/>
  <c r="O729" i="1"/>
  <c r="N729" i="1"/>
  <c r="O537" i="1"/>
  <c r="N537" i="1"/>
  <c r="O405" i="1"/>
  <c r="N405" i="1"/>
  <c r="M405" i="1" a="1"/>
  <c r="M405" i="1" s="1"/>
  <c r="K345" i="1" a="1"/>
  <c r="K345" i="1" s="1"/>
  <c r="O345" i="1"/>
  <c r="N345" i="1"/>
  <c r="L345" i="1"/>
  <c r="K313" i="1" a="1"/>
  <c r="K313" i="1" s="1"/>
  <c r="M902" i="1" a="1"/>
  <c r="M902" i="1" s="1"/>
  <c r="L990" i="1"/>
  <c r="O990" i="1"/>
  <c r="N990" i="1"/>
  <c r="K990" i="1" a="1"/>
  <c r="K990" i="1" s="1"/>
  <c r="O978" i="1"/>
  <c r="N978" i="1"/>
  <c r="M978" i="1" a="1"/>
  <c r="M978" i="1" s="1"/>
  <c r="L954" i="1"/>
  <c r="O954" i="1"/>
  <c r="N954" i="1"/>
  <c r="M954" i="1" a="1"/>
  <c r="M954" i="1" s="1"/>
  <c r="L942" i="1"/>
  <c r="O942" i="1"/>
  <c r="N942" i="1"/>
  <c r="M942" i="1" a="1"/>
  <c r="M942" i="1" s="1"/>
  <c r="L918" i="1"/>
  <c r="O918" i="1"/>
  <c r="N918" i="1"/>
  <c r="K918" i="1" a="1"/>
  <c r="K918" i="1" s="1"/>
  <c r="M918" i="1" a="1"/>
  <c r="M918" i="1" s="1"/>
  <c r="O894" i="1"/>
  <c r="N894" i="1"/>
  <c r="M894" i="1" a="1"/>
  <c r="M894" i="1" s="1"/>
  <c r="O882" i="1"/>
  <c r="N882" i="1"/>
  <c r="M882" i="1" a="1"/>
  <c r="M882" i="1" s="1"/>
  <c r="L870" i="1"/>
  <c r="O870" i="1"/>
  <c r="N870" i="1"/>
  <c r="K870" i="1" a="1"/>
  <c r="K870" i="1" s="1"/>
  <c r="M870" i="1" a="1"/>
  <c r="M870" i="1" s="1"/>
  <c r="L846" i="1"/>
  <c r="O846" i="1"/>
  <c r="N846" i="1"/>
  <c r="M846" i="1" a="1"/>
  <c r="M846" i="1" s="1"/>
  <c r="K846" i="1" a="1"/>
  <c r="K846" i="1" s="1"/>
  <c r="L822" i="1"/>
  <c r="O822" i="1"/>
  <c r="N822" i="1"/>
  <c r="K822" i="1" a="1"/>
  <c r="K822" i="1" s="1"/>
  <c r="L810" i="1"/>
  <c r="O810" i="1"/>
  <c r="N810" i="1"/>
  <c r="M810" i="1" a="1"/>
  <c r="M810" i="1" s="1"/>
  <c r="O798" i="1"/>
  <c r="N798" i="1"/>
  <c r="M798" i="1" a="1"/>
  <c r="M798" i="1" s="1"/>
  <c r="L774" i="1"/>
  <c r="O774" i="1"/>
  <c r="N774" i="1"/>
  <c r="M774" i="1" a="1"/>
  <c r="M774" i="1" s="1"/>
  <c r="L762" i="1"/>
  <c r="O762" i="1"/>
  <c r="N762" i="1"/>
  <c r="M762" i="1" a="1"/>
  <c r="M762" i="1" s="1"/>
  <c r="L738" i="1"/>
  <c r="O738" i="1"/>
  <c r="N738" i="1"/>
  <c r="K738" i="1" a="1"/>
  <c r="K738" i="1" s="1"/>
  <c r="M738" i="1" a="1"/>
  <c r="M738" i="1" s="1"/>
  <c r="L714" i="1"/>
  <c r="O714" i="1"/>
  <c r="N714" i="1"/>
  <c r="M714" i="1" a="1"/>
  <c r="M714" i="1" s="1"/>
  <c r="O702" i="1"/>
  <c r="N702" i="1"/>
  <c r="L678" i="1"/>
  <c r="O678" i="1"/>
  <c r="N678" i="1"/>
  <c r="M678" i="1" a="1"/>
  <c r="M678" i="1" s="1"/>
  <c r="K678" i="1" a="1"/>
  <c r="K678" i="1" s="1"/>
  <c r="O666" i="1"/>
  <c r="N666" i="1"/>
  <c r="O642" i="1"/>
  <c r="N642" i="1"/>
  <c r="M642" i="1" a="1"/>
  <c r="M642" i="1" s="1"/>
  <c r="L618" i="1"/>
  <c r="O618" i="1"/>
  <c r="N618" i="1"/>
  <c r="M618" i="1" a="1"/>
  <c r="M618" i="1" s="1"/>
  <c r="L606" i="1"/>
  <c r="O606" i="1"/>
  <c r="N606" i="1"/>
  <c r="M606" i="1" a="1"/>
  <c r="M606" i="1" s="1"/>
  <c r="L582" i="1"/>
  <c r="O582" i="1"/>
  <c r="N582" i="1"/>
  <c r="M582" i="1" a="1"/>
  <c r="M582" i="1" s="1"/>
  <c r="K582" i="1" a="1"/>
  <c r="K582" i="1" s="1"/>
  <c r="O558" i="1"/>
  <c r="N558" i="1"/>
  <c r="M558" i="1" a="1"/>
  <c r="M558" i="1" s="1"/>
  <c r="O546" i="1"/>
  <c r="N546" i="1"/>
  <c r="O522" i="1"/>
  <c r="N522" i="1"/>
  <c r="M522" i="1" a="1"/>
  <c r="M522" i="1" s="1"/>
  <c r="L510" i="1"/>
  <c r="O510" i="1"/>
  <c r="N510" i="1"/>
  <c r="O486" i="1"/>
  <c r="N486" i="1"/>
  <c r="O474" i="1"/>
  <c r="N474" i="1"/>
  <c r="O438" i="1"/>
  <c r="N438" i="1"/>
  <c r="M438" i="1" a="1"/>
  <c r="M438" i="1" s="1"/>
  <c r="L414" i="1"/>
  <c r="O414" i="1"/>
  <c r="N414" i="1"/>
  <c r="K414" i="1" a="1"/>
  <c r="K414" i="1" s="1"/>
  <c r="M414" i="1" a="1"/>
  <c r="M414" i="1" s="1"/>
  <c r="O390" i="1"/>
  <c r="N390" i="1"/>
  <c r="M390" i="1" a="1"/>
  <c r="M390" i="1" s="1"/>
  <c r="O378" i="1"/>
  <c r="N378" i="1"/>
  <c r="M378" i="1" a="1"/>
  <c r="M378" i="1" s="1"/>
  <c r="O354" i="1"/>
  <c r="N354" i="1"/>
  <c r="O342" i="1"/>
  <c r="N342" i="1"/>
  <c r="M342" i="1" a="1"/>
  <c r="M342" i="1" s="1"/>
  <c r="O318" i="1"/>
  <c r="N318" i="1"/>
  <c r="M318" i="1" a="1"/>
  <c r="M318" i="1" s="1"/>
  <c r="O282" i="1"/>
  <c r="N282" i="1"/>
  <c r="M282" i="1" a="1"/>
  <c r="M282" i="1" s="1"/>
  <c r="O270" i="1"/>
  <c r="N270" i="1"/>
  <c r="M270" i="1" a="1"/>
  <c r="M270" i="1" s="1"/>
  <c r="L210" i="1"/>
  <c r="O210" i="1"/>
  <c r="N210" i="1"/>
  <c r="O150" i="1"/>
  <c r="N150" i="1"/>
  <c r="M150" i="1" a="1"/>
  <c r="M150" i="1" s="1"/>
  <c r="O593" i="1"/>
  <c r="N593" i="1"/>
  <c r="M593" i="1" a="1"/>
  <c r="M593" i="1" s="1"/>
  <c r="L461" i="1"/>
  <c r="O461" i="1"/>
  <c r="N461" i="1"/>
  <c r="M461" i="1" a="1"/>
  <c r="M461" i="1" s="1"/>
  <c r="O293" i="1"/>
  <c r="N293" i="1"/>
  <c r="M293" i="1" a="1"/>
  <c r="M293" i="1" s="1"/>
  <c r="O149" i="1"/>
  <c r="N149" i="1"/>
  <c r="M149" i="1" a="1"/>
  <c r="M149" i="1" s="1"/>
  <c r="O581" i="1"/>
  <c r="N581" i="1"/>
  <c r="M581" i="1" a="1"/>
  <c r="M581" i="1" s="1"/>
  <c r="O451" i="1"/>
  <c r="N451" i="1"/>
  <c r="M451" i="1" a="1"/>
  <c r="M451" i="1" s="1"/>
  <c r="O368" i="1"/>
  <c r="N368" i="1"/>
  <c r="M368" i="1" a="1"/>
  <c r="M368" i="1" s="1"/>
  <c r="K930" i="1" a="1"/>
  <c r="K930" i="1" s="1"/>
  <c r="K250" i="1" a="1"/>
  <c r="K250" i="1" s="1"/>
  <c r="M959" i="1" a="1"/>
  <c r="M959" i="1" s="1"/>
  <c r="M877" i="1" a="1"/>
  <c r="M877" i="1" s="1"/>
  <c r="M855" i="1" a="1"/>
  <c r="M855" i="1" s="1"/>
  <c r="M805" i="1" a="1"/>
  <c r="M805" i="1" s="1"/>
  <c r="M700" i="1" a="1"/>
  <c r="M700" i="1" s="1"/>
  <c r="M578" i="1" a="1"/>
  <c r="M578" i="1" s="1"/>
  <c r="M358" i="1" a="1"/>
  <c r="M358" i="1" s="1"/>
  <c r="M324" i="1" a="1"/>
  <c r="M324" i="1" s="1"/>
  <c r="M148" i="1" a="1"/>
  <c r="M148" i="1" s="1"/>
  <c r="L741" i="1"/>
  <c r="O741" i="1"/>
  <c r="N741" i="1"/>
  <c r="M741" i="1" a="1"/>
  <c r="M741" i="1" s="1"/>
  <c r="O693" i="1"/>
  <c r="N693" i="1"/>
  <c r="O657" i="1"/>
  <c r="N657" i="1"/>
  <c r="O621" i="1"/>
  <c r="N621" i="1"/>
  <c r="O549" i="1"/>
  <c r="N549" i="1"/>
  <c r="M549" i="1" a="1"/>
  <c r="M549" i="1" s="1"/>
  <c r="O513" i="1"/>
  <c r="N513" i="1"/>
  <c r="M513" i="1" a="1"/>
  <c r="M513" i="1" s="1"/>
  <c r="O477" i="1"/>
  <c r="N477" i="1"/>
  <c r="O441" i="1"/>
  <c r="N441" i="1"/>
  <c r="O381" i="1"/>
  <c r="N381" i="1"/>
  <c r="L285" i="1"/>
  <c r="O285" i="1"/>
  <c r="N285" i="1"/>
  <c r="O237" i="1"/>
  <c r="N237" i="1"/>
  <c r="O201" i="1"/>
  <c r="N201" i="1"/>
  <c r="O165" i="1"/>
  <c r="N165" i="1"/>
  <c r="M165" i="1" a="1"/>
  <c r="M165" i="1" s="1"/>
  <c r="K141" i="1" a="1"/>
  <c r="K141" i="1" s="1"/>
  <c r="O141" i="1"/>
  <c r="N141" i="1"/>
  <c r="M141" i="1" a="1"/>
  <c r="M141" i="1" s="1"/>
  <c r="O117" i="1"/>
  <c r="N117" i="1"/>
  <c r="M117" i="1" a="1"/>
  <c r="M117" i="1" s="1"/>
  <c r="K105" i="1" a="1"/>
  <c r="K105" i="1" s="1"/>
  <c r="O105" i="1"/>
  <c r="N105" i="1"/>
  <c r="O93" i="1"/>
  <c r="N93" i="1"/>
  <c r="M93" i="1" a="1"/>
  <c r="M93" i="1" s="1"/>
  <c r="K81" i="1" a="1"/>
  <c r="K81" i="1" s="1"/>
  <c r="O81" i="1"/>
  <c r="N81" i="1"/>
  <c r="M81" i="1" a="1"/>
  <c r="M81" i="1" s="1"/>
  <c r="O57" i="1"/>
  <c r="N57" i="1"/>
  <c r="M57" i="1" a="1"/>
  <c r="M57" i="1" s="1"/>
  <c r="K45" i="1" a="1"/>
  <c r="K45" i="1" s="1"/>
  <c r="O45" i="1"/>
  <c r="N45" i="1"/>
  <c r="M45" i="1" a="1"/>
  <c r="M45" i="1" s="1"/>
  <c r="O33" i="1"/>
  <c r="N33" i="1"/>
  <c r="O9" i="1"/>
  <c r="N9" i="1"/>
  <c r="M9" i="1" a="1"/>
  <c r="M9" i="1" s="1"/>
  <c r="O857" i="1"/>
  <c r="N857" i="1"/>
  <c r="O677" i="1"/>
  <c r="N677" i="1"/>
  <c r="M677" i="1" a="1"/>
  <c r="M677" i="1" s="1"/>
  <c r="O233" i="1"/>
  <c r="N233" i="1"/>
  <c r="M233" i="1" a="1"/>
  <c r="M233" i="1" s="1"/>
  <c r="O89" i="1"/>
  <c r="N89" i="1"/>
  <c r="O19" i="1"/>
  <c r="N19" i="1"/>
  <c r="L992" i="1"/>
  <c r="O992" i="1"/>
  <c r="N992" i="1"/>
  <c r="M992" i="1" a="1"/>
  <c r="M992" i="1" s="1"/>
  <c r="O980" i="1"/>
  <c r="N980" i="1"/>
  <c r="O968" i="1"/>
  <c r="N968" i="1"/>
  <c r="M968" i="1" a="1"/>
  <c r="M968" i="1" s="1"/>
  <c r="O956" i="1"/>
  <c r="N956" i="1"/>
  <c r="O944" i="1"/>
  <c r="N944" i="1"/>
  <c r="M944" i="1" a="1"/>
  <c r="M944" i="1" s="1"/>
  <c r="O932" i="1"/>
  <c r="N932" i="1"/>
  <c r="M932" i="1" a="1"/>
  <c r="M932" i="1" s="1"/>
  <c r="L920" i="1"/>
  <c r="O920" i="1"/>
  <c r="N920" i="1"/>
  <c r="K920" i="1" a="1"/>
  <c r="K920" i="1" s="1"/>
  <c r="O908" i="1"/>
  <c r="N908" i="1"/>
  <c r="L896" i="1"/>
  <c r="O896" i="1"/>
  <c r="N896" i="1"/>
  <c r="O884" i="1"/>
  <c r="N884" i="1"/>
  <c r="M884" i="1" a="1"/>
  <c r="M884" i="1" s="1"/>
  <c r="O872" i="1"/>
  <c r="N872" i="1"/>
  <c r="K860" i="1" a="1"/>
  <c r="K860" i="1" s="1"/>
  <c r="O860" i="1"/>
  <c r="N860" i="1"/>
  <c r="M860" i="1" a="1"/>
  <c r="M860" i="1" s="1"/>
  <c r="L848" i="1"/>
  <c r="O848" i="1"/>
  <c r="N848" i="1"/>
  <c r="M848" i="1" a="1"/>
  <c r="M848" i="1" s="1"/>
  <c r="O836" i="1"/>
  <c r="N836" i="1"/>
  <c r="L824" i="1"/>
  <c r="O824" i="1"/>
  <c r="N824" i="1"/>
  <c r="O812" i="1"/>
  <c r="N812" i="1"/>
  <c r="L800" i="1"/>
  <c r="O800" i="1"/>
  <c r="N800" i="1"/>
  <c r="M800" i="1" a="1"/>
  <c r="M800" i="1" s="1"/>
  <c r="L788" i="1"/>
  <c r="O788" i="1"/>
  <c r="N788" i="1"/>
  <c r="M788" i="1" a="1"/>
  <c r="M788" i="1" s="1"/>
  <c r="O776" i="1"/>
  <c r="N776" i="1"/>
  <c r="K764" i="1" a="1"/>
  <c r="K764" i="1" s="1"/>
  <c r="O764" i="1"/>
  <c r="N764" i="1"/>
  <c r="L752" i="1"/>
  <c r="O752" i="1"/>
  <c r="N752" i="1"/>
  <c r="M752" i="1" a="1"/>
  <c r="M752" i="1" s="1"/>
  <c r="O740" i="1"/>
  <c r="N740" i="1"/>
  <c r="L728" i="1"/>
  <c r="O728" i="1"/>
  <c r="N728" i="1"/>
  <c r="M728" i="1" a="1"/>
  <c r="M728" i="1" s="1"/>
  <c r="O716" i="1"/>
  <c r="N716" i="1"/>
  <c r="M716" i="1" a="1"/>
  <c r="M716" i="1" s="1"/>
  <c r="O704" i="1"/>
  <c r="N704" i="1"/>
  <c r="M704" i="1" a="1"/>
  <c r="M704" i="1" s="1"/>
  <c r="L692" i="1"/>
  <c r="O692" i="1"/>
  <c r="N692" i="1"/>
  <c r="L680" i="1"/>
  <c r="O680" i="1"/>
  <c r="N680" i="1"/>
  <c r="M680" i="1" a="1"/>
  <c r="M680" i="1" s="1"/>
  <c r="O668" i="1"/>
  <c r="N668" i="1"/>
  <c r="L656" i="1"/>
  <c r="O656" i="1"/>
  <c r="N656" i="1"/>
  <c r="L644" i="1"/>
  <c r="O644" i="1"/>
  <c r="N644" i="1"/>
  <c r="M644" i="1" a="1"/>
  <c r="M644" i="1" s="1"/>
  <c r="L632" i="1"/>
  <c r="O632" i="1"/>
  <c r="N632" i="1"/>
  <c r="K620" i="1" a="1"/>
  <c r="K620" i="1" s="1"/>
  <c r="O620" i="1"/>
  <c r="N620" i="1"/>
  <c r="L620" i="1"/>
  <c r="M620" i="1" a="1"/>
  <c r="M620" i="1" s="1"/>
  <c r="L608" i="1"/>
  <c r="O608" i="1"/>
  <c r="N608" i="1"/>
  <c r="M608" i="1" a="1"/>
  <c r="M608" i="1" s="1"/>
  <c r="L596" i="1"/>
  <c r="O596" i="1"/>
  <c r="N596" i="1"/>
  <c r="L584" i="1"/>
  <c r="O584" i="1"/>
  <c r="N584" i="1"/>
  <c r="M584" i="1" a="1"/>
  <c r="M584" i="1" s="1"/>
  <c r="L572" i="1"/>
  <c r="O572" i="1"/>
  <c r="N572" i="1"/>
  <c r="M572" i="1" a="1"/>
  <c r="M572" i="1" s="1"/>
  <c r="K560" i="1" a="1"/>
  <c r="K560" i="1" s="1"/>
  <c r="O560" i="1"/>
  <c r="N560" i="1"/>
  <c r="L560" i="1"/>
  <c r="M560" i="1" a="1"/>
  <c r="M560" i="1" s="1"/>
  <c r="L548" i="1"/>
  <c r="O548" i="1"/>
  <c r="N548" i="1"/>
  <c r="M548" i="1" a="1"/>
  <c r="M548" i="1" s="1"/>
  <c r="L536" i="1"/>
  <c r="O536" i="1"/>
  <c r="N536" i="1"/>
  <c r="M536" i="1" a="1"/>
  <c r="M536" i="1" s="1"/>
  <c r="L524" i="1"/>
  <c r="O524" i="1"/>
  <c r="N524" i="1"/>
  <c r="M524" i="1" a="1"/>
  <c r="M524" i="1" s="1"/>
  <c r="O512" i="1"/>
  <c r="N512" i="1"/>
  <c r="O488" i="1"/>
  <c r="N488" i="1"/>
  <c r="M488" i="1" a="1"/>
  <c r="M488" i="1" s="1"/>
  <c r="O476" i="1"/>
  <c r="N476" i="1"/>
  <c r="O464" i="1"/>
  <c r="N464" i="1"/>
  <c r="M464" i="1" a="1"/>
  <c r="M464" i="1" s="1"/>
  <c r="O440" i="1"/>
  <c r="N440" i="1"/>
  <c r="O428" i="1"/>
  <c r="N428" i="1"/>
  <c r="M428" i="1" a="1"/>
  <c r="M428" i="1" s="1"/>
  <c r="O416" i="1"/>
  <c r="N416" i="1"/>
  <c r="O392" i="1"/>
  <c r="N392" i="1"/>
  <c r="M392" i="1" a="1"/>
  <c r="M392" i="1" s="1"/>
  <c r="O380" i="1"/>
  <c r="N380" i="1"/>
  <c r="M380" i="1" a="1"/>
  <c r="M380" i="1" s="1"/>
  <c r="O356" i="1"/>
  <c r="N356" i="1"/>
  <c r="M356" i="1" a="1"/>
  <c r="M356" i="1" s="1"/>
  <c r="L332" i="1"/>
  <c r="O332" i="1"/>
  <c r="N332" i="1"/>
  <c r="O308" i="1"/>
  <c r="N308" i="1"/>
  <c r="O296" i="1"/>
  <c r="N296" i="1"/>
  <c r="L284" i="1"/>
  <c r="O284" i="1"/>
  <c r="N284" i="1"/>
  <c r="M284" i="1" a="1"/>
  <c r="M284" i="1" s="1"/>
  <c r="O272" i="1"/>
  <c r="N272" i="1"/>
  <c r="O248" i="1"/>
  <c r="N248" i="1"/>
  <c r="M248" i="1" a="1"/>
  <c r="M248" i="1" s="1"/>
  <c r="L236" i="1"/>
  <c r="O236" i="1"/>
  <c r="N236" i="1"/>
  <c r="M236" i="1" a="1"/>
  <c r="M236" i="1" s="1"/>
  <c r="O224" i="1"/>
  <c r="N224" i="1"/>
  <c r="M224" i="1" a="1"/>
  <c r="M224" i="1" s="1"/>
  <c r="O200" i="1"/>
  <c r="N200" i="1"/>
  <c r="O188" i="1"/>
  <c r="N188" i="1"/>
  <c r="M188" i="1" a="1"/>
  <c r="M188" i="1" s="1"/>
  <c r="O176" i="1"/>
  <c r="N176" i="1"/>
  <c r="O164" i="1"/>
  <c r="N164" i="1"/>
  <c r="M164" i="1" a="1"/>
  <c r="M164" i="1" s="1"/>
  <c r="O152" i="1"/>
  <c r="N152" i="1"/>
  <c r="M152" i="1" a="1"/>
  <c r="M152" i="1" s="1"/>
  <c r="O140" i="1"/>
  <c r="N140" i="1"/>
  <c r="M140" i="1" a="1"/>
  <c r="M140" i="1" s="1"/>
  <c r="O116" i="1"/>
  <c r="N116" i="1"/>
  <c r="O104" i="1"/>
  <c r="N104" i="1"/>
  <c r="O92" i="1"/>
  <c r="N92" i="1"/>
  <c r="O80" i="1"/>
  <c r="N80" i="1"/>
  <c r="M80" i="1" a="1"/>
  <c r="M80" i="1" s="1"/>
  <c r="O56" i="1"/>
  <c r="N56" i="1"/>
  <c r="M56" i="1" a="1"/>
  <c r="M56" i="1" s="1"/>
  <c r="O44" i="1"/>
  <c r="N44" i="1"/>
  <c r="O32" i="1"/>
  <c r="N32" i="1"/>
  <c r="M32" i="1" a="1"/>
  <c r="M32" i="1" s="1"/>
  <c r="O8" i="1"/>
  <c r="M8" i="1" a="1"/>
  <c r="M8" i="1" s="1"/>
  <c r="N8" i="1"/>
  <c r="M824" i="1" a="1"/>
  <c r="M824" i="1" s="1"/>
  <c r="M812" i="1" a="1"/>
  <c r="M812" i="1" s="1"/>
  <c r="M621" i="1" a="1"/>
  <c r="M621" i="1" s="1"/>
  <c r="M596" i="1" a="1"/>
  <c r="M596" i="1" s="1"/>
  <c r="M477" i="1" a="1"/>
  <c r="M477" i="1" s="1"/>
  <c r="M381" i="1" a="1"/>
  <c r="M381" i="1" s="1"/>
  <c r="M308" i="1" a="1"/>
  <c r="M308" i="1" s="1"/>
  <c r="M237" i="1" a="1"/>
  <c r="M237" i="1" s="1"/>
  <c r="M19" i="1" a="1"/>
  <c r="M19" i="1" s="1"/>
  <c r="O801" i="1"/>
  <c r="N801" i="1"/>
  <c r="M801" i="1" a="1"/>
  <c r="M801" i="1" s="1"/>
  <c r="L789" i="1"/>
  <c r="O789" i="1"/>
  <c r="N789" i="1"/>
  <c r="M789" i="1" a="1"/>
  <c r="M789" i="1" s="1"/>
  <c r="O765" i="1"/>
  <c r="N765" i="1"/>
  <c r="O753" i="1"/>
  <c r="N753" i="1"/>
  <c r="O717" i="1"/>
  <c r="N717" i="1"/>
  <c r="O705" i="1"/>
  <c r="N705" i="1"/>
  <c r="M705" i="1" a="1"/>
  <c r="M705" i="1" s="1"/>
  <c r="O669" i="1"/>
  <c r="N669" i="1"/>
  <c r="M669" i="1" a="1"/>
  <c r="M669" i="1" s="1"/>
  <c r="L645" i="1"/>
  <c r="O645" i="1"/>
  <c r="N645" i="1"/>
  <c r="M645" i="1" a="1"/>
  <c r="M645" i="1" s="1"/>
  <c r="O609" i="1"/>
  <c r="N609" i="1"/>
  <c r="M609" i="1" a="1"/>
  <c r="M609" i="1" s="1"/>
  <c r="L597" i="1"/>
  <c r="O597" i="1"/>
  <c r="N597" i="1"/>
  <c r="O573" i="1"/>
  <c r="N573" i="1"/>
  <c r="O561" i="1"/>
  <c r="N561" i="1"/>
  <c r="O525" i="1"/>
  <c r="N525" i="1"/>
  <c r="M525" i="1" a="1"/>
  <c r="M525" i="1" s="1"/>
  <c r="K489" i="1" a="1"/>
  <c r="K489" i="1" s="1"/>
  <c r="O489" i="1"/>
  <c r="N489" i="1"/>
  <c r="M489" i="1" a="1"/>
  <c r="M489" i="1" s="1"/>
  <c r="O465" i="1"/>
  <c r="N465" i="1"/>
  <c r="M465" i="1" a="1"/>
  <c r="M465" i="1" s="1"/>
  <c r="O453" i="1"/>
  <c r="N453" i="1"/>
  <c r="M453" i="1" a="1"/>
  <c r="M453" i="1" s="1"/>
  <c r="O429" i="1"/>
  <c r="N429" i="1"/>
  <c r="K417" i="1" a="1"/>
  <c r="K417" i="1" s="1"/>
  <c r="O417" i="1"/>
  <c r="N417" i="1"/>
  <c r="M417" i="1" a="1"/>
  <c r="M417" i="1" s="1"/>
  <c r="O393" i="1"/>
  <c r="N393" i="1"/>
  <c r="O357" i="1"/>
  <c r="N357" i="1"/>
  <c r="L333" i="1"/>
  <c r="O333" i="1"/>
  <c r="N333" i="1"/>
  <c r="O309" i="1"/>
  <c r="N309" i="1"/>
  <c r="M309" i="1" a="1"/>
  <c r="M309" i="1" s="1"/>
  <c r="O273" i="1"/>
  <c r="N273" i="1"/>
  <c r="M273" i="1" a="1"/>
  <c r="M273" i="1" s="1"/>
  <c r="L249" i="1"/>
  <c r="O249" i="1"/>
  <c r="N249" i="1"/>
  <c r="O225" i="1"/>
  <c r="N225" i="1"/>
  <c r="M225" i="1" a="1"/>
  <c r="M225" i="1" s="1"/>
  <c r="O213" i="1"/>
  <c r="N213" i="1"/>
  <c r="K189" i="1" a="1"/>
  <c r="K189" i="1" s="1"/>
  <c r="O189" i="1"/>
  <c r="N189" i="1"/>
  <c r="M189" i="1" a="1"/>
  <c r="M189" i="1" s="1"/>
  <c r="L991" i="1"/>
  <c r="O991" i="1"/>
  <c r="N991" i="1"/>
  <c r="M991" i="1" a="1"/>
  <c r="M991" i="1" s="1"/>
  <c r="O979" i="1"/>
  <c r="N979" i="1"/>
  <c r="M979" i="1" a="1"/>
  <c r="M979" i="1" s="1"/>
  <c r="O967" i="1"/>
  <c r="N967" i="1"/>
  <c r="O955" i="1"/>
  <c r="N955" i="1"/>
  <c r="O943" i="1"/>
  <c r="N943" i="1"/>
  <c r="O931" i="1"/>
  <c r="N931" i="1"/>
  <c r="M931" i="1" a="1"/>
  <c r="M931" i="1" s="1"/>
  <c r="O919" i="1"/>
  <c r="N919" i="1"/>
  <c r="M919" i="1" a="1"/>
  <c r="M919" i="1" s="1"/>
  <c r="O907" i="1"/>
  <c r="N907" i="1"/>
  <c r="O895" i="1"/>
  <c r="N895" i="1"/>
  <c r="O883" i="1"/>
  <c r="N883" i="1"/>
  <c r="O871" i="1"/>
  <c r="N871" i="1"/>
  <c r="O859" i="1"/>
  <c r="N859" i="1"/>
  <c r="O847" i="1"/>
  <c r="N847" i="1"/>
  <c r="M847" i="1" a="1"/>
  <c r="M847" i="1" s="1"/>
  <c r="O835" i="1"/>
  <c r="N835" i="1"/>
  <c r="M835" i="1" a="1"/>
  <c r="M835" i="1" s="1"/>
  <c r="O823" i="1"/>
  <c r="N823" i="1"/>
  <c r="O811" i="1"/>
  <c r="N811" i="1"/>
  <c r="M811" i="1" a="1"/>
  <c r="M811" i="1" s="1"/>
  <c r="L799" i="1"/>
  <c r="O799" i="1"/>
  <c r="N799" i="1"/>
  <c r="M799" i="1" a="1"/>
  <c r="M799" i="1" s="1"/>
  <c r="L787" i="1"/>
  <c r="O787" i="1"/>
  <c r="N787" i="1"/>
  <c r="M787" i="1" a="1"/>
  <c r="M787" i="1" s="1"/>
  <c r="O775" i="1"/>
  <c r="N775" i="1"/>
  <c r="O763" i="1"/>
  <c r="N763" i="1"/>
  <c r="M763" i="1" a="1"/>
  <c r="M763" i="1" s="1"/>
  <c r="L751" i="1"/>
  <c r="O751" i="1"/>
  <c r="N751" i="1"/>
  <c r="O739" i="1"/>
  <c r="N739" i="1"/>
  <c r="M739" i="1" a="1"/>
  <c r="M739" i="1" s="1"/>
  <c r="L727" i="1"/>
  <c r="O727" i="1"/>
  <c r="N727" i="1"/>
  <c r="K727" i="1" a="1"/>
  <c r="K727" i="1" s="1"/>
  <c r="L715" i="1"/>
  <c r="O715" i="1"/>
  <c r="N715" i="1"/>
  <c r="M715" i="1" a="1"/>
  <c r="M715" i="1" s="1"/>
  <c r="O703" i="1"/>
  <c r="N703" i="1"/>
  <c r="M703" i="1" a="1"/>
  <c r="M703" i="1" s="1"/>
  <c r="L691" i="1"/>
  <c r="O691" i="1"/>
  <c r="N691" i="1"/>
  <c r="M691" i="1" a="1"/>
  <c r="M691" i="1" s="1"/>
  <c r="L679" i="1"/>
  <c r="O679" i="1"/>
  <c r="N679" i="1"/>
  <c r="M679" i="1" a="1"/>
  <c r="M679" i="1" s="1"/>
  <c r="O667" i="1"/>
  <c r="N667" i="1"/>
  <c r="M667" i="1" a="1"/>
  <c r="M667" i="1" s="1"/>
  <c r="O655" i="1"/>
  <c r="N655" i="1"/>
  <c r="M655" i="1" a="1"/>
  <c r="M655" i="1" s="1"/>
  <c r="L643" i="1"/>
  <c r="O643" i="1"/>
  <c r="N643" i="1"/>
  <c r="M643" i="1" a="1"/>
  <c r="M643" i="1" s="1"/>
  <c r="K643" i="1" a="1"/>
  <c r="K643" i="1" s="1"/>
  <c r="O631" i="1"/>
  <c r="N631" i="1"/>
  <c r="M631" i="1" a="1"/>
  <c r="M631" i="1" s="1"/>
  <c r="L619" i="1"/>
  <c r="O619" i="1"/>
  <c r="N619" i="1"/>
  <c r="M619" i="1" a="1"/>
  <c r="M619" i="1" s="1"/>
  <c r="O607" i="1"/>
  <c r="N607" i="1"/>
  <c r="M607" i="1" a="1"/>
  <c r="M607" i="1" s="1"/>
  <c r="O595" i="1"/>
  <c r="N595" i="1"/>
  <c r="M595" i="1" a="1"/>
  <c r="M595" i="1" s="1"/>
  <c r="L583" i="1"/>
  <c r="O583" i="1"/>
  <c r="N583" i="1"/>
  <c r="M583" i="1" a="1"/>
  <c r="M583" i="1" s="1"/>
  <c r="L571" i="1"/>
  <c r="O571" i="1"/>
  <c r="N571" i="1"/>
  <c r="M571" i="1" a="1"/>
  <c r="M571" i="1" s="1"/>
  <c r="O559" i="1"/>
  <c r="N559" i="1"/>
  <c r="M559" i="1" a="1"/>
  <c r="M559" i="1" s="1"/>
  <c r="L547" i="1"/>
  <c r="O547" i="1"/>
  <c r="N547" i="1"/>
  <c r="M547" i="1" a="1"/>
  <c r="M547" i="1" s="1"/>
  <c r="K547" i="1" a="1"/>
  <c r="K547" i="1" s="1"/>
  <c r="L535" i="1"/>
  <c r="O535" i="1"/>
  <c r="N535" i="1"/>
  <c r="M535" i="1" a="1"/>
  <c r="M535" i="1" s="1"/>
  <c r="L523" i="1"/>
  <c r="O523" i="1"/>
  <c r="N523" i="1"/>
  <c r="M523" i="1" a="1"/>
  <c r="M523" i="1" s="1"/>
  <c r="L511" i="1"/>
  <c r="O511" i="1"/>
  <c r="N511" i="1"/>
  <c r="M511" i="1" a="1"/>
  <c r="M511" i="1" s="1"/>
  <c r="L499" i="1"/>
  <c r="O499" i="1"/>
  <c r="N499" i="1"/>
  <c r="M499" i="1" a="1"/>
  <c r="M499" i="1" s="1"/>
  <c r="K499" i="1" a="1"/>
  <c r="K499" i="1" s="1"/>
  <c r="O475" i="1"/>
  <c r="N475" i="1"/>
  <c r="M475" i="1" a="1"/>
  <c r="M475" i="1" s="1"/>
  <c r="O439" i="1"/>
  <c r="N439" i="1"/>
  <c r="M439" i="1" a="1"/>
  <c r="M439" i="1" s="1"/>
  <c r="O427" i="1"/>
  <c r="N427" i="1"/>
  <c r="M427" i="1" a="1"/>
  <c r="M427" i="1" s="1"/>
  <c r="L415" i="1"/>
  <c r="O415" i="1"/>
  <c r="N415" i="1"/>
  <c r="M415" i="1" a="1"/>
  <c r="M415" i="1" s="1"/>
  <c r="K415" i="1" a="1"/>
  <c r="K415" i="1" s="1"/>
  <c r="O379" i="1"/>
  <c r="N379" i="1"/>
  <c r="M379" i="1" a="1"/>
  <c r="M379" i="1" s="1"/>
  <c r="O367" i="1"/>
  <c r="N367" i="1"/>
  <c r="M367" i="1" a="1"/>
  <c r="M367" i="1" s="1"/>
  <c r="O355" i="1"/>
  <c r="N355" i="1"/>
  <c r="M355" i="1" a="1"/>
  <c r="M355" i="1" s="1"/>
  <c r="O331" i="1"/>
  <c r="N331" i="1"/>
  <c r="M331" i="1" a="1"/>
  <c r="M331" i="1" s="1"/>
  <c r="O319" i="1"/>
  <c r="N319" i="1"/>
  <c r="M319" i="1" a="1"/>
  <c r="M319" i="1" s="1"/>
  <c r="O295" i="1"/>
  <c r="N295" i="1"/>
  <c r="M295" i="1" a="1"/>
  <c r="M295" i="1" s="1"/>
  <c r="O271" i="1"/>
  <c r="N271" i="1"/>
  <c r="M271" i="1" a="1"/>
  <c r="M271" i="1" s="1"/>
  <c r="O247" i="1"/>
  <c r="N247" i="1"/>
  <c r="M247" i="1" a="1"/>
  <c r="M247" i="1" s="1"/>
  <c r="O223" i="1"/>
  <c r="N223" i="1"/>
  <c r="M223" i="1" a="1"/>
  <c r="M223" i="1" s="1"/>
  <c r="O199" i="1"/>
  <c r="N199" i="1"/>
  <c r="L175" i="1"/>
  <c r="O175" i="1"/>
  <c r="N175" i="1"/>
  <c r="M175" i="1" a="1"/>
  <c r="M175" i="1" s="1"/>
  <c r="L163" i="1"/>
  <c r="O163" i="1"/>
  <c r="N163" i="1"/>
  <c r="M163" i="1" a="1"/>
  <c r="M163" i="1" s="1"/>
  <c r="O151" i="1"/>
  <c r="N151" i="1"/>
  <c r="O139" i="1"/>
  <c r="N139" i="1"/>
  <c r="M139" i="1" a="1"/>
  <c r="M139" i="1" s="1"/>
  <c r="O127" i="1"/>
  <c r="N127" i="1"/>
  <c r="O103" i="1"/>
  <c r="N103" i="1"/>
  <c r="O79" i="1"/>
  <c r="N79" i="1"/>
  <c r="M79" i="1" a="1"/>
  <c r="M79" i="1" s="1"/>
  <c r="O55" i="1"/>
  <c r="N55" i="1"/>
  <c r="M55" i="1" a="1"/>
  <c r="M55" i="1" s="1"/>
  <c r="O43" i="1"/>
  <c r="N43" i="1"/>
  <c r="O31" i="1"/>
  <c r="N31" i="1"/>
  <c r="M31" i="1" a="1"/>
  <c r="M31" i="1" s="1"/>
  <c r="O7" i="1"/>
  <c r="N7" i="1"/>
  <c r="M7" i="1" a="1"/>
  <c r="M7" i="1" s="1"/>
  <c r="K404" i="1" a="1"/>
  <c r="K404" i="1" s="1"/>
  <c r="O404" i="1"/>
  <c r="N404" i="1"/>
  <c r="M907" i="1" a="1"/>
  <c r="M907" i="1" s="1"/>
  <c r="M895" i="1" a="1"/>
  <c r="M895" i="1" s="1"/>
  <c r="M883" i="1" a="1"/>
  <c r="M883" i="1" s="1"/>
  <c r="M871" i="1" a="1"/>
  <c r="M871" i="1" s="1"/>
  <c r="M836" i="1" a="1"/>
  <c r="M836" i="1" s="1"/>
  <c r="M753" i="1" a="1"/>
  <c r="M753" i="1" s="1"/>
  <c r="M176" i="1" a="1"/>
  <c r="M176" i="1" s="1"/>
  <c r="M33" i="1" a="1"/>
  <c r="M33" i="1" s="1"/>
  <c r="M393" i="1" a="1"/>
  <c r="M393" i="1" s="1"/>
  <c r="M249" i="1" a="1"/>
  <c r="M249" i="1" s="1"/>
  <c r="M127" i="1" a="1"/>
  <c r="M127" i="1" s="1"/>
  <c r="O725" i="1"/>
  <c r="N725" i="1"/>
  <c r="M725" i="1" a="1"/>
  <c r="M725" i="1" s="1"/>
  <c r="O665" i="1"/>
  <c r="N665" i="1"/>
  <c r="M665" i="1" a="1"/>
  <c r="M665" i="1" s="1"/>
  <c r="L403" i="1"/>
  <c r="O403" i="1"/>
  <c r="N403" i="1"/>
  <c r="M403" i="1" a="1"/>
  <c r="M403" i="1" s="1"/>
  <c r="O129" i="1"/>
  <c r="N129" i="1"/>
  <c r="O68" i="1"/>
  <c r="N68" i="1"/>
  <c r="M657" i="1" a="1"/>
  <c r="M657" i="1" s="1"/>
  <c r="O1001" i="1"/>
  <c r="N1001" i="1"/>
  <c r="L989" i="1"/>
  <c r="O989" i="1"/>
  <c r="N989" i="1"/>
  <c r="O953" i="1"/>
  <c r="N953" i="1"/>
  <c r="M953" i="1" a="1"/>
  <c r="M953" i="1" s="1"/>
  <c r="O941" i="1"/>
  <c r="N941" i="1"/>
  <c r="M941" i="1" a="1"/>
  <c r="M941" i="1" s="1"/>
  <c r="O917" i="1"/>
  <c r="N917" i="1"/>
  <c r="L905" i="1"/>
  <c r="O905" i="1"/>
  <c r="N905" i="1"/>
  <c r="M905" i="1" a="1"/>
  <c r="M905" i="1" s="1"/>
  <c r="O893" i="1"/>
  <c r="N893" i="1"/>
  <c r="M893" i="1" a="1"/>
  <c r="M893" i="1" s="1"/>
  <c r="O845" i="1"/>
  <c r="N845" i="1"/>
  <c r="O809" i="1"/>
  <c r="N809" i="1"/>
  <c r="M809" i="1" a="1"/>
  <c r="M809" i="1" s="1"/>
  <c r="O797" i="1"/>
  <c r="N797" i="1"/>
  <c r="O785" i="1"/>
  <c r="N785" i="1"/>
  <c r="O761" i="1"/>
  <c r="N761" i="1"/>
  <c r="M761" i="1" a="1"/>
  <c r="M761" i="1" s="1"/>
  <c r="O749" i="1"/>
  <c r="N749" i="1"/>
  <c r="O701" i="1"/>
  <c r="N701" i="1"/>
  <c r="M701" i="1" a="1"/>
  <c r="M701" i="1" s="1"/>
  <c r="O689" i="1"/>
  <c r="N689" i="1"/>
  <c r="M689" i="1" a="1"/>
  <c r="M689" i="1" s="1"/>
  <c r="O653" i="1"/>
  <c r="N653" i="1"/>
  <c r="M653" i="1" a="1"/>
  <c r="M653" i="1" s="1"/>
  <c r="O617" i="1"/>
  <c r="N617" i="1"/>
  <c r="M617" i="1" a="1"/>
  <c r="M617" i="1" s="1"/>
  <c r="O605" i="1"/>
  <c r="N605" i="1"/>
  <c r="O557" i="1"/>
  <c r="N557" i="1"/>
  <c r="M557" i="1" a="1"/>
  <c r="M557" i="1" s="1"/>
  <c r="L545" i="1"/>
  <c r="O545" i="1"/>
  <c r="N545" i="1"/>
  <c r="K545" i="1" a="1"/>
  <c r="K545" i="1" s="1"/>
  <c r="L509" i="1"/>
  <c r="O509" i="1"/>
  <c r="N509" i="1"/>
  <c r="O497" i="1"/>
  <c r="N497" i="1"/>
  <c r="M497" i="1" a="1"/>
  <c r="M497" i="1" s="1"/>
  <c r="O485" i="1"/>
  <c r="N485" i="1"/>
  <c r="M485" i="1" a="1"/>
  <c r="M485" i="1" s="1"/>
  <c r="O473" i="1"/>
  <c r="N473" i="1"/>
  <c r="M473" i="1" a="1"/>
  <c r="M473" i="1" s="1"/>
  <c r="O449" i="1"/>
  <c r="N449" i="1"/>
  <c r="M449" i="1" a="1"/>
  <c r="M449" i="1" s="1"/>
  <c r="O437" i="1"/>
  <c r="N437" i="1"/>
  <c r="M437" i="1" a="1"/>
  <c r="M437" i="1" s="1"/>
  <c r="L425" i="1"/>
  <c r="O425" i="1"/>
  <c r="N425" i="1"/>
  <c r="M425" i="1" a="1"/>
  <c r="M425" i="1" s="1"/>
  <c r="O413" i="1"/>
  <c r="N413" i="1"/>
  <c r="M413" i="1" a="1"/>
  <c r="M413" i="1" s="1"/>
  <c r="O389" i="1"/>
  <c r="N389" i="1"/>
  <c r="L365" i="1"/>
  <c r="O365" i="1"/>
  <c r="N365" i="1"/>
  <c r="O353" i="1"/>
  <c r="N353" i="1"/>
  <c r="O341" i="1"/>
  <c r="N341" i="1"/>
  <c r="M341" i="1" a="1"/>
  <c r="M341" i="1" s="1"/>
  <c r="O329" i="1"/>
  <c r="N329" i="1"/>
  <c r="O317" i="1"/>
  <c r="N317" i="1"/>
  <c r="O281" i="1"/>
  <c r="N281" i="1"/>
  <c r="M281" i="1" a="1"/>
  <c r="M281" i="1" s="1"/>
  <c r="O269" i="1"/>
  <c r="N269" i="1"/>
  <c r="M269" i="1" a="1"/>
  <c r="M269" i="1" s="1"/>
  <c r="O257" i="1"/>
  <c r="N257" i="1"/>
  <c r="O245" i="1"/>
  <c r="N245" i="1"/>
  <c r="O221" i="1"/>
  <c r="N221" i="1"/>
  <c r="O209" i="1"/>
  <c r="N209" i="1"/>
  <c r="O173" i="1"/>
  <c r="N173" i="1"/>
  <c r="M173" i="1" a="1"/>
  <c r="M173" i="1" s="1"/>
  <c r="O161" i="1"/>
  <c r="N161" i="1"/>
  <c r="M161" i="1" a="1"/>
  <c r="M161" i="1" s="1"/>
  <c r="O137" i="1"/>
  <c r="N137" i="1"/>
  <c r="L125" i="1"/>
  <c r="O125" i="1"/>
  <c r="N125" i="1"/>
  <c r="M125" i="1" a="1"/>
  <c r="M125" i="1" s="1"/>
  <c r="L77" i="1"/>
  <c r="O77" i="1"/>
  <c r="N77" i="1"/>
  <c r="O65" i="1"/>
  <c r="N65" i="1"/>
  <c r="O53" i="1"/>
  <c r="N53" i="1"/>
  <c r="O41" i="1"/>
  <c r="N41" i="1"/>
  <c r="M41" i="1" a="1"/>
  <c r="M41" i="1" s="1"/>
  <c r="O29" i="1"/>
  <c r="N29" i="1"/>
  <c r="O17" i="1"/>
  <c r="N17" i="1"/>
  <c r="M17" i="1" a="1"/>
  <c r="M17" i="1" s="1"/>
  <c r="O5" i="1"/>
  <c r="N5" i="1"/>
  <c r="M5" i="1" a="1"/>
  <c r="M5" i="1" s="1"/>
  <c r="O128" i="1"/>
  <c r="N128" i="1"/>
  <c r="M859" i="1" a="1"/>
  <c r="M859" i="1" s="1"/>
  <c r="M765" i="1" a="1"/>
  <c r="M765" i="1" s="1"/>
  <c r="M404" i="1" a="1"/>
  <c r="M404" i="1" s="1"/>
  <c r="M333" i="1" a="1"/>
  <c r="M333" i="1" s="1"/>
  <c r="M317" i="1" a="1"/>
  <c r="M317" i="1" s="1"/>
  <c r="O3" i="1"/>
  <c r="N3" i="1"/>
  <c r="M3" i="1" a="1"/>
  <c r="M3" i="1" s="1"/>
  <c r="L923" i="1"/>
  <c r="K923" i="1" a="1"/>
  <c r="K923" i="1" s="1"/>
  <c r="L467" i="1"/>
  <c r="K467" i="1" a="1"/>
  <c r="K467" i="1" s="1"/>
  <c r="L998" i="1"/>
  <c r="K998" i="1" a="1"/>
  <c r="K998" i="1" s="1"/>
  <c r="K986" i="1" a="1"/>
  <c r="K986" i="1" s="1"/>
  <c r="L986" i="1"/>
  <c r="L902" i="1"/>
  <c r="K902" i="1" a="1"/>
  <c r="K902" i="1" s="1"/>
  <c r="L890" i="1"/>
  <c r="K890" i="1" a="1"/>
  <c r="K890" i="1" s="1"/>
  <c r="L854" i="1"/>
  <c r="K854" i="1" a="1"/>
  <c r="K854" i="1" s="1"/>
  <c r="K746" i="1" a="1"/>
  <c r="K746" i="1" s="1"/>
  <c r="L746" i="1"/>
  <c r="L698" i="1"/>
  <c r="K698" i="1" a="1"/>
  <c r="K698" i="1" s="1"/>
  <c r="L554" i="1"/>
  <c r="K554" i="1" a="1"/>
  <c r="K554" i="1" s="1"/>
  <c r="L518" i="1"/>
  <c r="K518" i="1" a="1"/>
  <c r="K518" i="1" s="1"/>
  <c r="L587" i="1"/>
  <c r="K587" i="1" a="1"/>
  <c r="K587" i="1" s="1"/>
  <c r="K131" i="1" a="1"/>
  <c r="K131" i="1" s="1"/>
  <c r="L131" i="1"/>
  <c r="L47" i="1"/>
  <c r="K47" i="1" a="1"/>
  <c r="K47" i="1" s="1"/>
  <c r="L985" i="1"/>
  <c r="K985" i="1" a="1"/>
  <c r="K985" i="1" s="1"/>
  <c r="K889" i="1" a="1"/>
  <c r="K889" i="1" s="1"/>
  <c r="L889" i="1"/>
  <c r="K745" i="1" a="1"/>
  <c r="K745" i="1" s="1"/>
  <c r="L745" i="1"/>
  <c r="L697" i="1"/>
  <c r="K697" i="1" a="1"/>
  <c r="K697" i="1" s="1"/>
  <c r="L553" i="1"/>
  <c r="K553" i="1" a="1"/>
  <c r="K553" i="1" s="1"/>
  <c r="L433" i="1"/>
  <c r="K433" i="1" a="1"/>
  <c r="K433" i="1" s="1"/>
  <c r="K217" i="1" a="1"/>
  <c r="K217" i="1" s="1"/>
  <c r="L217" i="1"/>
  <c r="L133" i="1"/>
  <c r="K133" i="1" a="1"/>
  <c r="K133" i="1" s="1"/>
  <c r="L49" i="1"/>
  <c r="K49" i="1" a="1"/>
  <c r="K49" i="1" s="1"/>
  <c r="L887" i="1"/>
  <c r="K887" i="1" a="1"/>
  <c r="K887" i="1" s="1"/>
  <c r="L779" i="1"/>
  <c r="K779" i="1" a="1"/>
  <c r="K779" i="1" s="1"/>
  <c r="L503" i="1"/>
  <c r="K503" i="1" a="1"/>
  <c r="K503" i="1" s="1"/>
  <c r="L431" i="1"/>
  <c r="K431" i="1" a="1"/>
  <c r="K431" i="1" s="1"/>
  <c r="L215" i="1"/>
  <c r="K215" i="1" a="1"/>
  <c r="K215" i="1" s="1"/>
  <c r="L984" i="1"/>
  <c r="K984" i="1" a="1"/>
  <c r="K984" i="1" s="1"/>
  <c r="L888" i="1"/>
  <c r="K888" i="1" a="1"/>
  <c r="K888" i="1" s="1"/>
  <c r="K744" i="1" a="1"/>
  <c r="K744" i="1" s="1"/>
  <c r="L744" i="1"/>
  <c r="L552" i="1"/>
  <c r="K552" i="1" a="1"/>
  <c r="K552" i="1" s="1"/>
  <c r="K504" i="1" a="1"/>
  <c r="K504" i="1" s="1"/>
  <c r="L504" i="1"/>
  <c r="L468" i="1"/>
  <c r="K468" i="1" a="1"/>
  <c r="K468" i="1" s="1"/>
  <c r="L432" i="1"/>
  <c r="K432" i="1" a="1"/>
  <c r="K432" i="1" s="1"/>
  <c r="K216" i="1" a="1"/>
  <c r="K216" i="1" s="1"/>
  <c r="L216" i="1"/>
  <c r="L132" i="1"/>
  <c r="K132" i="1" a="1"/>
  <c r="K132" i="1" s="1"/>
  <c r="L48" i="1"/>
  <c r="K48" i="1" a="1"/>
  <c r="K48" i="1" s="1"/>
  <c r="L247" i="1"/>
  <c r="K247" i="1" a="1"/>
  <c r="K247" i="1" s="1"/>
  <c r="L55" i="1"/>
  <c r="K55" i="1" a="1"/>
  <c r="K55" i="1" s="1"/>
  <c r="L983" i="1"/>
  <c r="K983" i="1" a="1"/>
  <c r="K983" i="1" s="1"/>
  <c r="L917" i="1"/>
  <c r="K917" i="1" a="1"/>
  <c r="K917" i="1" s="1"/>
  <c r="L696" i="1"/>
  <c r="K696" i="1" a="1"/>
  <c r="K696" i="1" s="1"/>
  <c r="L438" i="1"/>
  <c r="K438" i="1" a="1"/>
  <c r="K438" i="1" s="1"/>
  <c r="L330" i="1"/>
  <c r="K330" i="1" a="1"/>
  <c r="K330" i="1" s="1"/>
  <c r="L138" i="1"/>
  <c r="K138" i="1" a="1"/>
  <c r="K138" i="1" s="1"/>
  <c r="L54" i="1"/>
  <c r="K54" i="1" a="1"/>
  <c r="K54" i="1" s="1"/>
  <c r="L6" i="1"/>
  <c r="K6" i="1" a="1"/>
  <c r="K6" i="1" s="1"/>
  <c r="L841" i="1"/>
  <c r="K841" i="1" a="1"/>
  <c r="K841" i="1" s="1"/>
  <c r="K731" i="1" a="1"/>
  <c r="K731" i="1" s="1"/>
  <c r="L731" i="1"/>
  <c r="L650" i="1"/>
  <c r="K650" i="1" a="1"/>
  <c r="K650" i="1" s="1"/>
  <c r="K539" i="1" a="1"/>
  <c r="K539" i="1" s="1"/>
  <c r="L539" i="1"/>
  <c r="L389" i="1"/>
  <c r="K389" i="1" a="1"/>
  <c r="K389" i="1" s="1"/>
  <c r="L176" i="1"/>
  <c r="K176" i="1" a="1"/>
  <c r="K176" i="1" s="1"/>
  <c r="L89" i="1"/>
  <c r="K89" i="1" a="1"/>
  <c r="K89" i="1" s="1"/>
  <c r="L941" i="1"/>
  <c r="K941" i="1" a="1"/>
  <c r="K941" i="1" s="1"/>
  <c r="L701" i="1"/>
  <c r="K701" i="1" a="1"/>
  <c r="K701" i="1" s="1"/>
  <c r="L329" i="1"/>
  <c r="K329" i="1" a="1"/>
  <c r="K329" i="1" s="1"/>
  <c r="L245" i="1"/>
  <c r="K245" i="1" a="1"/>
  <c r="K245" i="1" s="1"/>
  <c r="L161" i="1"/>
  <c r="K161" i="1" a="1"/>
  <c r="K161" i="1" s="1"/>
  <c r="L137" i="1"/>
  <c r="K137" i="1" a="1"/>
  <c r="K137" i="1" s="1"/>
  <c r="L53" i="1"/>
  <c r="K53" i="1" a="1"/>
  <c r="K53" i="1" s="1"/>
  <c r="L840" i="1"/>
  <c r="K840" i="1" a="1"/>
  <c r="K840" i="1" s="1"/>
  <c r="K844" i="1" a="1"/>
  <c r="K844" i="1" s="1"/>
  <c r="L844" i="1"/>
  <c r="L874" i="1"/>
  <c r="K874" i="1" a="1"/>
  <c r="K874" i="1" s="1"/>
  <c r="L807" i="1"/>
  <c r="K807" i="1" a="1"/>
  <c r="K807" i="1" s="1"/>
  <c r="K729" i="1" a="1"/>
  <c r="K729" i="1" s="1"/>
  <c r="L729" i="1"/>
  <c r="K537" i="1" a="1"/>
  <c r="K537" i="1" s="1"/>
  <c r="L537" i="1"/>
  <c r="L408" i="1"/>
  <c r="K408" i="1" a="1"/>
  <c r="K408" i="1" s="1"/>
  <c r="L324" i="1"/>
  <c r="K324" i="1" a="1"/>
  <c r="K324" i="1" s="1"/>
  <c r="L240" i="1"/>
  <c r="K240" i="1" a="1"/>
  <c r="K240" i="1" s="1"/>
  <c r="L69" i="1"/>
  <c r="K69" i="1" a="1"/>
  <c r="K69" i="1" s="1"/>
  <c r="L24" i="1"/>
  <c r="K24" i="1" a="1"/>
  <c r="K24" i="1" s="1"/>
  <c r="L987" i="1"/>
  <c r="K987" i="1" a="1"/>
  <c r="K987" i="1" s="1"/>
  <c r="K939" i="1" a="1"/>
  <c r="K939" i="1" s="1"/>
  <c r="L939" i="1"/>
  <c r="L843" i="1"/>
  <c r="K843" i="1" a="1"/>
  <c r="K843" i="1" s="1"/>
  <c r="L795" i="1"/>
  <c r="K795" i="1" a="1"/>
  <c r="K795" i="1" s="1"/>
  <c r="K651" i="1" a="1"/>
  <c r="K651" i="1" s="1"/>
  <c r="L651" i="1"/>
  <c r="L507" i="1"/>
  <c r="K507" i="1" a="1"/>
  <c r="K507" i="1" s="1"/>
  <c r="L971" i="1"/>
  <c r="K971" i="1" a="1"/>
  <c r="K971" i="1" s="1"/>
  <c r="L936" i="1"/>
  <c r="K936" i="1" a="1"/>
  <c r="K936" i="1" s="1"/>
  <c r="L904" i="1"/>
  <c r="K904" i="1" a="1"/>
  <c r="K904" i="1" s="1"/>
  <c r="L761" i="1"/>
  <c r="K761" i="1" a="1"/>
  <c r="K761" i="1" s="1"/>
  <c r="L725" i="1"/>
  <c r="K725" i="1" a="1"/>
  <c r="K725" i="1" s="1"/>
  <c r="L152" i="1"/>
  <c r="K152" i="1" a="1"/>
  <c r="K152" i="1" s="1"/>
  <c r="L926" i="1"/>
  <c r="K926" i="1" a="1"/>
  <c r="K926" i="1" s="1"/>
  <c r="K914" i="1" a="1"/>
  <c r="K914" i="1" s="1"/>
  <c r="L914" i="1"/>
  <c r="L866" i="1"/>
  <c r="K866" i="1" a="1"/>
  <c r="K866" i="1" s="1"/>
  <c r="L818" i="1"/>
  <c r="K818" i="1" a="1"/>
  <c r="K818" i="1" s="1"/>
  <c r="L782" i="1"/>
  <c r="K782" i="1" a="1"/>
  <c r="K782" i="1" s="1"/>
  <c r="L710" i="1"/>
  <c r="K710" i="1" a="1"/>
  <c r="K710" i="1" s="1"/>
  <c r="K674" i="1" a="1"/>
  <c r="K674" i="1" s="1"/>
  <c r="L674" i="1"/>
  <c r="L638" i="1"/>
  <c r="K638" i="1" a="1"/>
  <c r="K638" i="1" s="1"/>
  <c r="L566" i="1"/>
  <c r="K566" i="1" a="1"/>
  <c r="K566" i="1" s="1"/>
  <c r="L542" i="1"/>
  <c r="K542" i="1" a="1"/>
  <c r="K542" i="1" s="1"/>
  <c r="K506" i="1" a="1"/>
  <c r="K506" i="1" s="1"/>
  <c r="L506" i="1"/>
  <c r="K446" i="1" a="1"/>
  <c r="K446" i="1" s="1"/>
  <c r="L446" i="1"/>
  <c r="L422" i="1"/>
  <c r="K422" i="1" a="1"/>
  <c r="K422" i="1" s="1"/>
  <c r="K398" i="1" a="1"/>
  <c r="K398" i="1" s="1"/>
  <c r="L398" i="1"/>
  <c r="K386" i="1" a="1"/>
  <c r="K386" i="1" s="1"/>
  <c r="L386" i="1"/>
  <c r="K362" i="1" a="1"/>
  <c r="K362" i="1" s="1"/>
  <c r="L362" i="1"/>
  <c r="L350" i="1"/>
  <c r="K350" i="1" a="1"/>
  <c r="K350" i="1" s="1"/>
  <c r="K338" i="1" a="1"/>
  <c r="K338" i="1" s="1"/>
  <c r="L338" i="1"/>
  <c r="K302" i="1" a="1"/>
  <c r="K302" i="1" s="1"/>
  <c r="L302" i="1"/>
  <c r="L266" i="1"/>
  <c r="K266" i="1" a="1"/>
  <c r="K266" i="1" s="1"/>
  <c r="K194" i="1" a="1"/>
  <c r="K194" i="1" s="1"/>
  <c r="L194" i="1"/>
  <c r="K170" i="1" a="1"/>
  <c r="K170" i="1" s="1"/>
  <c r="L170" i="1"/>
  <c r="K158" i="1" a="1"/>
  <c r="K158" i="1" s="1"/>
  <c r="L158" i="1"/>
  <c r="K110" i="1" a="1"/>
  <c r="K110" i="1" s="1"/>
  <c r="L110" i="1"/>
  <c r="K86" i="1" a="1"/>
  <c r="K86" i="1" s="1"/>
  <c r="L86" i="1"/>
  <c r="K62" i="1" a="1"/>
  <c r="K62" i="1" s="1"/>
  <c r="L62" i="1"/>
  <c r="L1001" i="1"/>
  <c r="K1001" i="1" a="1"/>
  <c r="K1001" i="1" s="1"/>
  <c r="L970" i="1"/>
  <c r="K970" i="1" a="1"/>
  <c r="K970" i="1" s="1"/>
  <c r="L935" i="1"/>
  <c r="K935" i="1" a="1"/>
  <c r="K935" i="1" s="1"/>
  <c r="L869" i="1"/>
  <c r="K869" i="1" a="1"/>
  <c r="K869" i="1" s="1"/>
  <c r="L793" i="1"/>
  <c r="K793" i="1" a="1"/>
  <c r="K793" i="1" s="1"/>
  <c r="K682" i="1" a="1"/>
  <c r="K682" i="1" s="1"/>
  <c r="L682" i="1"/>
  <c r="L487" i="1"/>
  <c r="K487" i="1" a="1"/>
  <c r="K487" i="1" s="1"/>
  <c r="K973" i="1" a="1"/>
  <c r="K973" i="1" s="1"/>
  <c r="L973" i="1"/>
  <c r="L925" i="1"/>
  <c r="K925" i="1" a="1"/>
  <c r="K925" i="1" s="1"/>
  <c r="L865" i="1"/>
  <c r="K865" i="1" a="1"/>
  <c r="K865" i="1" s="1"/>
  <c r="L817" i="1"/>
  <c r="K817" i="1" a="1"/>
  <c r="K817" i="1" s="1"/>
  <c r="L781" i="1"/>
  <c r="K781" i="1" a="1"/>
  <c r="K781" i="1" s="1"/>
  <c r="L721" i="1"/>
  <c r="K721" i="1" a="1"/>
  <c r="K721" i="1" s="1"/>
  <c r="K673" i="1" a="1"/>
  <c r="K673" i="1" s="1"/>
  <c r="L673" i="1"/>
  <c r="L625" i="1"/>
  <c r="K625" i="1" a="1"/>
  <c r="K625" i="1" s="1"/>
  <c r="L565" i="1"/>
  <c r="K565" i="1" a="1"/>
  <c r="K565" i="1" s="1"/>
  <c r="L517" i="1"/>
  <c r="K517" i="1" a="1"/>
  <c r="K517" i="1" s="1"/>
  <c r="L481" i="1"/>
  <c r="K481" i="1" a="1"/>
  <c r="K481" i="1" s="1"/>
  <c r="L469" i="1"/>
  <c r="K469" i="1" a="1"/>
  <c r="K469" i="1" s="1"/>
  <c r="K445" i="1" a="1"/>
  <c r="K445" i="1" s="1"/>
  <c r="L445" i="1"/>
  <c r="L421" i="1"/>
  <c r="K421" i="1" a="1"/>
  <c r="K421" i="1" s="1"/>
  <c r="K385" i="1" a="1"/>
  <c r="K385" i="1" s="1"/>
  <c r="L385" i="1"/>
  <c r="L373" i="1"/>
  <c r="K373" i="1" a="1"/>
  <c r="K373" i="1" s="1"/>
  <c r="K301" i="1" a="1"/>
  <c r="K301" i="1" s="1"/>
  <c r="L301" i="1"/>
  <c r="K253" i="1" a="1"/>
  <c r="K253" i="1" s="1"/>
  <c r="L253" i="1"/>
  <c r="L229" i="1"/>
  <c r="K229" i="1" a="1"/>
  <c r="K229" i="1" s="1"/>
  <c r="K205" i="1" a="1"/>
  <c r="K205" i="1" s="1"/>
  <c r="L205" i="1"/>
  <c r="L181" i="1"/>
  <c r="K181" i="1" a="1"/>
  <c r="K181" i="1" s="1"/>
  <c r="K61" i="1" a="1"/>
  <c r="K61" i="1" s="1"/>
  <c r="L61" i="1"/>
  <c r="K162" i="1" a="1"/>
  <c r="K162" i="1" s="1"/>
  <c r="L686" i="1"/>
  <c r="L146" i="1"/>
  <c r="K972" i="1" a="1"/>
  <c r="K972" i="1" s="1"/>
  <c r="L972" i="1"/>
  <c r="L924" i="1"/>
  <c r="K924" i="1" a="1"/>
  <c r="K924" i="1" s="1"/>
  <c r="L816" i="1"/>
  <c r="K816" i="1" a="1"/>
  <c r="K816" i="1" s="1"/>
  <c r="K672" i="1" a="1"/>
  <c r="K672" i="1" s="1"/>
  <c r="L672" i="1"/>
  <c r="L624" i="1"/>
  <c r="K624" i="1" a="1"/>
  <c r="K624" i="1" s="1"/>
  <c r="L588" i="1"/>
  <c r="K588" i="1" a="1"/>
  <c r="K588" i="1" s="1"/>
  <c r="L480" i="1"/>
  <c r="K480" i="1" a="1"/>
  <c r="K480" i="1" s="1"/>
  <c r="L456" i="1"/>
  <c r="K456" i="1" a="1"/>
  <c r="K456" i="1" s="1"/>
  <c r="L420" i="1"/>
  <c r="K420" i="1" a="1"/>
  <c r="K420" i="1" s="1"/>
  <c r="L372" i="1"/>
  <c r="K372" i="1" a="1"/>
  <c r="K372" i="1" s="1"/>
  <c r="L312" i="1"/>
  <c r="K312" i="1" a="1"/>
  <c r="K312" i="1" s="1"/>
  <c r="K120" i="1" a="1"/>
  <c r="K120" i="1" s="1"/>
  <c r="L120" i="1"/>
  <c r="L72" i="1"/>
  <c r="K72" i="1" a="1"/>
  <c r="K72" i="1" s="1"/>
  <c r="K368" i="1" a="1"/>
  <c r="K368" i="1" s="1"/>
  <c r="L368" i="1"/>
  <c r="L685" i="1"/>
  <c r="L791" i="1"/>
  <c r="K791" i="1" a="1"/>
  <c r="K791" i="1" s="1"/>
  <c r="L719" i="1"/>
  <c r="K719" i="1" a="1"/>
  <c r="K719" i="1" s="1"/>
  <c r="L647" i="1"/>
  <c r="K647" i="1" a="1"/>
  <c r="K647" i="1" s="1"/>
  <c r="L623" i="1"/>
  <c r="K623" i="1" a="1"/>
  <c r="K623" i="1" s="1"/>
  <c r="L527" i="1"/>
  <c r="K527" i="1" a="1"/>
  <c r="K527" i="1" s="1"/>
  <c r="L359" i="1"/>
  <c r="K359" i="1" a="1"/>
  <c r="K359" i="1" s="1"/>
  <c r="K299" i="1" a="1"/>
  <c r="K299" i="1" s="1"/>
  <c r="L299" i="1"/>
  <c r="K251" i="1" a="1"/>
  <c r="K251" i="1" s="1"/>
  <c r="L251" i="1"/>
  <c r="L179" i="1"/>
  <c r="K179" i="1" a="1"/>
  <c r="K179" i="1" s="1"/>
  <c r="K35" i="1" a="1"/>
  <c r="K35" i="1" s="1"/>
  <c r="L35" i="1"/>
  <c r="L857" i="1"/>
  <c r="K857" i="1" a="1"/>
  <c r="K857" i="1" s="1"/>
  <c r="L712" i="1"/>
  <c r="K712" i="1" a="1"/>
  <c r="K712" i="1" s="1"/>
  <c r="L307" i="1"/>
  <c r="K307" i="1" a="1"/>
  <c r="K307" i="1" s="1"/>
  <c r="K228" i="1" a="1"/>
  <c r="K228" i="1" s="1"/>
  <c r="L684" i="1"/>
  <c r="L290" i="1"/>
  <c r="K994" i="1" a="1"/>
  <c r="K994" i="1" s="1"/>
  <c r="L994" i="1"/>
  <c r="L946" i="1"/>
  <c r="K946" i="1" a="1"/>
  <c r="K946" i="1" s="1"/>
  <c r="L910" i="1"/>
  <c r="K910" i="1" a="1"/>
  <c r="K910" i="1" s="1"/>
  <c r="L850" i="1"/>
  <c r="K850" i="1" a="1"/>
  <c r="K850" i="1" s="1"/>
  <c r="L802" i="1"/>
  <c r="K802" i="1" a="1"/>
  <c r="K802" i="1" s="1"/>
  <c r="L766" i="1"/>
  <c r="K766" i="1" a="1"/>
  <c r="K766" i="1" s="1"/>
  <c r="L718" i="1"/>
  <c r="K718" i="1" a="1"/>
  <c r="K718" i="1" s="1"/>
  <c r="K706" i="1" a="1"/>
  <c r="K706" i="1" s="1"/>
  <c r="L706" i="1"/>
  <c r="L694" i="1"/>
  <c r="K694" i="1" a="1"/>
  <c r="K694" i="1" s="1"/>
  <c r="L670" i="1"/>
  <c r="K670" i="1" a="1"/>
  <c r="K670" i="1" s="1"/>
  <c r="K658" i="1" a="1"/>
  <c r="K658" i="1" s="1"/>
  <c r="L658" i="1"/>
  <c r="L646" i="1"/>
  <c r="K646" i="1" a="1"/>
  <c r="K646" i="1" s="1"/>
  <c r="K622" i="1" a="1"/>
  <c r="K622" i="1" s="1"/>
  <c r="L622" i="1"/>
  <c r="L598" i="1"/>
  <c r="K598" i="1" a="1"/>
  <c r="K598" i="1" s="1"/>
  <c r="K574" i="1" a="1"/>
  <c r="K574" i="1" s="1"/>
  <c r="L574" i="1"/>
  <c r="L562" i="1"/>
  <c r="K562" i="1" a="1"/>
  <c r="K562" i="1" s="1"/>
  <c r="L550" i="1"/>
  <c r="K550" i="1" a="1"/>
  <c r="K550" i="1" s="1"/>
  <c r="L526" i="1"/>
  <c r="K526" i="1" a="1"/>
  <c r="K526" i="1" s="1"/>
  <c r="K514" i="1" a="1"/>
  <c r="K514" i="1" s="1"/>
  <c r="L514" i="1"/>
  <c r="L478" i="1"/>
  <c r="K478" i="1" a="1"/>
  <c r="K478" i="1" s="1"/>
  <c r="L454" i="1"/>
  <c r="K454" i="1" a="1"/>
  <c r="K454" i="1" s="1"/>
  <c r="L394" i="1"/>
  <c r="K394" i="1" a="1"/>
  <c r="K394" i="1" s="1"/>
  <c r="L358" i="1"/>
  <c r="K358" i="1" a="1"/>
  <c r="K358" i="1" s="1"/>
  <c r="L310" i="1"/>
  <c r="K310" i="1" a="1"/>
  <c r="K310" i="1" s="1"/>
  <c r="K274" i="1" a="1"/>
  <c r="K274" i="1" s="1"/>
  <c r="L274" i="1"/>
  <c r="L226" i="1"/>
  <c r="K226" i="1" a="1"/>
  <c r="K226" i="1" s="1"/>
  <c r="L202" i="1"/>
  <c r="K202" i="1" a="1"/>
  <c r="K202" i="1" s="1"/>
  <c r="L166" i="1"/>
  <c r="K166" i="1" a="1"/>
  <c r="K166" i="1" s="1"/>
  <c r="L118" i="1"/>
  <c r="K118" i="1" a="1"/>
  <c r="K118" i="1" s="1"/>
  <c r="K58" i="1" a="1"/>
  <c r="K58" i="1" s="1"/>
  <c r="L58" i="1"/>
  <c r="K34" i="1" a="1"/>
  <c r="K34" i="1" s="1"/>
  <c r="L34" i="1"/>
  <c r="L856" i="1"/>
  <c r="K856" i="1" a="1"/>
  <c r="K856" i="1" s="1"/>
  <c r="L711" i="1"/>
  <c r="K711" i="1" a="1"/>
  <c r="K711" i="1" s="1"/>
  <c r="L633" i="1"/>
  <c r="K633" i="1" a="1"/>
  <c r="K633" i="1" s="1"/>
  <c r="L466" i="1"/>
  <c r="K466" i="1" a="1"/>
  <c r="K466" i="1" s="1"/>
  <c r="L306" i="1"/>
  <c r="K306" i="1" a="1"/>
  <c r="K306" i="1" s="1"/>
  <c r="L261" i="1"/>
  <c r="K261" i="1" a="1"/>
  <c r="K261" i="1" s="1"/>
  <c r="K790" i="1" a="1"/>
  <c r="K790" i="1" s="1"/>
  <c r="K742" i="1" a="1"/>
  <c r="K742" i="1" s="1"/>
  <c r="K610" i="1" a="1"/>
  <c r="K610" i="1" s="1"/>
  <c r="K227" i="1" a="1"/>
  <c r="K227" i="1" s="1"/>
  <c r="L899" i="1"/>
  <c r="L289" i="1"/>
  <c r="L83" i="1"/>
  <c r="L439" i="1"/>
  <c r="K439" i="1" a="1"/>
  <c r="K439" i="1" s="1"/>
  <c r="L331" i="1"/>
  <c r="K331" i="1" a="1"/>
  <c r="K331" i="1" s="1"/>
  <c r="L7" i="1"/>
  <c r="K7" i="1" a="1"/>
  <c r="K7" i="1" s="1"/>
  <c r="L842" i="1"/>
  <c r="K842" i="1" a="1"/>
  <c r="K842" i="1" s="1"/>
  <c r="L777" i="1"/>
  <c r="K777" i="1" a="1"/>
  <c r="K777" i="1" s="1"/>
  <c r="L663" i="1"/>
  <c r="K663" i="1" a="1"/>
  <c r="K663" i="1" s="1"/>
  <c r="L585" i="1"/>
  <c r="K585" i="1" a="1"/>
  <c r="K585" i="1" s="1"/>
  <c r="L390" i="1"/>
  <c r="K390" i="1" a="1"/>
  <c r="K390" i="1" s="1"/>
  <c r="L177" i="1"/>
  <c r="K177" i="1" a="1"/>
  <c r="K177" i="1" s="1"/>
  <c r="L90" i="1"/>
  <c r="K90" i="1" a="1"/>
  <c r="K90" i="1" s="1"/>
  <c r="K951" i="1" a="1"/>
  <c r="K951" i="1" s="1"/>
  <c r="L354" i="1"/>
  <c r="K354" i="1" a="1"/>
  <c r="K354" i="1" s="1"/>
  <c r="L617" i="1"/>
  <c r="K617" i="1" a="1"/>
  <c r="K617" i="1" s="1"/>
  <c r="L797" i="1"/>
  <c r="K797" i="1" a="1"/>
  <c r="K797" i="1" s="1"/>
  <c r="L749" i="1"/>
  <c r="K749" i="1" a="1"/>
  <c r="K749" i="1" s="1"/>
  <c r="L653" i="1"/>
  <c r="K653" i="1" a="1"/>
  <c r="K653" i="1" s="1"/>
  <c r="L605" i="1"/>
  <c r="K605" i="1" a="1"/>
  <c r="K605" i="1" s="1"/>
  <c r="L473" i="1"/>
  <c r="K473" i="1" a="1"/>
  <c r="K473" i="1" s="1"/>
  <c r="L353" i="1"/>
  <c r="K353" i="1" a="1"/>
  <c r="K353" i="1" s="1"/>
  <c r="K875" i="1" a="1"/>
  <c r="K875" i="1" s="1"/>
  <c r="L875" i="1"/>
  <c r="L808" i="1"/>
  <c r="K808" i="1" a="1"/>
  <c r="K808" i="1" s="1"/>
  <c r="K730" i="1" a="1"/>
  <c r="K730" i="1" s="1"/>
  <c r="L730" i="1"/>
  <c r="L649" i="1"/>
  <c r="K649" i="1" a="1"/>
  <c r="K649" i="1" s="1"/>
  <c r="L409" i="1"/>
  <c r="K409" i="1" a="1"/>
  <c r="K409" i="1" s="1"/>
  <c r="L325" i="1"/>
  <c r="K325" i="1" a="1"/>
  <c r="K325" i="1" s="1"/>
  <c r="L241" i="1"/>
  <c r="K241" i="1" a="1"/>
  <c r="K241" i="1" s="1"/>
  <c r="L154" i="1"/>
  <c r="K154" i="1" a="1"/>
  <c r="K154" i="1" s="1"/>
  <c r="L70" i="1"/>
  <c r="K70" i="1" a="1"/>
  <c r="K70" i="1" s="1"/>
  <c r="L25" i="1"/>
  <c r="K25" i="1" a="1"/>
  <c r="K25" i="1" s="1"/>
  <c r="K950" i="1" a="1"/>
  <c r="K950" i="1" s="1"/>
  <c r="L988" i="1"/>
  <c r="K988" i="1" a="1"/>
  <c r="K988" i="1" s="1"/>
  <c r="L748" i="1"/>
  <c r="K748" i="1" a="1"/>
  <c r="K748" i="1" s="1"/>
  <c r="L604" i="1"/>
  <c r="K604" i="1" a="1"/>
  <c r="K604" i="1" s="1"/>
  <c r="L114" i="1"/>
  <c r="K114" i="1" a="1"/>
  <c r="K114" i="1" s="1"/>
  <c r="L747" i="1"/>
  <c r="K747" i="1" a="1"/>
  <c r="K747" i="1" s="1"/>
  <c r="K873" i="1" a="1"/>
  <c r="K873" i="1" s="1"/>
  <c r="L873" i="1"/>
  <c r="L683" i="1"/>
  <c r="K683" i="1" a="1"/>
  <c r="K683" i="1" s="1"/>
  <c r="L569" i="1"/>
  <c r="K569" i="1" a="1"/>
  <c r="K569" i="1" s="1"/>
  <c r="L488" i="1"/>
  <c r="K488" i="1" a="1"/>
  <c r="K488" i="1" s="1"/>
  <c r="L407" i="1"/>
  <c r="K407" i="1" a="1"/>
  <c r="K407" i="1" s="1"/>
  <c r="L323" i="1"/>
  <c r="K323" i="1" a="1"/>
  <c r="K323" i="1" s="1"/>
  <c r="L239" i="1"/>
  <c r="K239" i="1" a="1"/>
  <c r="K239" i="1" s="1"/>
  <c r="K68" i="1" a="1"/>
  <c r="K68" i="1" s="1"/>
  <c r="L68" i="1"/>
  <c r="K989" i="1" a="1"/>
  <c r="K989" i="1" s="1"/>
  <c r="K163" i="1" a="1"/>
  <c r="K163" i="1" s="1"/>
  <c r="K830" i="1" a="1"/>
  <c r="K830" i="1" s="1"/>
  <c r="L830" i="1"/>
  <c r="K770" i="1" a="1"/>
  <c r="K770" i="1" s="1"/>
  <c r="L770" i="1"/>
  <c r="L614" i="1"/>
  <c r="K614" i="1" a="1"/>
  <c r="K614" i="1" s="1"/>
  <c r="L578" i="1"/>
  <c r="K578" i="1" a="1"/>
  <c r="K578" i="1" s="1"/>
  <c r="L470" i="1"/>
  <c r="K470" i="1" a="1"/>
  <c r="K470" i="1" s="1"/>
  <c r="L458" i="1"/>
  <c r="K458" i="1" a="1"/>
  <c r="K458" i="1" s="1"/>
  <c r="L434" i="1"/>
  <c r="K434" i="1" a="1"/>
  <c r="K434" i="1" s="1"/>
  <c r="L374" i="1"/>
  <c r="K374" i="1" a="1"/>
  <c r="K374" i="1" s="1"/>
  <c r="K314" i="1" a="1"/>
  <c r="K314" i="1" s="1"/>
  <c r="L314" i="1"/>
  <c r="L278" i="1"/>
  <c r="K278" i="1" a="1"/>
  <c r="K278" i="1" s="1"/>
  <c r="K254" i="1" a="1"/>
  <c r="K254" i="1" s="1"/>
  <c r="L254" i="1"/>
  <c r="L242" i="1"/>
  <c r="K242" i="1" a="1"/>
  <c r="K242" i="1" s="1"/>
  <c r="L230" i="1"/>
  <c r="K230" i="1" a="1"/>
  <c r="K230" i="1" s="1"/>
  <c r="L182" i="1"/>
  <c r="K182" i="1" a="1"/>
  <c r="K182" i="1" s="1"/>
  <c r="K122" i="1" a="1"/>
  <c r="K122" i="1" s="1"/>
  <c r="L122" i="1"/>
  <c r="K74" i="1" a="1"/>
  <c r="K74" i="1" s="1"/>
  <c r="L74" i="1"/>
  <c r="L903" i="1"/>
  <c r="K903" i="1" a="1"/>
  <c r="K903" i="1" s="1"/>
  <c r="K601" i="1" a="1"/>
  <c r="K601" i="1" s="1"/>
  <c r="L601" i="1"/>
  <c r="L451" i="1"/>
  <c r="K451" i="1" a="1"/>
  <c r="K451" i="1" s="1"/>
  <c r="L283" i="1"/>
  <c r="K283" i="1" a="1"/>
  <c r="K283" i="1" s="1"/>
  <c r="L199" i="1"/>
  <c r="K199" i="1" a="1"/>
  <c r="K199" i="1" s="1"/>
  <c r="L997" i="1"/>
  <c r="K997" i="1" a="1"/>
  <c r="K997" i="1" s="1"/>
  <c r="K829" i="1" a="1"/>
  <c r="K829" i="1" s="1"/>
  <c r="L829" i="1"/>
  <c r="L769" i="1"/>
  <c r="K769" i="1" a="1"/>
  <c r="K769" i="1" s="1"/>
  <c r="L709" i="1"/>
  <c r="K709" i="1" a="1"/>
  <c r="K709" i="1" s="1"/>
  <c r="L661" i="1"/>
  <c r="K661" i="1" a="1"/>
  <c r="K661" i="1" s="1"/>
  <c r="L577" i="1"/>
  <c r="K577" i="1" a="1"/>
  <c r="K577" i="1" s="1"/>
  <c r="L265" i="1"/>
  <c r="K265" i="1" a="1"/>
  <c r="K265" i="1" s="1"/>
  <c r="K157" i="1" a="1"/>
  <c r="K157" i="1" s="1"/>
  <c r="L157" i="1"/>
  <c r="L85" i="1"/>
  <c r="K85" i="1" a="1"/>
  <c r="K85" i="1" s="1"/>
  <c r="K600" i="1" a="1"/>
  <c r="K600" i="1" s="1"/>
  <c r="L600" i="1"/>
  <c r="L198" i="1"/>
  <c r="K198" i="1" a="1"/>
  <c r="K198" i="1" s="1"/>
  <c r="L948" i="1"/>
  <c r="K948" i="1" a="1"/>
  <c r="K948" i="1" s="1"/>
  <c r="K912" i="1" a="1"/>
  <c r="K912" i="1" s="1"/>
  <c r="L912" i="1"/>
  <c r="K828" i="1" a="1"/>
  <c r="K828" i="1" s="1"/>
  <c r="L828" i="1"/>
  <c r="L780" i="1"/>
  <c r="K780" i="1" a="1"/>
  <c r="K780" i="1" s="1"/>
  <c r="L720" i="1"/>
  <c r="K720" i="1" a="1"/>
  <c r="K720" i="1" s="1"/>
  <c r="L576" i="1"/>
  <c r="K576" i="1" a="1"/>
  <c r="K576" i="1" s="1"/>
  <c r="L540" i="1"/>
  <c r="K540" i="1" a="1"/>
  <c r="K540" i="1" s="1"/>
  <c r="L444" i="1"/>
  <c r="K444" i="1" a="1"/>
  <c r="K444" i="1" s="1"/>
  <c r="K384" i="1" a="1"/>
  <c r="K384" i="1" s="1"/>
  <c r="L384" i="1"/>
  <c r="L360" i="1"/>
  <c r="K360" i="1" a="1"/>
  <c r="K360" i="1" s="1"/>
  <c r="K336" i="1" a="1"/>
  <c r="K336" i="1" s="1"/>
  <c r="L336" i="1"/>
  <c r="K300" i="1" a="1"/>
  <c r="K300" i="1" s="1"/>
  <c r="L300" i="1"/>
  <c r="K252" i="1" a="1"/>
  <c r="K252" i="1" s="1"/>
  <c r="L252" i="1"/>
  <c r="L204" i="1"/>
  <c r="K204" i="1" a="1"/>
  <c r="K204" i="1" s="1"/>
  <c r="K192" i="1" a="1"/>
  <c r="K192" i="1" s="1"/>
  <c r="L192" i="1"/>
  <c r="L180" i="1"/>
  <c r="K180" i="1" a="1"/>
  <c r="K180" i="1" s="1"/>
  <c r="L156" i="1"/>
  <c r="K156" i="1" a="1"/>
  <c r="K156" i="1" s="1"/>
  <c r="K108" i="1" a="1"/>
  <c r="K108" i="1" s="1"/>
  <c r="L108" i="1"/>
  <c r="L84" i="1"/>
  <c r="K84" i="1" a="1"/>
  <c r="K84" i="1" s="1"/>
  <c r="K60" i="1" a="1"/>
  <c r="K60" i="1" s="1"/>
  <c r="L60" i="1"/>
  <c r="L36" i="1"/>
  <c r="K36" i="1" a="1"/>
  <c r="K36" i="1" s="1"/>
  <c r="L999" i="1"/>
  <c r="K999" i="1" a="1"/>
  <c r="K999" i="1" s="1"/>
  <c r="L965" i="1"/>
  <c r="K965" i="1" a="1"/>
  <c r="K965" i="1" s="1"/>
  <c r="L713" i="1"/>
  <c r="K713" i="1" a="1"/>
  <c r="K713" i="1" s="1"/>
  <c r="K635" i="1" a="1"/>
  <c r="K635" i="1" s="1"/>
  <c r="L635" i="1"/>
  <c r="L521" i="1"/>
  <c r="K521" i="1" a="1"/>
  <c r="K521" i="1" s="1"/>
  <c r="L281" i="1"/>
  <c r="K281" i="1" a="1"/>
  <c r="K281" i="1" s="1"/>
  <c r="K891" i="1" a="1"/>
  <c r="K891" i="1" s="1"/>
  <c r="K806" i="1" a="1"/>
  <c r="K806" i="1" s="1"/>
  <c r="L145" i="1"/>
  <c r="L995" i="1"/>
  <c r="K995" i="1" a="1"/>
  <c r="K995" i="1" s="1"/>
  <c r="L947" i="1"/>
  <c r="K947" i="1" a="1"/>
  <c r="K947" i="1" s="1"/>
  <c r="K803" i="1" a="1"/>
  <c r="K803" i="1" s="1"/>
  <c r="L803" i="1"/>
  <c r="L743" i="1"/>
  <c r="K743" i="1" a="1"/>
  <c r="K743" i="1" s="1"/>
  <c r="L695" i="1"/>
  <c r="K695" i="1" a="1"/>
  <c r="K695" i="1" s="1"/>
  <c r="L659" i="1"/>
  <c r="K659" i="1" a="1"/>
  <c r="K659" i="1" s="1"/>
  <c r="L551" i="1"/>
  <c r="K551" i="1" a="1"/>
  <c r="K551" i="1" s="1"/>
  <c r="L455" i="1"/>
  <c r="K455" i="1" a="1"/>
  <c r="K455" i="1" s="1"/>
  <c r="L395" i="1"/>
  <c r="K395" i="1" a="1"/>
  <c r="K395" i="1" s="1"/>
  <c r="L275" i="1"/>
  <c r="K275" i="1" a="1"/>
  <c r="K275" i="1" s="1"/>
  <c r="L203" i="1"/>
  <c r="K203" i="1" a="1"/>
  <c r="K203" i="1" s="1"/>
  <c r="L167" i="1"/>
  <c r="K167" i="1" a="1"/>
  <c r="K167" i="1" s="1"/>
  <c r="K143" i="1" a="1"/>
  <c r="K143" i="1" s="1"/>
  <c r="L143" i="1"/>
  <c r="K107" i="1" a="1"/>
  <c r="K107" i="1" s="1"/>
  <c r="L107" i="1"/>
  <c r="K95" i="1" a="1"/>
  <c r="K95" i="1" s="1"/>
  <c r="L95" i="1"/>
  <c r="K59" i="1" a="1"/>
  <c r="K59" i="1" s="1"/>
  <c r="L59" i="1"/>
  <c r="L11" i="1"/>
  <c r="K11" i="1" a="1"/>
  <c r="K11" i="1" s="1"/>
  <c r="K634" i="1" a="1"/>
  <c r="K634" i="1" s="1"/>
  <c r="L634" i="1"/>
  <c r="L519" i="1"/>
  <c r="K519" i="1" a="1"/>
  <c r="K519" i="1" s="1"/>
  <c r="L262" i="1"/>
  <c r="K262" i="1" a="1"/>
  <c r="K262" i="1" s="1"/>
  <c r="L886" i="1"/>
  <c r="K886" i="1" a="1"/>
  <c r="K886" i="1" s="1"/>
  <c r="L838" i="1"/>
  <c r="K838" i="1" a="1"/>
  <c r="K838" i="1" s="1"/>
  <c r="L814" i="1"/>
  <c r="K814" i="1" a="1"/>
  <c r="K814" i="1" s="1"/>
  <c r="L945" i="1"/>
  <c r="K945" i="1" a="1"/>
  <c r="K945" i="1" s="1"/>
  <c r="L933" i="1"/>
  <c r="K933" i="1" a="1"/>
  <c r="K933" i="1" s="1"/>
  <c r="K909" i="1" a="1"/>
  <c r="K909" i="1" s="1"/>
  <c r="L909" i="1"/>
  <c r="L861" i="1"/>
  <c r="K861" i="1" a="1"/>
  <c r="K861" i="1" s="1"/>
  <c r="L765" i="1"/>
  <c r="K765" i="1" a="1"/>
  <c r="K765" i="1" s="1"/>
  <c r="L753" i="1"/>
  <c r="K753" i="1" a="1"/>
  <c r="K753" i="1" s="1"/>
  <c r="L705" i="1"/>
  <c r="K705" i="1" a="1"/>
  <c r="K705" i="1" s="1"/>
  <c r="K621" i="1" a="1"/>
  <c r="K621" i="1" s="1"/>
  <c r="L621" i="1"/>
  <c r="L609" i="1"/>
  <c r="K609" i="1" a="1"/>
  <c r="K609" i="1" s="1"/>
  <c r="K573" i="1" a="1"/>
  <c r="K573" i="1" s="1"/>
  <c r="L573" i="1"/>
  <c r="L561" i="1"/>
  <c r="K561" i="1" a="1"/>
  <c r="K561" i="1" s="1"/>
  <c r="L549" i="1"/>
  <c r="K549" i="1" a="1"/>
  <c r="K549" i="1" s="1"/>
  <c r="K513" i="1" a="1"/>
  <c r="K513" i="1" s="1"/>
  <c r="L513" i="1"/>
  <c r="L477" i="1"/>
  <c r="K477" i="1" a="1"/>
  <c r="K477" i="1" s="1"/>
  <c r="L453" i="1"/>
  <c r="K453" i="1" a="1"/>
  <c r="K453" i="1" s="1"/>
  <c r="L441" i="1"/>
  <c r="K441" i="1" a="1"/>
  <c r="K441" i="1" s="1"/>
  <c r="L393" i="1"/>
  <c r="K393" i="1" a="1"/>
  <c r="K393" i="1" s="1"/>
  <c r="L357" i="1"/>
  <c r="K357" i="1" a="1"/>
  <c r="K357" i="1" s="1"/>
  <c r="L309" i="1"/>
  <c r="K309" i="1" a="1"/>
  <c r="K309" i="1" s="1"/>
  <c r="K273" i="1" a="1"/>
  <c r="K273" i="1" s="1"/>
  <c r="L273" i="1"/>
  <c r="L225" i="1"/>
  <c r="K225" i="1" a="1"/>
  <c r="K225" i="1" s="1"/>
  <c r="L201" i="1"/>
  <c r="K201" i="1" a="1"/>
  <c r="K201" i="1" s="1"/>
  <c r="L165" i="1"/>
  <c r="K165" i="1" a="1"/>
  <c r="K165" i="1" s="1"/>
  <c r="L117" i="1"/>
  <c r="K117" i="1" a="1"/>
  <c r="K117" i="1" s="1"/>
  <c r="K57" i="1" a="1"/>
  <c r="K57" i="1" s="1"/>
  <c r="L57" i="1"/>
  <c r="L33" i="1"/>
  <c r="K33" i="1" a="1"/>
  <c r="K33" i="1" s="1"/>
  <c r="L953" i="1"/>
  <c r="K953" i="1" a="1"/>
  <c r="K953" i="1" s="1"/>
  <c r="L922" i="1"/>
  <c r="K922" i="1" a="1"/>
  <c r="K922" i="1" s="1"/>
  <c r="L855" i="1"/>
  <c r="K855" i="1" a="1"/>
  <c r="K855" i="1" s="1"/>
  <c r="L665" i="1"/>
  <c r="K665" i="1" a="1"/>
  <c r="K665" i="1" s="1"/>
  <c r="L344" i="1"/>
  <c r="K344" i="1" a="1"/>
  <c r="K344" i="1" s="1"/>
  <c r="L305" i="1"/>
  <c r="K305" i="1" a="1"/>
  <c r="K305" i="1" s="1"/>
  <c r="K260" i="1" a="1"/>
  <c r="K260" i="1" s="1"/>
  <c r="L260" i="1"/>
  <c r="K962" i="1" a="1"/>
  <c r="K962" i="1" s="1"/>
  <c r="K789" i="1" a="1"/>
  <c r="K789" i="1" s="1"/>
  <c r="K741" i="1" a="1"/>
  <c r="K741" i="1" s="1"/>
  <c r="K383" i="1" a="1"/>
  <c r="K383" i="1" s="1"/>
  <c r="L898" i="1"/>
  <c r="L616" i="1"/>
  <c r="L288" i="1"/>
  <c r="L82" i="1"/>
  <c r="L475" i="1"/>
  <c r="K475" i="1" a="1"/>
  <c r="K475" i="1" s="1"/>
  <c r="L355" i="1"/>
  <c r="K355" i="1" a="1"/>
  <c r="K355" i="1" s="1"/>
  <c r="L139" i="1"/>
  <c r="K139" i="1" a="1"/>
  <c r="K139" i="1" s="1"/>
  <c r="L502" i="1"/>
  <c r="K502" i="1" a="1"/>
  <c r="K502" i="1" s="1"/>
  <c r="L474" i="1"/>
  <c r="K474" i="1" a="1"/>
  <c r="K474" i="1" s="1"/>
  <c r="L246" i="1"/>
  <c r="K246" i="1" a="1"/>
  <c r="K246" i="1" s="1"/>
  <c r="L809" i="1"/>
  <c r="K809" i="1" a="1"/>
  <c r="K809" i="1" s="1"/>
  <c r="L893" i="1"/>
  <c r="K893" i="1" a="1"/>
  <c r="K893" i="1" s="1"/>
  <c r="L845" i="1"/>
  <c r="K845" i="1" a="1"/>
  <c r="K845" i="1" s="1"/>
  <c r="L557" i="1"/>
  <c r="K557" i="1" a="1"/>
  <c r="K557" i="1" s="1"/>
  <c r="L437" i="1"/>
  <c r="K437" i="1" a="1"/>
  <c r="K437" i="1" s="1"/>
  <c r="L938" i="1"/>
  <c r="K938" i="1" a="1"/>
  <c r="K938" i="1" s="1"/>
  <c r="L538" i="1"/>
  <c r="K538" i="1" a="1"/>
  <c r="K538" i="1" s="1"/>
  <c r="L115" i="1"/>
  <c r="K115" i="1" a="1"/>
  <c r="K115" i="1" s="1"/>
  <c r="K940" i="1" a="1"/>
  <c r="K940" i="1" s="1"/>
  <c r="L940" i="1"/>
  <c r="L892" i="1"/>
  <c r="K892" i="1" a="1"/>
  <c r="K892" i="1" s="1"/>
  <c r="L796" i="1"/>
  <c r="K796" i="1" a="1"/>
  <c r="K796" i="1" s="1"/>
  <c r="L700" i="1"/>
  <c r="K700" i="1" a="1"/>
  <c r="K700" i="1" s="1"/>
  <c r="K652" i="1" a="1"/>
  <c r="K652" i="1" s="1"/>
  <c r="L652" i="1"/>
  <c r="K937" i="1" a="1"/>
  <c r="K937" i="1" s="1"/>
  <c r="L937" i="1"/>
  <c r="L839" i="1"/>
  <c r="K839" i="1" a="1"/>
  <c r="K839" i="1" s="1"/>
  <c r="L648" i="1"/>
  <c r="K648" i="1" a="1"/>
  <c r="K648" i="1" s="1"/>
  <c r="L153" i="1"/>
  <c r="K153" i="1" a="1"/>
  <c r="K153" i="1" s="1"/>
  <c r="L699" i="1"/>
  <c r="K699" i="1" a="1"/>
  <c r="K699" i="1" s="1"/>
  <c r="L603" i="1"/>
  <c r="K603" i="1" a="1"/>
  <c r="K603" i="1" s="1"/>
  <c r="K794" i="1" a="1"/>
  <c r="K794" i="1" s="1"/>
  <c r="L794" i="1"/>
  <c r="K602" i="1" a="1"/>
  <c r="K602" i="1" s="1"/>
  <c r="L602" i="1"/>
  <c r="L452" i="1"/>
  <c r="K452" i="1" a="1"/>
  <c r="K452" i="1" s="1"/>
  <c r="L113" i="1"/>
  <c r="K113" i="1" a="1"/>
  <c r="K113" i="1" s="1"/>
  <c r="K23" i="1" a="1"/>
  <c r="K23" i="1" s="1"/>
  <c r="L23" i="1"/>
  <c r="K974" i="1" a="1"/>
  <c r="K974" i="1" s="1"/>
  <c r="L974" i="1"/>
  <c r="L758" i="1"/>
  <c r="K758" i="1" a="1"/>
  <c r="K758" i="1" s="1"/>
  <c r="L734" i="1"/>
  <c r="K734" i="1" a="1"/>
  <c r="K734" i="1" s="1"/>
  <c r="K722" i="1" a="1"/>
  <c r="K722" i="1" s="1"/>
  <c r="L722" i="1"/>
  <c r="L662" i="1"/>
  <c r="K662" i="1" a="1"/>
  <c r="K662" i="1" s="1"/>
  <c r="L626" i="1"/>
  <c r="K626" i="1" a="1"/>
  <c r="K626" i="1" s="1"/>
  <c r="L590" i="1"/>
  <c r="K590" i="1" a="1"/>
  <c r="K590" i="1" s="1"/>
  <c r="K530" i="1" a="1"/>
  <c r="K530" i="1" s="1"/>
  <c r="L530" i="1"/>
  <c r="L494" i="1"/>
  <c r="K494" i="1" a="1"/>
  <c r="K494" i="1" s="1"/>
  <c r="L410" i="1"/>
  <c r="K410" i="1" a="1"/>
  <c r="K410" i="1" s="1"/>
  <c r="L326" i="1"/>
  <c r="K326" i="1" a="1"/>
  <c r="K326" i="1" s="1"/>
  <c r="K206" i="1" a="1"/>
  <c r="K206" i="1" s="1"/>
  <c r="L206" i="1"/>
  <c r="L98" i="1"/>
  <c r="K98" i="1" a="1"/>
  <c r="K98" i="1" s="1"/>
  <c r="K568" i="1" a="1"/>
  <c r="K568" i="1" s="1"/>
  <c r="L568" i="1"/>
  <c r="L370" i="1"/>
  <c r="K370" i="1" a="1"/>
  <c r="K370" i="1" s="1"/>
  <c r="K961" i="1" a="1"/>
  <c r="K961" i="1" s="1"/>
  <c r="L961" i="1"/>
  <c r="L949" i="1"/>
  <c r="K949" i="1" a="1"/>
  <c r="K949" i="1" s="1"/>
  <c r="K913" i="1" a="1"/>
  <c r="K913" i="1" s="1"/>
  <c r="L913" i="1"/>
  <c r="L901" i="1"/>
  <c r="K901" i="1" a="1"/>
  <c r="K901" i="1" s="1"/>
  <c r="K877" i="1" a="1"/>
  <c r="K877" i="1" s="1"/>
  <c r="L877" i="1"/>
  <c r="L853" i="1"/>
  <c r="K853" i="1" a="1"/>
  <c r="K853" i="1" s="1"/>
  <c r="L805" i="1"/>
  <c r="K805" i="1" a="1"/>
  <c r="K805" i="1" s="1"/>
  <c r="L757" i="1"/>
  <c r="K757" i="1" a="1"/>
  <c r="K757" i="1" s="1"/>
  <c r="L733" i="1"/>
  <c r="K733" i="1" a="1"/>
  <c r="K733" i="1" s="1"/>
  <c r="L637" i="1"/>
  <c r="K637" i="1" a="1"/>
  <c r="K637" i="1" s="1"/>
  <c r="L613" i="1"/>
  <c r="K613" i="1" a="1"/>
  <c r="K613" i="1" s="1"/>
  <c r="L589" i="1"/>
  <c r="K589" i="1" a="1"/>
  <c r="K589" i="1" s="1"/>
  <c r="L541" i="1"/>
  <c r="K541" i="1" a="1"/>
  <c r="K541" i="1" s="1"/>
  <c r="L529" i="1"/>
  <c r="K529" i="1" a="1"/>
  <c r="K529" i="1" s="1"/>
  <c r="K505" i="1" a="1"/>
  <c r="K505" i="1" s="1"/>
  <c r="L505" i="1"/>
  <c r="L493" i="1"/>
  <c r="K493" i="1" a="1"/>
  <c r="K493" i="1" s="1"/>
  <c r="L457" i="1"/>
  <c r="K457" i="1" a="1"/>
  <c r="K457" i="1" s="1"/>
  <c r="L361" i="1"/>
  <c r="K361" i="1" a="1"/>
  <c r="K361" i="1" s="1"/>
  <c r="K337" i="1" a="1"/>
  <c r="K337" i="1" s="1"/>
  <c r="L337" i="1"/>
  <c r="K193" i="1" a="1"/>
  <c r="K193" i="1" s="1"/>
  <c r="L193" i="1"/>
  <c r="K169" i="1" a="1"/>
  <c r="K169" i="1" s="1"/>
  <c r="L169" i="1"/>
  <c r="K121" i="1" a="1"/>
  <c r="K121" i="1" s="1"/>
  <c r="L121" i="1"/>
  <c r="K109" i="1" a="1"/>
  <c r="K109" i="1" s="1"/>
  <c r="L109" i="1"/>
  <c r="L97" i="1"/>
  <c r="K97" i="1" a="1"/>
  <c r="K97" i="1" s="1"/>
  <c r="K73" i="1" a="1"/>
  <c r="K73" i="1" s="1"/>
  <c r="L73" i="1"/>
  <c r="L37" i="1"/>
  <c r="K37" i="1" a="1"/>
  <c r="K37" i="1" s="1"/>
  <c r="K1000" i="1" a="1"/>
  <c r="K1000" i="1" s="1"/>
  <c r="L1000" i="1"/>
  <c r="L969" i="1"/>
  <c r="K969" i="1" a="1"/>
  <c r="K969" i="1" s="1"/>
  <c r="K792" i="1" a="1"/>
  <c r="K792" i="1" s="1"/>
  <c r="L792" i="1"/>
  <c r="K681" i="1" a="1"/>
  <c r="K681" i="1" s="1"/>
  <c r="L681" i="1"/>
  <c r="K567" i="1" a="1"/>
  <c r="K567" i="1" s="1"/>
  <c r="L567" i="1"/>
  <c r="L486" i="1"/>
  <c r="K486" i="1" a="1"/>
  <c r="K486" i="1" s="1"/>
  <c r="L369" i="1"/>
  <c r="K369" i="1" a="1"/>
  <c r="K369" i="1" s="1"/>
  <c r="L282" i="1"/>
  <c r="K282" i="1" a="1"/>
  <c r="K282" i="1" s="1"/>
  <c r="K905" i="1" a="1"/>
  <c r="K905" i="1" s="1"/>
  <c r="L996" i="1"/>
  <c r="K996" i="1" a="1"/>
  <c r="K996" i="1" s="1"/>
  <c r="L960" i="1"/>
  <c r="K960" i="1" a="1"/>
  <c r="K960" i="1" s="1"/>
  <c r="L900" i="1"/>
  <c r="K900" i="1" a="1"/>
  <c r="K900" i="1" s="1"/>
  <c r="K876" i="1" a="1"/>
  <c r="K876" i="1" s="1"/>
  <c r="L876" i="1"/>
  <c r="L852" i="1"/>
  <c r="K852" i="1" a="1"/>
  <c r="K852" i="1" s="1"/>
  <c r="L804" i="1"/>
  <c r="K804" i="1" a="1"/>
  <c r="K804" i="1" s="1"/>
  <c r="L768" i="1"/>
  <c r="K768" i="1" a="1"/>
  <c r="K768" i="1" s="1"/>
  <c r="L732" i="1"/>
  <c r="K732" i="1" a="1"/>
  <c r="K732" i="1" s="1"/>
  <c r="L636" i="1"/>
  <c r="K636" i="1" a="1"/>
  <c r="K636" i="1" s="1"/>
  <c r="L612" i="1"/>
  <c r="K612" i="1" a="1"/>
  <c r="K612" i="1" s="1"/>
  <c r="L564" i="1"/>
  <c r="K564" i="1" a="1"/>
  <c r="K564" i="1" s="1"/>
  <c r="L528" i="1"/>
  <c r="K528" i="1" a="1"/>
  <c r="K528" i="1" s="1"/>
  <c r="L492" i="1"/>
  <c r="K492" i="1" a="1"/>
  <c r="K492" i="1" s="1"/>
  <c r="L264" i="1"/>
  <c r="K264" i="1" a="1"/>
  <c r="K264" i="1" s="1"/>
  <c r="K168" i="1" a="1"/>
  <c r="K168" i="1" s="1"/>
  <c r="L168" i="1"/>
  <c r="L96" i="1"/>
  <c r="K96" i="1" a="1"/>
  <c r="K96" i="1" s="1"/>
  <c r="L197" i="1"/>
  <c r="K197" i="1" a="1"/>
  <c r="K197" i="1" s="1"/>
  <c r="K348" i="1" a="1"/>
  <c r="K348" i="1" s="1"/>
  <c r="K911" i="1" a="1"/>
  <c r="K911" i="1" s="1"/>
  <c r="L911" i="1"/>
  <c r="K851" i="1" a="1"/>
  <c r="K851" i="1" s="1"/>
  <c r="L851" i="1"/>
  <c r="L815" i="1"/>
  <c r="K815" i="1" a="1"/>
  <c r="K815" i="1" s="1"/>
  <c r="K767" i="1" a="1"/>
  <c r="K767" i="1" s="1"/>
  <c r="L767" i="1"/>
  <c r="L671" i="1"/>
  <c r="K671" i="1" a="1"/>
  <c r="K671" i="1" s="1"/>
  <c r="L599" i="1"/>
  <c r="K599" i="1" a="1"/>
  <c r="K599" i="1" s="1"/>
  <c r="L575" i="1"/>
  <c r="K575" i="1" a="1"/>
  <c r="K575" i="1" s="1"/>
  <c r="L479" i="1"/>
  <c r="K479" i="1" a="1"/>
  <c r="K479" i="1" s="1"/>
  <c r="L443" i="1"/>
  <c r="K443" i="1" a="1"/>
  <c r="K443" i="1" s="1"/>
  <c r="L371" i="1"/>
  <c r="K371" i="1" a="1"/>
  <c r="K371" i="1" s="1"/>
  <c r="K335" i="1" a="1"/>
  <c r="K335" i="1" s="1"/>
  <c r="L335" i="1"/>
  <c r="L311" i="1"/>
  <c r="K311" i="1" a="1"/>
  <c r="K311" i="1" s="1"/>
  <c r="K287" i="1" a="1"/>
  <c r="K287" i="1" s="1"/>
  <c r="L287" i="1"/>
  <c r="L263" i="1"/>
  <c r="K263" i="1" a="1"/>
  <c r="K263" i="1" s="1"/>
  <c r="L191" i="1"/>
  <c r="K191" i="1" a="1"/>
  <c r="K191" i="1" s="1"/>
  <c r="K155" i="1" a="1"/>
  <c r="K155" i="1" s="1"/>
  <c r="L155" i="1"/>
  <c r="L119" i="1"/>
  <c r="K119" i="1" a="1"/>
  <c r="K119" i="1" s="1"/>
  <c r="L71" i="1"/>
  <c r="K71" i="1" a="1"/>
  <c r="K71" i="1" s="1"/>
  <c r="L144" i="1"/>
  <c r="L982" i="1"/>
  <c r="K982" i="1" a="1"/>
  <c r="K982" i="1" s="1"/>
  <c r="L862" i="1"/>
  <c r="K862" i="1" a="1"/>
  <c r="K862" i="1" s="1"/>
  <c r="L754" i="1"/>
  <c r="K754" i="1" a="1"/>
  <c r="K754" i="1" s="1"/>
  <c r="K993" i="1" a="1"/>
  <c r="K993" i="1" s="1"/>
  <c r="L993" i="1"/>
  <c r="L981" i="1"/>
  <c r="K981" i="1" a="1"/>
  <c r="K981" i="1" s="1"/>
  <c r="L885" i="1"/>
  <c r="K885" i="1" a="1"/>
  <c r="K885" i="1" s="1"/>
  <c r="L837" i="1"/>
  <c r="K837" i="1" a="1"/>
  <c r="K837" i="1" s="1"/>
  <c r="L813" i="1"/>
  <c r="K813" i="1" a="1"/>
  <c r="K813" i="1" s="1"/>
  <c r="L801" i="1"/>
  <c r="K801" i="1" a="1"/>
  <c r="K801" i="1" s="1"/>
  <c r="L717" i="1"/>
  <c r="K717" i="1" a="1"/>
  <c r="K717" i="1" s="1"/>
  <c r="L693" i="1"/>
  <c r="K693" i="1" a="1"/>
  <c r="K693" i="1" s="1"/>
  <c r="L669" i="1"/>
  <c r="K669" i="1" a="1"/>
  <c r="K669" i="1" s="1"/>
  <c r="L657" i="1"/>
  <c r="K657" i="1" a="1"/>
  <c r="K657" i="1" s="1"/>
  <c r="L525" i="1"/>
  <c r="K525" i="1" a="1"/>
  <c r="K525" i="1" s="1"/>
  <c r="K512" i="1" a="1"/>
  <c r="K512" i="1" s="1"/>
  <c r="L512" i="1"/>
  <c r="K476" i="1" a="1"/>
  <c r="K476" i="1" s="1"/>
  <c r="L476" i="1"/>
  <c r="L440" i="1"/>
  <c r="K440" i="1" a="1"/>
  <c r="K440" i="1" s="1"/>
  <c r="L416" i="1"/>
  <c r="K416" i="1" a="1"/>
  <c r="K416" i="1" s="1"/>
  <c r="L392" i="1"/>
  <c r="K392" i="1" a="1"/>
  <c r="K392" i="1" s="1"/>
  <c r="K356" i="1" a="1"/>
  <c r="K356" i="1" s="1"/>
  <c r="L356" i="1"/>
  <c r="L308" i="1"/>
  <c r="K308" i="1" a="1"/>
  <c r="K308" i="1" s="1"/>
  <c r="K272" i="1" a="1"/>
  <c r="K272" i="1" s="1"/>
  <c r="L272" i="1"/>
  <c r="L248" i="1"/>
  <c r="K248" i="1" a="1"/>
  <c r="K248" i="1" s="1"/>
  <c r="L224" i="1"/>
  <c r="K224" i="1" a="1"/>
  <c r="K224" i="1" s="1"/>
  <c r="L200" i="1"/>
  <c r="K200" i="1" a="1"/>
  <c r="K200" i="1" s="1"/>
  <c r="K164" i="1" a="1"/>
  <c r="K164" i="1" s="1"/>
  <c r="L164" i="1"/>
  <c r="L116" i="1"/>
  <c r="K116" i="1" a="1"/>
  <c r="K116" i="1" s="1"/>
  <c r="K80" i="1" a="1"/>
  <c r="K80" i="1" s="1"/>
  <c r="L80" i="1"/>
  <c r="L56" i="1"/>
  <c r="K56" i="1" a="1"/>
  <c r="K56" i="1" s="1"/>
  <c r="L32" i="1"/>
  <c r="K32" i="1" a="1"/>
  <c r="K32" i="1" s="1"/>
  <c r="K8" i="1" a="1"/>
  <c r="K8" i="1" s="1"/>
  <c r="L8" i="1"/>
  <c r="L952" i="1"/>
  <c r="K952" i="1" a="1"/>
  <c r="K952" i="1" s="1"/>
  <c r="L778" i="1"/>
  <c r="K778" i="1" a="1"/>
  <c r="K778" i="1" s="1"/>
  <c r="L664" i="1"/>
  <c r="K664" i="1" a="1"/>
  <c r="K664" i="1" s="1"/>
  <c r="L586" i="1"/>
  <c r="K586" i="1" a="1"/>
  <c r="K586" i="1" s="1"/>
  <c r="L391" i="1"/>
  <c r="K391" i="1" a="1"/>
  <c r="K391" i="1" s="1"/>
  <c r="L178" i="1"/>
  <c r="K178" i="1" a="1"/>
  <c r="K178" i="1" s="1"/>
  <c r="L91" i="1"/>
  <c r="K91" i="1" a="1"/>
  <c r="K91" i="1" s="1"/>
  <c r="L4" i="1"/>
  <c r="K4" i="1" a="1"/>
  <c r="K4" i="1" s="1"/>
  <c r="K645" i="1" a="1"/>
  <c r="K645" i="1" s="1"/>
  <c r="K563" i="1" a="1"/>
  <c r="K563" i="1" s="1"/>
  <c r="K516" i="1" a="1"/>
  <c r="K516" i="1" s="1"/>
  <c r="K134" i="1" a="1"/>
  <c r="K134" i="1" s="1"/>
  <c r="L897" i="1"/>
  <c r="L615" i="1"/>
  <c r="L419" i="1"/>
  <c r="L81" i="1"/>
  <c r="L533" i="1"/>
  <c r="K533" i="1" a="1"/>
  <c r="K533" i="1" s="1"/>
  <c r="L406" i="1"/>
  <c r="K406" i="1" a="1"/>
  <c r="K406" i="1" s="1"/>
  <c r="L343" i="1"/>
  <c r="K343" i="1" a="1"/>
  <c r="K343" i="1" s="1"/>
  <c r="L151" i="1"/>
  <c r="K151" i="1" a="1"/>
  <c r="K151" i="1" s="1"/>
  <c r="K10" i="1" a="1"/>
  <c r="K10" i="1" s="1"/>
  <c r="L10" i="1"/>
  <c r="L916" i="1"/>
  <c r="K916" i="1" a="1"/>
  <c r="K916" i="1" s="1"/>
  <c r="L868" i="1"/>
  <c r="K868" i="1" a="1"/>
  <c r="K868" i="1" s="1"/>
  <c r="L820" i="1"/>
  <c r="K820" i="1" a="1"/>
  <c r="K820" i="1" s="1"/>
  <c r="L580" i="1"/>
  <c r="K580" i="1" a="1"/>
  <c r="K580" i="1" s="1"/>
  <c r="L342" i="1"/>
  <c r="K342" i="1" a="1"/>
  <c r="K342" i="1" s="1"/>
  <c r="L234" i="1"/>
  <c r="K234" i="1" a="1"/>
  <c r="K234" i="1" s="1"/>
  <c r="L42" i="1"/>
  <c r="K42" i="1" a="1"/>
  <c r="K42" i="1" s="1"/>
  <c r="L21" i="1"/>
  <c r="K21" i="1" a="1"/>
  <c r="K21" i="1" s="1"/>
  <c r="L429" i="1"/>
  <c r="K429" i="1" a="1"/>
  <c r="K429" i="1" s="1"/>
  <c r="L381" i="1"/>
  <c r="K381" i="1" a="1"/>
  <c r="K381" i="1" s="1"/>
  <c r="L819" i="1"/>
  <c r="K819" i="1" a="1"/>
  <c r="K819" i="1" s="1"/>
  <c r="L771" i="1"/>
  <c r="K771" i="1" a="1"/>
  <c r="K771" i="1" s="1"/>
  <c r="L723" i="1"/>
  <c r="K723" i="1" a="1"/>
  <c r="K723" i="1" s="1"/>
  <c r="L675" i="1"/>
  <c r="K675" i="1" a="1"/>
  <c r="K675" i="1" s="1"/>
  <c r="L627" i="1"/>
  <c r="K627" i="1" a="1"/>
  <c r="K627" i="1" s="1"/>
  <c r="L579" i="1"/>
  <c r="K579" i="1" a="1"/>
  <c r="K579" i="1" s="1"/>
  <c r="L531" i="1"/>
  <c r="K531" i="1" a="1"/>
  <c r="K531" i="1" s="1"/>
  <c r="L463" i="1"/>
  <c r="K463" i="1" a="1"/>
  <c r="K463" i="1" s="1"/>
  <c r="L341" i="1"/>
  <c r="K341" i="1" a="1"/>
  <c r="K341" i="1" s="1"/>
  <c r="L104" i="1"/>
  <c r="K104" i="1" a="1"/>
  <c r="K104" i="1" s="1"/>
  <c r="K20" i="1" a="1"/>
  <c r="K20" i="1" s="1"/>
  <c r="L20" i="1"/>
  <c r="K425" i="1" a="1"/>
  <c r="K425" i="1" s="1"/>
  <c r="L141" i="1"/>
  <c r="L980" i="1"/>
  <c r="K980" i="1" a="1"/>
  <c r="K980" i="1" s="1"/>
  <c r="L956" i="1"/>
  <c r="K956" i="1" a="1"/>
  <c r="K956" i="1" s="1"/>
  <c r="L872" i="1"/>
  <c r="K872" i="1" a="1"/>
  <c r="K872" i="1" s="1"/>
  <c r="K428" i="1" a="1"/>
  <c r="K428" i="1" s="1"/>
  <c r="L428" i="1"/>
  <c r="L380" i="1"/>
  <c r="K380" i="1" a="1"/>
  <c r="K380" i="1" s="1"/>
  <c r="K92" i="1" a="1"/>
  <c r="K92" i="1" s="1"/>
  <c r="L92" i="1"/>
  <c r="L785" i="1"/>
  <c r="K785" i="1" a="1"/>
  <c r="K785" i="1" s="1"/>
  <c r="L689" i="1"/>
  <c r="K689" i="1" a="1"/>
  <c r="K689" i="1" s="1"/>
  <c r="L641" i="1"/>
  <c r="K641" i="1" a="1"/>
  <c r="K641" i="1" s="1"/>
  <c r="L379" i="1"/>
  <c r="K379" i="1" a="1"/>
  <c r="K379" i="1" s="1"/>
  <c r="L295" i="1"/>
  <c r="K295" i="1" a="1"/>
  <c r="K295" i="1" s="1"/>
  <c r="K800" i="1" a="1"/>
  <c r="K800" i="1" s="1"/>
  <c r="K572" i="1" a="1"/>
  <c r="K572" i="1" s="1"/>
  <c r="L955" i="1"/>
  <c r="K955" i="1" a="1"/>
  <c r="K955" i="1" s="1"/>
  <c r="L919" i="1"/>
  <c r="K919" i="1" a="1"/>
  <c r="K919" i="1" s="1"/>
  <c r="L907" i="1"/>
  <c r="K907" i="1" a="1"/>
  <c r="K907" i="1" s="1"/>
  <c r="L871" i="1"/>
  <c r="K871" i="1" a="1"/>
  <c r="K871" i="1" s="1"/>
  <c r="L847" i="1"/>
  <c r="K847" i="1" a="1"/>
  <c r="K847" i="1" s="1"/>
  <c r="L811" i="1"/>
  <c r="K811" i="1" a="1"/>
  <c r="K811" i="1" s="1"/>
  <c r="L763" i="1"/>
  <c r="K763" i="1" a="1"/>
  <c r="K763" i="1" s="1"/>
  <c r="L703" i="1"/>
  <c r="K703" i="1" a="1"/>
  <c r="K703" i="1" s="1"/>
  <c r="L667" i="1"/>
  <c r="K667" i="1" a="1"/>
  <c r="K667" i="1" s="1"/>
  <c r="L595" i="1"/>
  <c r="K595" i="1" a="1"/>
  <c r="K595" i="1" s="1"/>
  <c r="L319" i="1"/>
  <c r="K319" i="1" a="1"/>
  <c r="K319" i="1" s="1"/>
  <c r="L271" i="1"/>
  <c r="K271" i="1" a="1"/>
  <c r="K271" i="1" s="1"/>
  <c r="L31" i="1"/>
  <c r="K31" i="1" a="1"/>
  <c r="K31" i="1" s="1"/>
  <c r="K784" i="1" a="1"/>
  <c r="K784" i="1" s="1"/>
  <c r="L784" i="1"/>
  <c r="L294" i="1"/>
  <c r="K294" i="1" a="1"/>
  <c r="K294" i="1" s="1"/>
  <c r="L102" i="1"/>
  <c r="K102" i="1" a="1"/>
  <c r="K102" i="1" s="1"/>
  <c r="L894" i="1"/>
  <c r="K894" i="1" a="1"/>
  <c r="K894" i="1" s="1"/>
  <c r="L798" i="1"/>
  <c r="K798" i="1" a="1"/>
  <c r="K798" i="1" s="1"/>
  <c r="L786" i="1"/>
  <c r="K786" i="1" a="1"/>
  <c r="K786" i="1" s="1"/>
  <c r="L594" i="1"/>
  <c r="K594" i="1" a="1"/>
  <c r="K594" i="1" s="1"/>
  <c r="L318" i="1"/>
  <c r="K318" i="1" a="1"/>
  <c r="K318" i="1" s="1"/>
  <c r="L270" i="1"/>
  <c r="K270" i="1" a="1"/>
  <c r="K270" i="1" s="1"/>
  <c r="L30" i="1"/>
  <c r="K30" i="1" a="1"/>
  <c r="K30" i="1" s="1"/>
  <c r="L927" i="1"/>
  <c r="K927" i="1" a="1"/>
  <c r="K927" i="1" s="1"/>
  <c r="L831" i="1"/>
  <c r="K831" i="1" a="1"/>
  <c r="K831" i="1" s="1"/>
  <c r="L783" i="1"/>
  <c r="K783" i="1" a="1"/>
  <c r="K783" i="1" s="1"/>
  <c r="L735" i="1"/>
  <c r="K735" i="1" a="1"/>
  <c r="K735" i="1" s="1"/>
  <c r="L687" i="1"/>
  <c r="K687" i="1" a="1"/>
  <c r="K687" i="1" s="1"/>
  <c r="L377" i="1"/>
  <c r="K377" i="1" a="1"/>
  <c r="K377" i="1" s="1"/>
  <c r="L293" i="1"/>
  <c r="K293" i="1" a="1"/>
  <c r="K293" i="1" s="1"/>
  <c r="L209" i="1"/>
  <c r="K209" i="1" a="1"/>
  <c r="K209" i="1" s="1"/>
  <c r="K799" i="1" a="1"/>
  <c r="K799" i="1" s="1"/>
  <c r="K571" i="1" a="1"/>
  <c r="K571" i="1" s="1"/>
  <c r="K284" i="1" a="1"/>
  <c r="K284" i="1" s="1"/>
  <c r="L45" i="1"/>
  <c r="L497" i="1"/>
  <c r="K497" i="1" a="1"/>
  <c r="K497" i="1" s="1"/>
  <c r="L485" i="1"/>
  <c r="K485" i="1" a="1"/>
  <c r="K485" i="1" s="1"/>
  <c r="L413" i="1"/>
  <c r="K413" i="1" a="1"/>
  <c r="K413" i="1" s="1"/>
  <c r="L317" i="1"/>
  <c r="K317" i="1" a="1"/>
  <c r="K317" i="1" s="1"/>
  <c r="L269" i="1"/>
  <c r="K269" i="1" a="1"/>
  <c r="K269" i="1" s="1"/>
  <c r="L221" i="1"/>
  <c r="K221" i="1" a="1"/>
  <c r="K221" i="1" s="1"/>
  <c r="L173" i="1"/>
  <c r="K173" i="1" a="1"/>
  <c r="K173" i="1" s="1"/>
  <c r="L29" i="1"/>
  <c r="K29" i="1" a="1"/>
  <c r="K29" i="1" s="1"/>
  <c r="L17" i="1"/>
  <c r="K17" i="1" a="1"/>
  <c r="K17" i="1" s="1"/>
  <c r="L5" i="1"/>
  <c r="K5" i="1" a="1"/>
  <c r="K5" i="1" s="1"/>
  <c r="K966" i="1" a="1"/>
  <c r="K966" i="1" s="1"/>
  <c r="K867" i="1" a="1"/>
  <c r="K867" i="1" s="1"/>
  <c r="K810" i="1" a="1"/>
  <c r="K810" i="1" s="1"/>
  <c r="K715" i="1" a="1"/>
  <c r="K715" i="1" s="1"/>
  <c r="K618" i="1" a="1"/>
  <c r="K618" i="1" s="1"/>
  <c r="K584" i="1" a="1"/>
  <c r="K584" i="1" s="1"/>
  <c r="K536" i="1" a="1"/>
  <c r="K536" i="1" s="1"/>
  <c r="K471" i="1" a="1"/>
  <c r="K471" i="1" s="1"/>
  <c r="K403" i="1" a="1"/>
  <c r="K403" i="1" s="1"/>
  <c r="K236" i="1" a="1"/>
  <c r="K236" i="1" s="1"/>
  <c r="K212" i="1" a="1"/>
  <c r="K212" i="1" s="1"/>
  <c r="L449" i="1"/>
  <c r="K449" i="1" a="1"/>
  <c r="K449" i="1" s="1"/>
  <c r="L43" i="1"/>
  <c r="K43" i="1" a="1"/>
  <c r="K43" i="1" s="1"/>
  <c r="L430" i="1"/>
  <c r="K430" i="1" a="1"/>
  <c r="K430" i="1" s="1"/>
  <c r="K334" i="1" a="1"/>
  <c r="K334" i="1" s="1"/>
  <c r="L334" i="1"/>
  <c r="L724" i="1"/>
  <c r="K724" i="1" a="1"/>
  <c r="K724" i="1" s="1"/>
  <c r="L676" i="1"/>
  <c r="K676" i="1" a="1"/>
  <c r="K676" i="1" s="1"/>
  <c r="L628" i="1"/>
  <c r="K628" i="1" a="1"/>
  <c r="K628" i="1" s="1"/>
  <c r="L321" i="1"/>
  <c r="K321" i="1" a="1"/>
  <c r="K321" i="1" s="1"/>
  <c r="L258" i="1"/>
  <c r="K258" i="1" a="1"/>
  <c r="K258" i="1" s="1"/>
  <c r="K129" i="1" a="1"/>
  <c r="K129" i="1" s="1"/>
  <c r="L129" i="1"/>
  <c r="K67" i="1" a="1"/>
  <c r="K67" i="1" s="1"/>
  <c r="L142" i="1"/>
  <c r="K237" i="1" a="1"/>
  <c r="K237" i="1" s="1"/>
  <c r="L237" i="1"/>
  <c r="L93" i="1"/>
  <c r="K93" i="1" a="1"/>
  <c r="K93" i="1" s="1"/>
  <c r="K9" i="1" a="1"/>
  <c r="K9" i="1" s="1"/>
  <c r="L9" i="1"/>
  <c r="L65" i="1"/>
  <c r="K65" i="1" a="1"/>
  <c r="K65" i="1" s="1"/>
  <c r="L836" i="1"/>
  <c r="K836" i="1" a="1"/>
  <c r="K836" i="1" s="1"/>
  <c r="L812" i="1"/>
  <c r="K812" i="1" a="1"/>
  <c r="K812" i="1" s="1"/>
  <c r="L776" i="1"/>
  <c r="K776" i="1" a="1"/>
  <c r="K776" i="1" s="1"/>
  <c r="K668" i="1" a="1"/>
  <c r="K668" i="1" s="1"/>
  <c r="L668" i="1"/>
  <c r="L140" i="1"/>
  <c r="K140" i="1" a="1"/>
  <c r="K140" i="1" s="1"/>
  <c r="K44" i="1" a="1"/>
  <c r="K44" i="1" s="1"/>
  <c r="L44" i="1"/>
  <c r="L881" i="1"/>
  <c r="K881" i="1" a="1"/>
  <c r="K881" i="1" s="1"/>
  <c r="L737" i="1"/>
  <c r="K737" i="1" a="1"/>
  <c r="K737" i="1" s="1"/>
  <c r="L462" i="1"/>
  <c r="K462" i="1" a="1"/>
  <c r="K462" i="1" s="1"/>
  <c r="L187" i="1"/>
  <c r="K187" i="1" a="1"/>
  <c r="K187" i="1" s="1"/>
  <c r="K524" i="1" a="1"/>
  <c r="K524" i="1" s="1"/>
  <c r="L967" i="1"/>
  <c r="K967" i="1" a="1"/>
  <c r="K967" i="1" s="1"/>
  <c r="L931" i="1"/>
  <c r="K931" i="1" a="1"/>
  <c r="K931" i="1" s="1"/>
  <c r="L883" i="1"/>
  <c r="K883" i="1" a="1"/>
  <c r="K883" i="1" s="1"/>
  <c r="L835" i="1"/>
  <c r="K835" i="1" a="1"/>
  <c r="K835" i="1" s="1"/>
  <c r="L739" i="1"/>
  <c r="K739" i="1" a="1"/>
  <c r="K739" i="1" s="1"/>
  <c r="L607" i="1"/>
  <c r="K607" i="1" a="1"/>
  <c r="K607" i="1" s="1"/>
  <c r="L223" i="1"/>
  <c r="K223" i="1" a="1"/>
  <c r="K223" i="1" s="1"/>
  <c r="L378" i="1"/>
  <c r="K378" i="1" a="1"/>
  <c r="K378" i="1" s="1"/>
  <c r="K285" i="1" a="1"/>
  <c r="K285" i="1" s="1"/>
  <c r="L190" i="1"/>
  <c r="L978" i="1"/>
  <c r="K978" i="1" a="1"/>
  <c r="K978" i="1" s="1"/>
  <c r="L702" i="1"/>
  <c r="K702" i="1" a="1"/>
  <c r="K702" i="1" s="1"/>
  <c r="L558" i="1"/>
  <c r="K558" i="1" a="1"/>
  <c r="K558" i="1" s="1"/>
  <c r="L546" i="1"/>
  <c r="K546" i="1" a="1"/>
  <c r="K546" i="1" s="1"/>
  <c r="L522" i="1"/>
  <c r="K522" i="1" a="1"/>
  <c r="K522" i="1" s="1"/>
  <c r="L498" i="1"/>
  <c r="K498" i="1" a="1"/>
  <c r="K498" i="1" s="1"/>
  <c r="L222" i="1"/>
  <c r="K222" i="1" a="1"/>
  <c r="K222" i="1" s="1"/>
  <c r="L185" i="1"/>
  <c r="K185" i="1" a="1"/>
  <c r="K185" i="1" s="1"/>
  <c r="L101" i="1"/>
  <c r="K101" i="1" a="1"/>
  <c r="K101" i="1" s="1"/>
  <c r="K16" i="1" a="1"/>
  <c r="K16" i="1" s="1"/>
  <c r="L16" i="1"/>
  <c r="K523" i="1" a="1"/>
  <c r="K523" i="1" s="1"/>
  <c r="K175" i="1" a="1"/>
  <c r="K175" i="1" s="1"/>
  <c r="L508" i="1"/>
  <c r="K508" i="1" a="1"/>
  <c r="K508" i="1" s="1"/>
  <c r="L484" i="1"/>
  <c r="K484" i="1" a="1"/>
  <c r="K484" i="1" s="1"/>
  <c r="L328" i="1"/>
  <c r="K328" i="1" a="1"/>
  <c r="K328" i="1" s="1"/>
  <c r="K316" i="1" a="1"/>
  <c r="K316" i="1" s="1"/>
  <c r="L316" i="1"/>
  <c r="L304" i="1"/>
  <c r="K304" i="1" a="1"/>
  <c r="K304" i="1" s="1"/>
  <c r="K280" i="1" a="1"/>
  <c r="K280" i="1" s="1"/>
  <c r="L280" i="1"/>
  <c r="L268" i="1"/>
  <c r="K268" i="1" a="1"/>
  <c r="K268" i="1" s="1"/>
  <c r="L244" i="1"/>
  <c r="K244" i="1" a="1"/>
  <c r="K244" i="1" s="1"/>
  <c r="K992" i="1" a="1"/>
  <c r="K992" i="1" s="1"/>
  <c r="K880" i="1" a="1"/>
  <c r="K880" i="1" s="1"/>
  <c r="K762" i="1" a="1"/>
  <c r="K762" i="1" s="1"/>
  <c r="K728" i="1" a="1"/>
  <c r="K728" i="1" s="1"/>
  <c r="K680" i="1" a="1"/>
  <c r="K680" i="1" s="1"/>
  <c r="K570" i="1" a="1"/>
  <c r="K570" i="1" s="1"/>
  <c r="K436" i="1" a="1"/>
  <c r="K436" i="1" s="1"/>
  <c r="K402" i="1" a="1"/>
  <c r="K402" i="1" s="1"/>
  <c r="K352" i="1" a="1"/>
  <c r="K352" i="1" s="1"/>
  <c r="K320" i="1" a="1"/>
  <c r="K320" i="1" s="1"/>
  <c r="K78" i="1" a="1"/>
  <c r="K78" i="1" s="1"/>
  <c r="L640" i="1"/>
  <c r="L364" i="1"/>
  <c r="L106" i="1"/>
  <c r="L773" i="1"/>
  <c r="K773" i="1" a="1"/>
  <c r="K773" i="1" s="1"/>
  <c r="L677" i="1"/>
  <c r="K677" i="1" a="1"/>
  <c r="K677" i="1" s="1"/>
  <c r="L581" i="1"/>
  <c r="K581" i="1" a="1"/>
  <c r="K581" i="1" s="1"/>
  <c r="L465" i="1"/>
  <c r="K465" i="1" a="1"/>
  <c r="K465" i="1" s="1"/>
  <c r="L427" i="1"/>
  <c r="K427" i="1" a="1"/>
  <c r="K427" i="1" s="1"/>
  <c r="L322" i="1"/>
  <c r="K322" i="1" a="1"/>
  <c r="K322" i="1" s="1"/>
  <c r="L259" i="1"/>
  <c r="K259" i="1" a="1"/>
  <c r="K259" i="1" s="1"/>
  <c r="L214" i="1"/>
  <c r="K214" i="1" a="1"/>
  <c r="K214" i="1" s="1"/>
  <c r="K130" i="1" a="1"/>
  <c r="K130" i="1" s="1"/>
  <c r="L130" i="1"/>
  <c r="L22" i="1"/>
  <c r="K22" i="1" a="1"/>
  <c r="K22" i="1" s="1"/>
  <c r="L442" i="1"/>
  <c r="K442" i="1" a="1"/>
  <c r="K442" i="1" s="1"/>
  <c r="L382" i="1"/>
  <c r="K382" i="1" a="1"/>
  <c r="K382" i="1" s="1"/>
  <c r="K238" i="1" a="1"/>
  <c r="K238" i="1" s="1"/>
  <c r="L238" i="1"/>
  <c r="K94" i="1" a="1"/>
  <c r="K94" i="1" s="1"/>
  <c r="L94" i="1"/>
  <c r="L964" i="1"/>
  <c r="K964" i="1" a="1"/>
  <c r="K964" i="1" s="1"/>
  <c r="L772" i="1"/>
  <c r="K772" i="1" a="1"/>
  <c r="K772" i="1" s="1"/>
  <c r="L532" i="1"/>
  <c r="K532" i="1" a="1"/>
  <c r="K532" i="1" s="1"/>
  <c r="L405" i="1"/>
  <c r="K405" i="1" a="1"/>
  <c r="K405" i="1" s="1"/>
  <c r="L213" i="1"/>
  <c r="K213" i="1" a="1"/>
  <c r="K213" i="1" s="1"/>
  <c r="L150" i="1"/>
  <c r="K150" i="1" a="1"/>
  <c r="K150" i="1" s="1"/>
  <c r="L66" i="1"/>
  <c r="K66" i="1" a="1"/>
  <c r="K66" i="1" s="1"/>
  <c r="L915" i="1"/>
  <c r="K915" i="1" a="1"/>
  <c r="K915" i="1" s="1"/>
  <c r="L296" i="1"/>
  <c r="K296" i="1" a="1"/>
  <c r="K296" i="1" s="1"/>
  <c r="L257" i="1"/>
  <c r="K257" i="1" a="1"/>
  <c r="K257" i="1" s="1"/>
  <c r="L233" i="1"/>
  <c r="K233" i="1" a="1"/>
  <c r="K233" i="1" s="1"/>
  <c r="L149" i="1"/>
  <c r="K149" i="1" a="1"/>
  <c r="K149" i="1" s="1"/>
  <c r="L128" i="1"/>
  <c r="K128" i="1" a="1"/>
  <c r="K128" i="1" s="1"/>
  <c r="L41" i="1"/>
  <c r="K41" i="1" a="1"/>
  <c r="K41" i="1" s="1"/>
  <c r="L968" i="1"/>
  <c r="K968" i="1" a="1"/>
  <c r="K968" i="1" s="1"/>
  <c r="K932" i="1" a="1"/>
  <c r="K932" i="1" s="1"/>
  <c r="L932" i="1"/>
  <c r="L908" i="1"/>
  <c r="K908" i="1" a="1"/>
  <c r="K908" i="1" s="1"/>
  <c r="L884" i="1"/>
  <c r="K884" i="1" a="1"/>
  <c r="K884" i="1" s="1"/>
  <c r="L740" i="1"/>
  <c r="K740" i="1" a="1"/>
  <c r="K740" i="1" s="1"/>
  <c r="L716" i="1"/>
  <c r="K716" i="1" a="1"/>
  <c r="K716" i="1" s="1"/>
  <c r="K704" i="1" a="1"/>
  <c r="K704" i="1" s="1"/>
  <c r="L704" i="1"/>
  <c r="K188" i="1" a="1"/>
  <c r="K188" i="1" s="1"/>
  <c r="L188" i="1"/>
  <c r="L977" i="1"/>
  <c r="K977" i="1" a="1"/>
  <c r="K977" i="1" s="1"/>
  <c r="L593" i="1"/>
  <c r="K593" i="1" a="1"/>
  <c r="K593" i="1" s="1"/>
  <c r="L103" i="1"/>
  <c r="K103" i="1" a="1"/>
  <c r="K103" i="1" s="1"/>
  <c r="L19" i="1"/>
  <c r="K19" i="1" a="1"/>
  <c r="K19" i="1" s="1"/>
  <c r="K752" i="1" a="1"/>
  <c r="K752" i="1" s="1"/>
  <c r="K286" i="1" a="1"/>
  <c r="K286" i="1" s="1"/>
  <c r="L860" i="1"/>
  <c r="L979" i="1"/>
  <c r="K979" i="1" a="1"/>
  <c r="K979" i="1" s="1"/>
  <c r="L943" i="1"/>
  <c r="K943" i="1" a="1"/>
  <c r="K943" i="1" s="1"/>
  <c r="L895" i="1"/>
  <c r="K895" i="1" a="1"/>
  <c r="K895" i="1" s="1"/>
  <c r="L859" i="1"/>
  <c r="K859" i="1" a="1"/>
  <c r="K859" i="1" s="1"/>
  <c r="L823" i="1"/>
  <c r="K823" i="1" a="1"/>
  <c r="K823" i="1" s="1"/>
  <c r="L775" i="1"/>
  <c r="K775" i="1" a="1"/>
  <c r="K775" i="1" s="1"/>
  <c r="L655" i="1"/>
  <c r="K655" i="1" a="1"/>
  <c r="K655" i="1" s="1"/>
  <c r="L631" i="1"/>
  <c r="K631" i="1" a="1"/>
  <c r="K631" i="1" s="1"/>
  <c r="L559" i="1"/>
  <c r="K559" i="1" a="1"/>
  <c r="K559" i="1" s="1"/>
  <c r="L367" i="1"/>
  <c r="K367" i="1" a="1"/>
  <c r="K367" i="1" s="1"/>
  <c r="L127" i="1"/>
  <c r="K127" i="1" a="1"/>
  <c r="K127" i="1" s="1"/>
  <c r="L79" i="1"/>
  <c r="K79" i="1" a="1"/>
  <c r="K79" i="1" s="1"/>
  <c r="K736" i="1" a="1"/>
  <c r="K736" i="1" s="1"/>
  <c r="L736" i="1"/>
  <c r="L688" i="1"/>
  <c r="K688" i="1" a="1"/>
  <c r="K688" i="1" s="1"/>
  <c r="L186" i="1"/>
  <c r="K186" i="1" a="1"/>
  <c r="K186" i="1" s="1"/>
  <c r="L18" i="1"/>
  <c r="K18" i="1" a="1"/>
  <c r="K18" i="1" s="1"/>
  <c r="K928" i="1" a="1"/>
  <c r="K928" i="1" s="1"/>
  <c r="K619" i="1" a="1"/>
  <c r="K619" i="1" s="1"/>
  <c r="L46" i="1"/>
  <c r="L882" i="1"/>
  <c r="K882" i="1" a="1"/>
  <c r="K882" i="1" s="1"/>
  <c r="L750" i="1"/>
  <c r="K750" i="1" a="1"/>
  <c r="K750" i="1" s="1"/>
  <c r="L666" i="1"/>
  <c r="K666" i="1" a="1"/>
  <c r="K666" i="1" s="1"/>
  <c r="L642" i="1"/>
  <c r="K642" i="1" a="1"/>
  <c r="K642" i="1" s="1"/>
  <c r="L174" i="1"/>
  <c r="K174" i="1" a="1"/>
  <c r="K174" i="1" s="1"/>
  <c r="L543" i="1"/>
  <c r="K543" i="1" a="1"/>
  <c r="K543" i="1" s="1"/>
  <c r="L401" i="1"/>
  <c r="K401" i="1" a="1"/>
  <c r="K401" i="1" s="1"/>
  <c r="K751" i="1" a="1"/>
  <c r="K751" i="1" s="1"/>
  <c r="L189" i="1"/>
  <c r="L483" i="1"/>
  <c r="K483" i="1" a="1"/>
  <c r="K483" i="1" s="1"/>
  <c r="K315" i="1" a="1"/>
  <c r="K315" i="1" s="1"/>
  <c r="L315" i="1"/>
  <c r="L303" i="1"/>
  <c r="K303" i="1" a="1"/>
  <c r="K303" i="1" s="1"/>
  <c r="K279" i="1" a="1"/>
  <c r="K279" i="1" s="1"/>
  <c r="L279" i="1"/>
  <c r="L243" i="1"/>
  <c r="K243" i="1" a="1"/>
  <c r="K243" i="1" s="1"/>
  <c r="L219" i="1"/>
  <c r="K219" i="1" a="1"/>
  <c r="K219" i="1" s="1"/>
  <c r="L207" i="1"/>
  <c r="K207" i="1" a="1"/>
  <c r="K207" i="1" s="1"/>
  <c r="L195" i="1"/>
  <c r="K195" i="1" a="1"/>
  <c r="K195" i="1" s="1"/>
  <c r="L171" i="1"/>
  <c r="K171" i="1" a="1"/>
  <c r="K171" i="1" s="1"/>
  <c r="L123" i="1"/>
  <c r="K123" i="1" a="1"/>
  <c r="K123" i="1" s="1"/>
  <c r="L111" i="1"/>
  <c r="K111" i="1" a="1"/>
  <c r="K111" i="1" s="1"/>
  <c r="K991" i="1" a="1"/>
  <c r="K991" i="1" s="1"/>
  <c r="K896" i="1" a="1"/>
  <c r="K896" i="1" s="1"/>
  <c r="K824" i="1" a="1"/>
  <c r="K824" i="1" s="1"/>
  <c r="K714" i="1" a="1"/>
  <c r="K714" i="1" s="1"/>
  <c r="K632" i="1" a="1"/>
  <c r="K632" i="1" s="1"/>
  <c r="K583" i="1" a="1"/>
  <c r="K583" i="1" s="1"/>
  <c r="K535" i="1" a="1"/>
  <c r="K535" i="1" s="1"/>
  <c r="K520" i="1" a="1"/>
  <c r="K520" i="1" s="1"/>
  <c r="K501" i="1" a="1"/>
  <c r="K501" i="1" s="1"/>
  <c r="K435" i="1" a="1"/>
  <c r="K435" i="1" s="1"/>
  <c r="K351" i="1" a="1"/>
  <c r="K351" i="1" s="1"/>
  <c r="K235" i="1" a="1"/>
  <c r="K235" i="1" s="1"/>
  <c r="K211" i="1" a="1"/>
  <c r="K211" i="1" s="1"/>
  <c r="L639" i="1"/>
  <c r="L363" i="1"/>
  <c r="L231" i="1"/>
  <c r="L159" i="1"/>
  <c r="L105" i="1"/>
  <c r="L220" i="1"/>
  <c r="K220" i="1" a="1"/>
  <c r="K220" i="1" s="1"/>
  <c r="K208" i="1" a="1"/>
  <c r="K208" i="1" s="1"/>
  <c r="L208" i="1"/>
  <c r="L196" i="1"/>
  <c r="K196" i="1" a="1"/>
  <c r="K196" i="1" s="1"/>
  <c r="L148" i="1"/>
  <c r="K148" i="1" a="1"/>
  <c r="K148" i="1" s="1"/>
  <c r="K136" i="1" a="1"/>
  <c r="K136" i="1" s="1"/>
  <c r="L136" i="1"/>
  <c r="L124" i="1"/>
  <c r="K124" i="1" a="1"/>
  <c r="K124" i="1" s="1"/>
  <c r="L112" i="1"/>
  <c r="K112" i="1" a="1"/>
  <c r="K112" i="1" s="1"/>
  <c r="K88" i="1" a="1"/>
  <c r="K88" i="1" s="1"/>
  <c r="L88" i="1"/>
  <c r="K64" i="1" a="1"/>
  <c r="K64" i="1" s="1"/>
  <c r="L64" i="1"/>
  <c r="L52" i="1"/>
  <c r="K52" i="1" a="1"/>
  <c r="K52" i="1" s="1"/>
  <c r="L26" i="1"/>
  <c r="K87" i="1" a="1"/>
  <c r="K87" i="1" s="1"/>
  <c r="L87" i="1"/>
  <c r="K63" i="1" a="1"/>
  <c r="K63" i="1" s="1"/>
  <c r="L63" i="1"/>
  <c r="L51" i="1"/>
  <c r="K51" i="1" a="1"/>
  <c r="K51" i="1" s="1"/>
  <c r="L39" i="1"/>
  <c r="K39" i="1" a="1"/>
  <c r="K39" i="1" s="1"/>
  <c r="K15" i="1" a="1"/>
  <c r="K15" i="1" s="1"/>
  <c r="L15" i="1"/>
  <c r="K3" i="1" a="1"/>
  <c r="K3" i="1" s="1"/>
  <c r="L3" i="1"/>
  <c r="K172" i="1" a="1"/>
  <c r="K172" i="1" s="1"/>
  <c r="K14" i="1" a="1"/>
  <c r="K14" i="1" s="1"/>
  <c r="K50" i="1" a="1"/>
  <c r="K50" i="1" s="1"/>
  <c r="L50" i="1"/>
  <c r="L38" i="1"/>
  <c r="K38" i="1" a="1"/>
  <c r="K38" i="1" s="1"/>
  <c r="K40" i="1" a="1"/>
  <c r="K40" i="1" s="1"/>
  <c r="L75" i="1"/>
  <c r="L2" i="1" l="1"/>
  <c r="B3" i="2" s="1"/>
  <c r="B1" i="2"/>
  <c r="K2" i="1" a="1"/>
  <c r="K2" i="1" s="1"/>
  <c r="O2" i="1"/>
  <c r="N2" i="1"/>
  <c r="M2" i="1" a="1"/>
  <c r="M2" i="1" s="1"/>
  <c r="N574" i="1"/>
  <c r="O934" i="1"/>
  <c r="N311" i="1"/>
  <c r="N551" i="1"/>
  <c r="O911" i="1"/>
  <c r="O216" i="1"/>
  <c r="N492" i="1"/>
  <c r="O960" i="1"/>
  <c r="O169" i="1"/>
  <c r="O589" i="1"/>
  <c r="N122" i="1"/>
  <c r="O362" i="1"/>
  <c r="N590" i="1"/>
  <c r="N842" i="1"/>
  <c r="N737" i="1"/>
  <c r="N303" i="1"/>
  <c r="O483" i="1"/>
  <c r="O807" i="1"/>
  <c r="N24" i="1"/>
  <c r="O935" i="1"/>
  <c r="N136" i="1"/>
  <c r="N712" i="1"/>
  <c r="N773" i="1"/>
  <c r="O283" i="1"/>
  <c r="N297" i="1"/>
  <c r="N965" i="1"/>
  <c r="N91" i="1"/>
  <c r="O322" i="1"/>
  <c r="O598" i="1"/>
  <c r="N910" i="1"/>
  <c r="O287" i="1"/>
  <c r="O575" i="1"/>
  <c r="O977" i="1"/>
  <c r="O468" i="1"/>
  <c r="N113" i="1"/>
  <c r="N193" i="1"/>
  <c r="O62" i="1"/>
  <c r="N242" i="1"/>
  <c r="O506" i="1"/>
  <c r="O758" i="1"/>
  <c r="O974" i="1"/>
  <c r="O279" i="1"/>
  <c r="O747" i="1"/>
  <c r="O472" i="1"/>
  <c r="N748" i="1"/>
  <c r="O154" i="1"/>
  <c r="O478" i="1"/>
  <c r="O101" i="1"/>
  <c r="N263" i="1"/>
  <c r="N503" i="1"/>
  <c r="N995" i="1"/>
  <c r="O881" i="1"/>
  <c r="N168" i="1"/>
  <c r="O444" i="1"/>
  <c r="N732" i="1"/>
  <c r="O37" i="1"/>
  <c r="N218" i="1"/>
  <c r="O470" i="1"/>
  <c r="O734" i="1"/>
  <c r="O63" i="1"/>
  <c r="O219" i="1"/>
  <c r="O387" i="1"/>
  <c r="O352" i="1"/>
  <c r="N700" i="1"/>
  <c r="O938" i="1"/>
  <c r="N591" i="1"/>
  <c r="O723" i="1"/>
  <c r="O975" i="1"/>
  <c r="O696" i="1"/>
  <c r="N880" i="1"/>
  <c r="O952" i="1"/>
  <c r="N874" i="1"/>
  <c r="N936" i="1"/>
  <c r="O640" i="1"/>
  <c r="O808" i="1"/>
  <c r="O66" i="1"/>
  <c r="O370" i="1"/>
  <c r="O874" i="1"/>
  <c r="N976" i="1"/>
  <c r="N683" i="1"/>
  <c r="N568" i="1"/>
  <c r="O820" i="1"/>
  <c r="O904" i="1"/>
  <c r="O258" i="1"/>
  <c r="O586" i="1"/>
  <c r="O683" i="1"/>
  <c r="N760" i="1"/>
  <c r="N875" i="1"/>
  <c r="O115" i="1"/>
  <c r="O929" i="1"/>
  <c r="O315" i="1"/>
  <c r="O399" i="1"/>
  <c r="O507" i="1"/>
  <c r="O663" i="1"/>
  <c r="O927" i="1"/>
  <c r="N64" i="1"/>
  <c r="N196" i="1"/>
  <c r="N304" i="1"/>
  <c r="O364" i="1"/>
  <c r="O436" i="1"/>
  <c r="N664" i="1"/>
  <c r="O784" i="1"/>
  <c r="N452" i="1"/>
  <c r="O18" i="1"/>
  <c r="N102" i="1"/>
  <c r="O162" i="1"/>
  <c r="N246" i="1"/>
  <c r="N858" i="1"/>
  <c r="N966" i="1"/>
  <c r="N814" i="1"/>
  <c r="N155" i="1"/>
  <c r="O491" i="1"/>
  <c r="N912" i="1"/>
  <c r="O61" i="1"/>
  <c r="O529" i="1"/>
  <c r="O805" i="1"/>
  <c r="O26" i="1"/>
  <c r="O314" i="1"/>
  <c r="O782" i="1"/>
  <c r="O171" i="1"/>
  <c r="N423" i="1"/>
  <c r="N699" i="1"/>
  <c r="O963" i="1"/>
  <c r="N76" i="1"/>
  <c r="O259" i="1"/>
  <c r="O211" i="1"/>
  <c r="O777" i="1"/>
  <c r="N500" i="1"/>
  <c r="N981" i="1"/>
  <c r="N274" i="1"/>
  <c r="O633" i="1"/>
  <c r="O215" i="1"/>
  <c r="O887" i="1"/>
  <c r="O634" i="1"/>
  <c r="O48" i="1"/>
  <c r="O264" i="1"/>
  <c r="O648" i="1"/>
  <c r="N996" i="1"/>
  <c r="O145" i="1"/>
  <c r="O553" i="1"/>
  <c r="N793" i="1"/>
  <c r="O114" i="1"/>
  <c r="N38" i="1"/>
  <c r="O446" i="1"/>
  <c r="O686" i="1"/>
  <c r="N914" i="1"/>
  <c r="N207" i="1"/>
  <c r="O615" i="1"/>
  <c r="N94" i="1"/>
  <c r="N406" i="1"/>
  <c r="O694" i="1"/>
  <c r="N946" i="1"/>
  <c r="O191" i="1"/>
  <c r="N443" i="1"/>
  <c r="N197" i="1"/>
  <c r="N120" i="1"/>
  <c r="N948" i="1"/>
  <c r="N577" i="1"/>
  <c r="N829" i="1"/>
  <c r="O158" i="1"/>
  <c r="N15" i="1"/>
  <c r="O147" i="1"/>
  <c r="N327" i="1"/>
  <c r="O579" i="1"/>
  <c r="N987" i="1"/>
  <c r="N100" i="1"/>
  <c r="N280" i="1"/>
  <c r="N519" i="1"/>
  <c r="N687" i="1"/>
  <c r="O298" i="1"/>
  <c r="N832" i="1"/>
  <c r="O928" i="1"/>
  <c r="O1000" i="1"/>
  <c r="O873" i="1"/>
  <c r="O682" i="1"/>
  <c r="O875" i="1"/>
  <c r="N592" i="1"/>
  <c r="O832" i="1"/>
  <c r="O759" i="1"/>
  <c r="N376" i="1"/>
  <c r="O652" i="1"/>
  <c r="O964" i="1"/>
  <c r="N681" i="1"/>
  <c r="N260" i="1"/>
  <c r="N212" i="1"/>
  <c r="O90" i="1"/>
  <c r="N130" i="1"/>
  <c r="O550" i="1"/>
  <c r="N850" i="1"/>
  <c r="N11" i="1"/>
  <c r="N527" i="1"/>
  <c r="O707" i="1"/>
  <c r="O947" i="1"/>
  <c r="O713" i="1"/>
  <c r="N84" i="1"/>
  <c r="N336" i="1"/>
  <c r="N756" i="1"/>
  <c r="O13" i="1"/>
  <c r="N373" i="1"/>
  <c r="N613" i="1"/>
  <c r="N853" i="1"/>
  <c r="N234" i="1"/>
  <c r="N182" i="1"/>
  <c r="N471" i="1"/>
  <c r="O346" i="1"/>
  <c r="N88" i="1"/>
  <c r="N256" i="1"/>
  <c r="O676" i="1"/>
  <c r="N921" i="1"/>
  <c r="N754" i="1"/>
  <c r="N671" i="1"/>
  <c r="O923" i="1"/>
  <c r="N384" i="1"/>
  <c r="N672" i="1"/>
  <c r="O205" i="1"/>
  <c r="N397" i="1"/>
  <c r="N637" i="1"/>
  <c r="O889" i="1"/>
  <c r="N398" i="1"/>
  <c r="O674" i="1"/>
  <c r="O950" i="1"/>
  <c r="N651" i="1"/>
  <c r="N641" i="1"/>
  <c r="O496" i="1"/>
  <c r="O937" i="1"/>
  <c r="O592" i="1"/>
  <c r="N772" i="1"/>
  <c r="N42" i="1"/>
  <c r="N178" i="1"/>
  <c r="N778" i="1"/>
  <c r="O240" i="1"/>
  <c r="N323" i="1"/>
  <c r="N455" i="1"/>
  <c r="N539" i="1"/>
  <c r="O719" i="1"/>
  <c r="N983" i="1"/>
  <c r="N108" i="1"/>
  <c r="N744" i="1"/>
  <c r="O521" i="1"/>
  <c r="N121" i="1"/>
  <c r="N241" i="1"/>
  <c r="O817" i="1"/>
  <c r="O949" i="1"/>
  <c r="N50" i="1"/>
  <c r="O518" i="1"/>
  <c r="N662" i="1"/>
  <c r="N770" i="1"/>
  <c r="O962" i="1"/>
  <c r="O235" i="1"/>
  <c r="N27" i="1"/>
  <c r="O183" i="1"/>
  <c r="O255" i="1"/>
  <c r="O339" i="1"/>
  <c r="N435" i="1"/>
  <c r="O531" i="1"/>
  <c r="O951" i="1"/>
  <c r="N112" i="1"/>
  <c r="N232" i="1"/>
  <c r="N316" i="1"/>
  <c r="N388" i="1"/>
  <c r="O460" i="1"/>
  <c r="N688" i="1"/>
  <c r="O796" i="1"/>
  <c r="N585" i="1"/>
  <c r="O30" i="1"/>
  <c r="N174" i="1"/>
  <c r="N294" i="1"/>
  <c r="O750" i="1"/>
  <c r="N934" i="1"/>
  <c r="O311" i="1"/>
  <c r="N911" i="1"/>
  <c r="O708" i="1"/>
  <c r="N960" i="1"/>
  <c r="N109" i="1"/>
  <c r="N349" i="1"/>
  <c r="N589" i="1"/>
  <c r="O865" i="1"/>
  <c r="O122" i="1"/>
  <c r="N362" i="1"/>
  <c r="N530" i="1"/>
  <c r="O842" i="1"/>
  <c r="N483" i="1"/>
  <c r="N807" i="1"/>
  <c r="O24" i="1"/>
  <c r="O376" i="1"/>
  <c r="O681" i="1"/>
  <c r="N283" i="1"/>
  <c r="O260" i="1"/>
  <c r="O212" i="1"/>
  <c r="O130" i="1"/>
  <c r="N322" i="1"/>
  <c r="N598" i="1"/>
  <c r="O850" i="1"/>
  <c r="O11" i="1"/>
  <c r="N287" i="1"/>
  <c r="N947" i="1"/>
  <c r="N977" i="1"/>
  <c r="O84" i="1"/>
  <c r="O336" i="1"/>
  <c r="O756" i="1"/>
  <c r="N13" i="1"/>
  <c r="O373" i="1"/>
  <c r="O613" i="1"/>
  <c r="O853" i="1"/>
  <c r="O234" i="1"/>
  <c r="N62" i="1"/>
  <c r="N506" i="1"/>
  <c r="N758" i="1"/>
  <c r="N974" i="1"/>
  <c r="N279" i="1"/>
  <c r="O471" i="1"/>
  <c r="N747" i="1"/>
  <c r="O88" i="1"/>
  <c r="O256" i="1"/>
  <c r="N472" i="1"/>
  <c r="O921" i="1"/>
  <c r="N154" i="1"/>
  <c r="N478" i="1"/>
  <c r="O754" i="1"/>
  <c r="N101" i="1"/>
  <c r="O263" i="1"/>
  <c r="O503" i="1"/>
  <c r="O671" i="1"/>
  <c r="N881" i="1"/>
  <c r="O168" i="1"/>
  <c r="N444" i="1"/>
  <c r="O637" i="1"/>
  <c r="N889" i="1"/>
  <c r="O218" i="1"/>
  <c r="N950" i="1"/>
  <c r="N63" i="1"/>
  <c r="N219" i="1"/>
  <c r="N387" i="1"/>
  <c r="O651" i="1"/>
  <c r="O641" i="1"/>
  <c r="N352" i="1"/>
  <c r="N723" i="1"/>
  <c r="N975" i="1"/>
  <c r="N696" i="1"/>
  <c r="O772" i="1"/>
  <c r="N952" i="1"/>
  <c r="O42" i="1"/>
  <c r="O178" i="1"/>
  <c r="O778" i="1"/>
  <c r="N24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<sst xmlns="http://schemas.openxmlformats.org/spreadsheetml/2006/main" count="5085" uniqueCount="51">
  <si>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</si>
  <si>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</si>
  <si>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</si>
  <si>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</si>
  <si>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</si>
  <si>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</si>
  <si>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</si>
  <si>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</si>
  <si>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</si>
  <si>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</si>
  <si>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</si>
  <si>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</si>
  <si>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</si>
  <si>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</si>
  <si>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</si>
  <si>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</si>
  <si>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</si>
  <si>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</si>
  <si>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</si>
  <si>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</si>
  <si>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</si>
  <si>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</si>
  <si>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</si>
  <si>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</si>
  <si>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</si>
  <si>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TotalScore</t>
  </si>
  <si>
    <t>AverageScore</t>
  </si>
  <si>
    <t>Grade</t>
  </si>
  <si>
    <t>Pass_Fail</t>
  </si>
  <si>
    <t>PerformanceCategory</t>
  </si>
  <si>
    <t>Rank</t>
  </si>
  <si>
    <t>StandardizedScore</t>
  </si>
  <si>
    <t>Average Score</t>
  </si>
  <si>
    <t>Highest Score</t>
  </si>
  <si>
    <t>Pass Percentage</t>
  </si>
  <si>
    <t>Total Students</t>
  </si>
  <si>
    <t>Row Labels</t>
  </si>
  <si>
    <t>Grand Total</t>
  </si>
  <si>
    <t>Average of AverageScore</t>
  </si>
  <si>
    <t>Count of Pass_Fail</t>
  </si>
  <si>
    <t>Pass</t>
  </si>
  <si>
    <t>Fail</t>
  </si>
  <si>
    <t>Average of math score</t>
  </si>
  <si>
    <t>Average of reading score</t>
  </si>
  <si>
    <t>Average of writing score</t>
  </si>
  <si>
    <t>Advanced</t>
  </si>
  <si>
    <t>Basic</t>
  </si>
  <si>
    <t>Intermediate</t>
  </si>
  <si>
    <t>Needs Help</t>
  </si>
  <si>
    <t>Count of PerformanceCategory</t>
  </si>
  <si>
    <t>Count of lunch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</si>
</sst>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6"/>
      <color rgb="FF000000"/>
      <name val="Calibri"/>
      <family val="2"/>
    </font>
    <font>
      <b/>
      <sz val="14"/>
      <color rgb="FF000000"/>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10" xfId="0" applyBorder="1"/>
    <xf numFmtId="10" fontId="0" fillId="0" borderId="10" xfId="0" applyNumberFormat="1" applyBorder="1"/>
    <xf numFmtId="2" fontId="0" fillId="0" borderId="0" xfId="0" applyNumberFormat="1"/>
    <xf numFmtId="164" fontId="0" fillId="0" borderId="0" xfId="0" applyNumberFormat="1"/>
    <xf numFmtId="0" fontId="19" fillId="0" borderId="0" xfId="0" applyFont="1" applyAlignment="1">
      <alignment horizontal="left" vertical="center"/>
    </xf>
    <xf numFmtId="0" fontId="20"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[StudentsPerformance.xlsx]TestPrepAnalysis!PivotTable2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score by Test Preparation Course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TestPrepAnalysis!$B$3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TestPrepAnalysis!$A$4:$A$6</c:f>
              <c:strCache>
                <c:ptCount val="2"/>
                <c:pt idx="0">
                  <c:v>completed</c:v>
                </c:pt>
                <c:pt idx="1">
                  <c:v>none</c:v>
                </c:pt>
              </c:strCache>
            </c:strRef>
          </c:cat>
          <c:val>
            <c:numRef>
              <c:f>TestPrepAnalysis!$B$4:$B$6</c:f>
              <c:numCache>
                <c:formatCode>General</c:formatCode>
                <c:ptCount val="2"/>
                <c:pt idx="0">
                  <c:v>72.669459962756051</c:v>
                </c:pt>
                <c:pt idx="1">
                  <c:v>65.038940809968878</c:v>
                </c:pt>
              </c:numCache>
            </c:numRef>
          </c:val>
          <c:extLst>
            <c:ext xmlns:c16="http://schemas.microsoft.com/office/drawing/2014/chart" uri="{C3380CC4-5D6E-409C-BE32-E72D297353CC}">
              <c16:uniqueId val="{00000000-F190-4151-A82F-72968FCEFF7E}"/>
            </c:ext>
          </c:extLst>
        </c:ser>
        <c:dLbls>
          <c:dLblPos val="outEnd"/>
          <c:showLegendKey val="0"/>
          <c:showVal val="1"/>
          <c:showCatName val="0"/>
          <c:showSerName val="0"/>
          <c:showPercent val="0"/>
          <c:showBubbleSize val="0"/>
        </c:dLbls>
        <c:gapWidth val="100"/>
        <c:overlap val="-24"/>
        <c:axId val="1283988000"/>
        <c:axId val="1283996640"/>
      </c:barChart>
      <c:catAx>
        <c:axId val="1283988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3996640"/>
        <c:crosses val="autoZero"/>
        <c:auto val="1"/>
        <c:lblAlgn val="ctr"/>
        <c:lblOffset val="100"/>
        <c:noMultiLvlLbl val="0"/>
      </c:catAx>
      <c:valAx>
        <c:axId val="1283996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398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[StudentsPerformance.xlsx]ParentEduAnalysis!PivotTable3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Score by Parental Education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ParentEduAnalysis!$B$3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ParentEduAnalysis!$A$4:$A$10</c:f>
              <c:strCache>
                <c:ptCount val="6"/>
                <c:pt idx="0">
                  <c:v>associate's degree</c:v>
                </c:pt>
                <c:pt idx="1">
                  <c:v>bachelor's degree</c:v>
                </c:pt>
                <c:pt idx="2">
                  <c:v>high school</c:v>
                </c:pt>
                <c:pt idx="3">
                  <c:v>master's degree</c:v>
                </c:pt>
                <c:pt idx="4">
                  <c:v>some college</c:v>
                </c:pt>
                <c:pt idx="5">
                  <c:v>some high school</c:v>
                </c:pt>
              </c:strCache>
            </c:strRef>
          </c:cat>
          <c:val>
            <c:numRef>
              <c:f>ParentEduAnalysis!$B$4:$B$10</c:f>
              <c:numCache>
                <c:formatCode>General</c:formatCode>
                <c:ptCount val="6"/>
                <c:pt idx="0">
                  <c:v>69.569069069069073</c:v>
                </c:pt>
                <c:pt idx="1">
                  <c:v>71.923728813559308</c:v>
                </c:pt>
                <c:pt idx="2">
                  <c:v>63.09693877551021</c:v>
                </c:pt>
                <c:pt idx="3">
                  <c:v>73.598870056497177</c:v>
                </c:pt>
                <c:pt idx="4">
                  <c:v>68.476401179940993</c:v>
                </c:pt>
                <c:pt idx="5">
                  <c:v>65.108007448789607</c:v>
                </c:pt>
              </c:numCache>
            </c:numRef>
          </c:val>
          <c:extLst>
            <c:ext xmlns:c16="http://schemas.microsoft.com/office/drawing/2014/chart" uri="{C3380CC4-5D6E-409C-BE32-E72D297353CC}">
              <c16:uniqueId val="{00000000-BCFB-4ADC-9F1B-D05FC391AC9A}"/>
            </c:ext>
          </c:extLst>
        </c:ser>
        <c:dLbls>
          <c:showLegendKey val="0"/>
          <c:showVal val="0"/>
          <c:showCatName val="0"/>
          <c:showSerName val="0"/>
          <c:showPercent val="0"/>
          <c:showBubbleSize val="0"/>
        </c:dLbls>
        <c:gapWidth val="100"/>
        <c:overlap val="-24"/>
        <c:axId val="1339915424"/>
        <c:axId val="1339913504"/>
      </c:barChart>
      <c:catAx>
        <c:axId val="1339915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913504"/>
        <c:crosses val="autoZero"/>
        <c:auto val="1"/>
        <c:lblAlgn val="ctr"/>
        <c:lblOffset val="100"/>
        <c:noMultiLvlLbl val="0"/>
      </c:catAx>
      <c:valAx>
        <c:axId val="1339913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91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[StudentsPerformance.xlsx]GenderPassAnalysis!PivotTable4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Pass Count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GenderPassAnalysis!$B$3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GenderPassAnalysis!$A$4:$A$6</c:f>
              <c:strCache>
                <c:ptCount val="2"/>
                <c:pt idx="0">
                  <c:v>female</c:v>
                </c:pt>
                <c:pt idx="1">
                  <c:v>male</c:v>
                </c:pt>
              </c:strCache>
            </c:strRef>
          </c:cat>
          <c:val>
            <c:numRef>
              <c:f>GenderPassAnalysis!$B$4:$B$6</c:f>
              <c:numCache>
                <c:formatCode>General</c:formatCode>
                <c:ptCount val="2"/>
                <c:pt idx="0">
                  <c:v>394</c:v>
                </c:pt>
                <c:pt idx="1">
                  <c:v>321</c:v>
                </c:pt>
              </c:numCache>
            </c:numRef>
          </c:val>
          <c:extLst>
            <c:ext xmlns:c16="http://schemas.microsoft.com/office/drawing/2014/chart" uri="{C3380CC4-5D6E-409C-BE32-E72D297353CC}">
              <c16:uniqueId val="{00000000-00D2-4F44-BC8D-019F49085CE3}"/>
            </c:ext>
          </c:extLst>
        </c:ser>
        <c:dLbls>
          <c:showLegendKey val="0"/>
          <c:showVal val="0"/>
          <c:showCatName val="0"/>
          <c:showSerName val="0"/>
          <c:showPercent val="0"/>
          <c:showBubbleSize val="0"/>
        </c:dLbls>
        <c:gapWidth val="100"/>
        <c:overlap val="-24"/>
        <c:axId val="1286247392"/>
        <c:axId val="1286246912"/>
      </c:barChart>
      <c:catAx>
        <c:axId val="1286247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6246912"/>
        <c:crosses val="autoZero"/>
        <c:auto val="1"/>
        <c:lblAlgn val="ctr"/>
        <c:lblOffset val="100"/>
        <c:noMultiLvlLbl val="0"/>
      </c:catAx>
      <c:valAx>
        <c:axId val="12862469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624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[StudentsPerformance.xlsx]RaceEthnicityAnalysis!PivotTable6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Score by Race/Ethnicity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RaceEthnicityAnalysis!$B$3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RaceEthnicityAnalysis!$A$4:$A$9</c:f>
              <c:strCache>
                <c:ptCount val="5"/>
                <c:pt idx="0">
                  <c:v>group A</c:v>
                </c:pt>
                <c:pt idx="1">
                  <c:v>group B</c:v>
                </c:pt>
                <c:pt idx="2">
                  <c:v>group C</c:v>
                </c:pt>
                <c:pt idx="3">
                  <c:v>group D</c:v>
                </c:pt>
                <c:pt idx="4">
                  <c:v>group E</c:v>
                </c:pt>
              </c:strCache>
            </c:strRef>
          </c:cat>
          <c:val>
            <c:numRef>
              <c:f>RaceEthnicityAnalysis!$B$4:$B$9</c:f>
              <c:numCache>
                <c:formatCode>General</c:formatCode>
                <c:ptCount val="5"/>
                <c:pt idx="0">
                  <c:v>62.992509363295866</c:v>
                </c:pt>
                <c:pt idx="1">
                  <c:v>65.468421052631555</c:v>
                </c:pt>
                <c:pt idx="2">
                  <c:v>67.131661442006276</c:v>
                </c:pt>
                <c:pt idx="3">
                  <c:v>69.179389312977051</c:v>
                </c:pt>
                <c:pt idx="4">
                  <c:v>72.752380952380975</c:v>
                </c:pt>
              </c:numCache>
            </c:numRef>
          </c:val>
          <c:extLst>
            <c:ext xmlns:c16="http://schemas.microsoft.com/office/drawing/2014/chart" uri="{C3380CC4-5D6E-409C-BE32-E72D297353CC}">
              <c16:uniqueId val="{00000000-41E2-4D77-A0FD-58EFEA62198D}"/>
            </c:ext>
          </c:extLst>
        </c:ser>
        <c:dLbls>
          <c:showLegendKey val="0"/>
          <c:showVal val="0"/>
          <c:showCatName val="0"/>
          <c:showSerName val="0"/>
          <c:showPercent val="0"/>
          <c:showBubbleSize val="0"/>
        </c:dLbls>
        <c:gapWidth val="100"/>
        <c:overlap val="-24"/>
        <c:axId val="1355866224"/>
        <c:axId val="1355868624"/>
      </c:barChart>
      <c:catAx>
        <c:axId val="1355866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868624"/>
        <c:crosses val="autoZero"/>
        <c:auto val="1"/>
        <c:lblAlgn val="ctr"/>
        <c:lblOffset val="100"/>
        <c:noMultiLvlLbl val="0"/>
      </c:catAx>
      <c:valAx>
        <c:axId val="1355868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86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[StudentsPerformance.xlsx]LunchTypeAnalysis!PivotTable7</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by Lunch</a:t>
            </a:r>
            <a:r>
              <a:rPr lang="en-US" baseline="0"/>
              <a:t>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717760279965005"/>
          <c:y val="0.27717373869932921"/>
          <c:w val="0.41147353455818025"/>
          <c:h val="0.68578922426363376"/>
        </c:manualLayout>
      </c:layout>
      <c:pieChart>
        <c:varyColors val="1"/>
        <c:ser>
          <c:idx val="0"/>
          <c:order val="0"/>
          <c:tx>
            <c:strRef>
              <c:f>LunchTypeAnalysis!$B$3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2B9-41B7-B27B-FF44652196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B9-41B7-B27B-FF4465219600}"/>
              </c:ext>
            </c:extLst>
          </c:dPt>
          <c:cat>
            <c:strRef>
              <c:f>LunchTypeAnalysis!$A$4:$A$6</c:f>
              <c:strCache>
                <c:ptCount val="2"/>
                <c:pt idx="0">
                  <c:v>free/reduced</c:v>
                </c:pt>
                <c:pt idx="1">
                  <c:v>standard</c:v>
                </c:pt>
              </c:strCache>
            </c:strRef>
          </c:cat>
          <c:val>
            <c:numRef>
              <c:f>LunchTypeAnalysis!$B$4:$B$6</c:f>
              <c:numCache>
                <c:formatCode>General</c:formatCode>
                <c:ptCount val="2"/>
                <c:pt idx="0">
                  <c:v>355</c:v>
                </c:pt>
                <c:pt idx="1">
                  <c:v>645</c:v>
                </c:pt>
              </c:numCache>
            </c:numRef>
          </c:val>
          <c:extLst>
            <c:ext xmlns:c16="http://schemas.microsoft.com/office/drawing/2014/chart" uri="{C3380CC4-5D6E-409C-BE32-E72D297353CC}">
              <c16:uniqueId val="{00000000-23C0-4404-AA62-C3DEECF402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[StudentsPerformance.xlsx]SubjectComparison!PivotTable8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Subject Score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SubjectComparison!$B$3</c:f>
              <c:strCache>
                <c:ptCount val="1"/>
                <c:pt idx="0">
                  <c:v>Average of math 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SubjectComparison!$A$4:$A$6</c:f>
              <c:strCache>
                <c:ptCount val="2"/>
                <c:pt idx="0">
                  <c:v>female</c:v>
                </c:pt>
                <c:pt idx="1">
                  <c:v>male</c:v>
                </c:pt>
              </c:strCache>
            </c:strRef>
          </c:cat>
          <c:val>
            <c:numRef>
              <c:f>SubjectComparison!$B$4:$B$6</c:f>
              <c:numCache>
                <c:formatCode>General</c:formatCode>
                <c:ptCount val="2"/>
                <c:pt idx="0">
                  <c:v>63.633204633204635</c:v>
                </c:pt>
                <c:pt idx="1">
                  <c:v>68.72821576763485</c:v>
                </c:pt>
              </c:numCache>
            </c:numRef>
          </c:val>
          <c:extLst>
            <c:ext xmlns:c16="http://schemas.microsoft.com/office/drawing/2014/chart" uri="{C3380CC4-5D6E-409C-BE32-E72D297353CC}">
              <c16:uniqueId val="{00000000-F4CC-4B6C-A0F1-2AE601F3594B}"/>
            </c:ext>
          </c:extLst>
        </c:ser>
        <c:ser>
          <c:idx val="1"/>
          <c:order val="1"/>
          <c:tx>
            <c:strRef>
              <c:f>SubjectComparison!$C$3</c:f>
              <c:strCache>
                <c:ptCount val="1"/>
                <c:pt idx="0">
                  <c:v>Average of reading 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SubjectComparison!$A$4:$A$6</c:f>
              <c:strCache>
                <c:ptCount val="2"/>
                <c:pt idx="0">
                  <c:v>female</c:v>
                </c:pt>
                <c:pt idx="1">
                  <c:v>male</c:v>
                </c:pt>
              </c:strCache>
            </c:strRef>
          </c:cat>
          <c:val>
            <c:numRef>
              <c:f>SubjectComparison!$C$4:$C$6</c:f>
              <c:numCache>
                <c:formatCode>General</c:formatCode>
                <c:ptCount val="2"/>
                <c:pt idx="0">
                  <c:v>72.608108108108112</c:v>
                </c:pt>
                <c:pt idx="1">
                  <c:v>65.473029045643159</c:v>
                </c:pt>
              </c:numCache>
            </c:numRef>
          </c:val>
          <c:extLst>
            <c:ext xmlns:c16="http://schemas.microsoft.com/office/drawing/2014/chart" uri="{C3380CC4-5D6E-409C-BE32-E72D297353CC}">
              <c16:uniqueId val="{00000001-F4CC-4B6C-A0F1-2AE601F3594B}"/>
            </c:ext>
          </c:extLst>
        </c:ser>
        <c:ser>
          <c:idx val="2"/>
          <c:order val="2"/>
          <c:tx>
            <c:strRef>
              <c:f>SubjectComparison!$D$3</c:f>
              <c:strCache>
                <c:ptCount val="1"/>
                <c:pt idx="0">
                  <c:v>Average of writing 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SubjectComparison!$A$4:$A$6</c:f>
              <c:strCache>
                <c:ptCount val="2"/>
                <c:pt idx="0">
                  <c:v>female</c:v>
                </c:pt>
                <c:pt idx="1">
                  <c:v>male</c:v>
                </c:pt>
              </c:strCache>
            </c:strRef>
          </c:cat>
          <c:val>
            <c:numRef>
              <c:f>SubjectComparison!$D$4:$D$6</c:f>
              <c:numCache>
                <c:formatCode>General</c:formatCode>
                <c:ptCount val="2"/>
                <c:pt idx="0">
                  <c:v>72.467181467181462</c:v>
                </c:pt>
                <c:pt idx="1">
                  <c:v>63.311203319502077</c:v>
                </c:pt>
              </c:numCache>
            </c:numRef>
          </c:val>
          <c:extLst>
            <c:ext xmlns:c16="http://schemas.microsoft.com/office/drawing/2014/chart" uri="{C3380CC4-5D6E-409C-BE32-E72D297353CC}">
              <c16:uniqueId val="{00000002-F4CC-4B6C-A0F1-2AE601F3594B}"/>
            </c:ext>
          </c:extLst>
        </c:ser>
        <c:dLbls>
          <c:showLegendKey val="0"/>
          <c:showVal val="0"/>
          <c:showCatName val="0"/>
          <c:showSerName val="0"/>
          <c:showPercent val="0"/>
          <c:showBubbleSize val="0"/>
        </c:dLbls>
        <c:gapWidth val="100"/>
        <c:overlap val="-24"/>
        <c:axId val="1355048896"/>
        <c:axId val="1349900432"/>
      </c:barChart>
      <c:catAx>
        <c:axId val="1355048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900432"/>
        <c:crosses val="autoZero"/>
        <c:auto val="1"/>
        <c:lblAlgn val="ctr"/>
        <c:lblOffset val="100"/>
        <c:noMultiLvlLbl val="0"/>
      </c:catAx>
      <c:valAx>
        <c:axId val="1349900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04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[StudentsPerformance.xlsx]GenderSubjectAnalysis!PivotTable10</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Subject Scores by Gender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GenderSubjectAnalysis!$B$3</c:f>
              <c:strCache>
                <c:ptCount val="1"/>
                <c:pt idx="0">
                  <c:v>Average of math 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GenderSubjectAnalysis!$A$4:$A$6</c:f>
              <c:strCache>
                <c:ptCount val="2"/>
                <c:pt idx="0">
                  <c:v>female</c:v>
                </c:pt>
                <c:pt idx="1">
                  <c:v>male</c:v>
                </c:pt>
              </c:strCache>
            </c:strRef>
          </c:cat>
          <c:val>
            <c:numRef>
              <c:f>GenderSubjectAnalysis!$B$4:$B$6</c:f>
              <c:numCache>
                <c:formatCode>General</c:formatCode>
                <c:ptCount val="2"/>
                <c:pt idx="0">
                  <c:v>63.633204633204635</c:v>
                </c:pt>
                <c:pt idx="1">
                  <c:v>68.72821576763485</c:v>
                </c:pt>
              </c:numCache>
            </c:numRef>
          </c:val>
          <c:extLst>
            <c:ext xmlns:c16="http://schemas.microsoft.com/office/drawing/2014/chart" uri="{C3380CC4-5D6E-409C-BE32-E72D297353CC}">
              <c16:uniqueId val="{00000000-0F79-40E8-A04A-CFDA16FF796B}"/>
            </c:ext>
          </c:extLst>
        </c:ser>
        <c:ser>
          <c:idx val="1"/>
          <c:order val="1"/>
          <c:tx>
            <c:strRef>
              <c:f>GenderSubjectAnalysis!$C$3</c:f>
              <c:strCache>
                <c:ptCount val="1"/>
                <c:pt idx="0">
                  <c:v>Average of reading 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GenderSubjectAnalysis!$A$4:$A$6</c:f>
              <c:strCache>
                <c:ptCount val="2"/>
                <c:pt idx="0">
                  <c:v>female</c:v>
                </c:pt>
                <c:pt idx="1">
                  <c:v>male</c:v>
                </c:pt>
              </c:strCache>
            </c:strRef>
          </c:cat>
          <c:val>
            <c:numRef>
              <c:f>GenderSubjectAnalysis!$C$4:$C$6</c:f>
              <c:numCache>
                <c:formatCode>General</c:formatCode>
                <c:ptCount val="2"/>
                <c:pt idx="0">
                  <c:v>72.608108108108112</c:v>
                </c:pt>
                <c:pt idx="1">
                  <c:v>65.473029045643159</c:v>
                </c:pt>
              </c:numCache>
            </c:numRef>
          </c:val>
          <c:extLst>
            <c:ext xmlns:c16="http://schemas.microsoft.com/office/drawing/2014/chart" uri="{C3380CC4-5D6E-409C-BE32-E72D297353CC}">
              <c16:uniqueId val="{00000001-0F79-40E8-A04A-CFDA16FF796B}"/>
            </c:ext>
          </c:extLst>
        </c:ser>
        <c:ser>
          <c:idx val="2"/>
          <c:order val="2"/>
          <c:tx>
            <c:strRef>
              <c:f>GenderSubjectAnalysis!$D$3</c:f>
              <c:strCache>
                <c:ptCount val="1"/>
                <c:pt idx="0">
                  <c:v>Average of writing 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GenderSubjectAnalysis!$A$4:$A$6</c:f>
              <c:strCache>
                <c:ptCount val="2"/>
                <c:pt idx="0">
                  <c:v>female</c:v>
                </c:pt>
                <c:pt idx="1">
                  <c:v>male</c:v>
                </c:pt>
              </c:strCache>
            </c:strRef>
          </c:cat>
          <c:val>
            <c:numRef>
              <c:f>GenderSubjectAnalysis!$D$4:$D$6</c:f>
              <c:numCache>
                <c:formatCode>General</c:formatCode>
                <c:ptCount val="2"/>
                <c:pt idx="0">
                  <c:v>72.467181467181462</c:v>
                </c:pt>
                <c:pt idx="1">
                  <c:v>63.311203319502077</c:v>
                </c:pt>
              </c:numCache>
            </c:numRef>
          </c:val>
          <c:extLst>
            <c:ext xmlns:c16="http://schemas.microsoft.com/office/drawing/2014/chart" uri="{C3380CC4-5D6E-409C-BE32-E72D297353CC}">
              <c16:uniqueId val="{00000002-0F79-40E8-A04A-CFDA16FF796B}"/>
            </c:ext>
          </c:extLst>
        </c:ser>
        <c:dLbls>
          <c:showLegendKey val="0"/>
          <c:showVal val="0"/>
          <c:showCatName val="0"/>
          <c:showSerName val="0"/>
          <c:showPercent val="0"/>
          <c:showBubbleSize val="0"/>
        </c:dLbls>
        <c:gapWidth val="100"/>
        <c:overlap val="-24"/>
        <c:axId val="1407212848"/>
        <c:axId val="1407209968"/>
      </c:barChart>
      <c:catAx>
        <c:axId val="14072128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209968"/>
        <c:crosses val="autoZero"/>
        <c:auto val="1"/>
        <c:lblAlgn val="ctr"/>
        <c:lblOffset val="100"/>
        <c:noMultiLvlLbl val="0"/>
      </c:catAx>
      <c:valAx>
        <c:axId val="1407209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21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[StudentsPerformance.xlsx]PerformanceCategoryAnalysis!PivotTable9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Category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PerformanceCategoryAnalysis!$B$3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A77-49B0-9A19-66F78E69AF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77-49B0-9A19-66F78E69AF4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A77-49B0-9A19-66F78E69AF4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A77-49B0-9A19-66F78E69AF4E}"/>
              </c:ext>
            </c:extLst>
          </c:dPt>
          <c:cat>
            <c:strRef>
              <c:f>PerformanceCategoryAnalysis!$A$4:$A$8</c:f>
              <c:strCache>
                <c:ptCount val="4"/>
                <c:pt idx="0">
                  <c:v>Advanced</c:v>
                </c:pt>
                <c:pt idx="1">
                  <c:v>Basic</c:v>
                </c:pt>
                <c:pt idx="2">
                  <c:v>Intermediate</c:v>
                </c:pt>
                <c:pt idx="3">
                  <c:v>Needs Help</c:v>
                </c:pt>
              </c:strCache>
            </c:strRef>
          </c:cat>
          <c:val>
            <c:numRef>
              <c:f>PerformanceCategoryAnalysis!$B$4:$B$8</c:f>
              <c:numCache>
                <c:formatCode>General</c:formatCode>
                <c:ptCount val="4"/>
                <c:pt idx="0">
                  <c:v>116</c:v>
                </c:pt>
                <c:pt idx="1">
                  <c:v>256</c:v>
                </c:pt>
                <c:pt idx="2">
                  <c:v>343</c:v>
                </c:pt>
                <c:pt idx="3">
                  <c:v>285</c:v>
                </c:pt>
              </c:numCache>
            </c:numRef>
          </c:val>
          <c:extLst>
            <c:ext xmlns:c16="http://schemas.microsoft.com/office/drawing/2014/chart" uri="{C3380CC4-5D6E-409C-BE32-E72D297353CC}">
              <c16:uniqueId val="{00000000-3248-43AA-9B4A-7CF5EDD793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[StudentsPerformance.xlsx]ParentPassRateAnalysis!PivotTable11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Pass Count by Parental Education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ParentPassRateAnalysis!$B$3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5F3-4546-9BE3-233ADFAC175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5F3-4546-9BE3-233ADFAC175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5F3-4546-9BE3-233ADFAC175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5F3-4546-9BE3-233ADFAC175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5F3-4546-9BE3-233ADFAC175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5F3-4546-9BE3-233ADFAC1750}"/>
              </c:ext>
            </c:extLst>
          </c:dPt>
          <c:cat>
            <c:strRef>
              <c:f>ParentPassRateAnalysis!$A$4:$A$10</c:f>
              <c:strCache>
                <c:ptCount val="6"/>
                <c:pt idx="0">
                  <c:v>associate's degree</c:v>
                </c:pt>
                <c:pt idx="1">
                  <c:v>bachelor's degree</c:v>
                </c:pt>
                <c:pt idx="2">
                  <c:v>high school</c:v>
                </c:pt>
                <c:pt idx="3">
                  <c:v>master's degree</c:v>
                </c:pt>
                <c:pt idx="4">
                  <c:v>some college</c:v>
                </c:pt>
                <c:pt idx="5">
                  <c:v>some high school</c:v>
                </c:pt>
              </c:strCache>
            </c:strRef>
          </c:cat>
          <c:val>
            <c:numRef>
              <c:f>ParentPassRateAnalysis!$B$4:$B$10</c:f>
              <c:numCache>
                <c:formatCode>General</c:formatCode>
                <c:ptCount val="6"/>
                <c:pt idx="0">
                  <c:v>59</c:v>
                </c:pt>
                <c:pt idx="1">
                  <c:v>21</c:v>
                </c:pt>
                <c:pt idx="2">
                  <c:v>76</c:v>
                </c:pt>
                <c:pt idx="3">
                  <c:v>10</c:v>
                </c:pt>
                <c:pt idx="4">
                  <c:v>55</c:v>
                </c:pt>
                <c:pt idx="5">
                  <c:v>64</c:v>
                </c:pt>
              </c:numCache>
            </c:numRef>
          </c:val>
          <c:extLst>
            <c:ext xmlns:c16="http://schemas.microsoft.com/office/drawing/2014/chart" uri="{C3380CC4-5D6E-409C-BE32-E72D297353CC}">
              <c16:uniqueId val="{00000000-CAE6-43E5-AE75-1189BE8C975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[StudentsPerformance.xlsx]TestPrepAnalysis!PivotTable2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score by Test Preparation Course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TestPrepAnalysis!$B$3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TestPrepAnalysis!$A$4:$A$6</c:f>
              <c:strCache>
                <c:ptCount val="2"/>
                <c:pt idx="0">
                  <c:v>completed</c:v>
                </c:pt>
                <c:pt idx="1">
                  <c:v>none</c:v>
                </c:pt>
              </c:strCache>
            </c:strRef>
          </c:cat>
          <c:val>
            <c:numRef>
              <c:f>TestPrepAnalysis!$B$4:$B$6</c:f>
              <c:numCache>
                <c:formatCode>General</c:formatCode>
                <c:ptCount val="2"/>
                <c:pt idx="0">
                  <c:v>72.669459962756051</c:v>
                </c:pt>
                <c:pt idx="1">
                  <c:v>65.038940809968878</c:v>
                </c:pt>
              </c:numCache>
            </c:numRef>
          </c:val>
          <c:extLst>
            <c:ext xmlns:c16="http://schemas.microsoft.com/office/drawing/2014/chart" uri="{C3380CC4-5D6E-409C-BE32-E72D297353CC}">
              <c16:uniqueId val="{00000000-633A-4D85-ABDE-D6D02B2D7161}"/>
            </c:ext>
          </c:extLst>
        </c:ser>
        <c:dLbls>
          <c:dLblPos val="outEnd"/>
          <c:showLegendKey val="0"/>
          <c:showVal val="1"/>
          <c:showCatName val="0"/>
          <c:showSerName val="0"/>
          <c:showPercent val="0"/>
          <c:showBubbleSize val="0"/>
        </c:dLbls>
        <c:gapWidth val="100"/>
        <c:overlap val="-24"/>
        <c:axId val="1283988000"/>
        <c:axId val="1283996640"/>
      </c:barChart>
      <c:catAx>
        <c:axId val="1283988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3996640"/>
        <c:crosses val="autoZero"/>
        <c:auto val="1"/>
        <c:lblAlgn val="ctr"/>
        <c:lblOffset val="100"/>
        <c:noMultiLvlLbl val="0"/>
      </c:catAx>
      <c:valAx>
        <c:axId val="1283996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398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[StudentsPerformance.xlsx]ParentEduAnalysis!PivotTable3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Score by Parental Education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ParentEduAnalysis!$B$3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ParentEduAnalysis!$A$4:$A$10</c:f>
              <c:strCache>
                <c:ptCount val="6"/>
                <c:pt idx="0">
                  <c:v>associate's degree</c:v>
                </c:pt>
                <c:pt idx="1">
                  <c:v>bachelor's degree</c:v>
                </c:pt>
                <c:pt idx="2">
                  <c:v>high school</c:v>
                </c:pt>
                <c:pt idx="3">
                  <c:v>master's degree</c:v>
                </c:pt>
                <c:pt idx="4">
                  <c:v>some college</c:v>
                </c:pt>
                <c:pt idx="5">
                  <c:v>some high school</c:v>
                </c:pt>
              </c:strCache>
            </c:strRef>
          </c:cat>
          <c:val>
            <c:numRef>
              <c:f>ParentEduAnalysis!$B$4:$B$10</c:f>
              <c:numCache>
                <c:formatCode>General</c:formatCode>
                <c:ptCount val="6"/>
                <c:pt idx="0">
                  <c:v>69.569069069069073</c:v>
                </c:pt>
                <c:pt idx="1">
                  <c:v>71.923728813559308</c:v>
                </c:pt>
                <c:pt idx="2">
                  <c:v>63.09693877551021</c:v>
                </c:pt>
                <c:pt idx="3">
                  <c:v>73.598870056497177</c:v>
                </c:pt>
                <c:pt idx="4">
                  <c:v>68.476401179940993</c:v>
                </c:pt>
                <c:pt idx="5">
                  <c:v>65.108007448789607</c:v>
                </c:pt>
              </c:numCache>
            </c:numRef>
          </c:val>
          <c:extLst>
            <c:ext xmlns:c16="http://schemas.microsoft.com/office/drawing/2014/chart" uri="{C3380CC4-5D6E-409C-BE32-E72D297353CC}">
              <c16:uniqueId val="{00000000-7694-45A4-A476-EDB913E22DF4}"/>
            </c:ext>
          </c:extLst>
        </c:ser>
        <c:dLbls>
          <c:showLegendKey val="0"/>
          <c:showVal val="0"/>
          <c:showCatName val="0"/>
          <c:showSerName val="0"/>
          <c:showPercent val="0"/>
          <c:showBubbleSize val="0"/>
        </c:dLbls>
        <c:gapWidth val="100"/>
        <c:overlap val="-24"/>
        <c:axId val="1339915424"/>
        <c:axId val="1339913504"/>
      </c:barChart>
      <c:catAx>
        <c:axId val="1339915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913504"/>
        <c:crosses val="autoZero"/>
        <c:auto val="1"/>
        <c:lblAlgn val="ctr"/>
        <c:lblOffset val="100"/>
        <c:noMultiLvlLbl val="0"/>
      </c:catAx>
      <c:valAx>
        <c:axId val="1339913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91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[StudentsPerformance.xlsx]GenderPassAnalysis!PivotTable4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Pass Count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GenderPassAnalysis!$B$3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GenderPassAnalysis!$A$4:$A$6</c:f>
              <c:strCache>
                <c:ptCount val="2"/>
                <c:pt idx="0">
                  <c:v>female</c:v>
                </c:pt>
                <c:pt idx="1">
                  <c:v>male</c:v>
                </c:pt>
              </c:strCache>
            </c:strRef>
          </c:cat>
          <c:val>
            <c:numRef>
              <c:f>GenderPassAnalysis!$B$4:$B$6</c:f>
              <c:numCache>
                <c:formatCode>General</c:formatCode>
                <c:ptCount val="2"/>
                <c:pt idx="0">
                  <c:v>394</c:v>
                </c:pt>
                <c:pt idx="1">
                  <c:v>321</c:v>
                </c:pt>
              </c:numCache>
            </c:numRef>
          </c:val>
          <c:extLst>
            <c:ext xmlns:c16="http://schemas.microsoft.com/office/drawing/2014/chart" uri="{C3380CC4-5D6E-409C-BE32-E72D297353CC}">
              <c16:uniqueId val="{00000000-7CE0-4899-8E15-4101B463313C}"/>
            </c:ext>
          </c:extLst>
        </c:ser>
        <c:dLbls>
          <c:showLegendKey val="0"/>
          <c:showVal val="0"/>
          <c:showCatName val="0"/>
          <c:showSerName val="0"/>
          <c:showPercent val="0"/>
          <c:showBubbleSize val="0"/>
        </c:dLbls>
        <c:gapWidth val="100"/>
        <c:overlap val="-24"/>
        <c:axId val="1286247392"/>
        <c:axId val="1286246912"/>
      </c:barChart>
      <c:catAx>
        <c:axId val="1286247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6246912"/>
        <c:crosses val="autoZero"/>
        <c:auto val="1"/>
        <c:lblAlgn val="ctr"/>
        <c:lblOffset val="100"/>
        <c:noMultiLvlLbl val="0"/>
      </c:catAx>
      <c:valAx>
        <c:axId val="1286246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624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[StudentsPerformance.xlsx]RaceEthnicityAnalysis!PivotTable6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Score by Race/Ethnicity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RaceEthnicityAnalysis!$B$3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RaceEthnicityAnalysis!$A$4:$A$9</c:f>
              <c:strCache>
                <c:ptCount val="5"/>
                <c:pt idx="0">
                  <c:v>group A</c:v>
                </c:pt>
                <c:pt idx="1">
                  <c:v>group B</c:v>
                </c:pt>
                <c:pt idx="2">
                  <c:v>group C</c:v>
                </c:pt>
                <c:pt idx="3">
                  <c:v>group D</c:v>
                </c:pt>
                <c:pt idx="4">
                  <c:v>group E</c:v>
                </c:pt>
              </c:strCache>
            </c:strRef>
          </c:cat>
          <c:val>
            <c:numRef>
              <c:f>RaceEthnicityAnalysis!$B$4:$B$9</c:f>
              <c:numCache>
                <c:formatCode>General</c:formatCode>
                <c:ptCount val="5"/>
                <c:pt idx="0">
                  <c:v>62.992509363295866</c:v>
                </c:pt>
                <c:pt idx="1">
                  <c:v>65.468421052631555</c:v>
                </c:pt>
                <c:pt idx="2">
                  <c:v>67.131661442006276</c:v>
                </c:pt>
                <c:pt idx="3">
                  <c:v>69.179389312977051</c:v>
                </c:pt>
                <c:pt idx="4">
                  <c:v>72.752380952380975</c:v>
                </c:pt>
              </c:numCache>
            </c:numRef>
          </c:val>
          <c:extLst>
            <c:ext xmlns:c16="http://schemas.microsoft.com/office/drawing/2014/chart" uri="{C3380CC4-5D6E-409C-BE32-E72D297353CC}">
              <c16:uniqueId val="{00000000-9E23-481C-B52B-BEB457A08E50}"/>
            </c:ext>
          </c:extLst>
        </c:ser>
        <c:dLbls>
          <c:showLegendKey val="0"/>
          <c:showVal val="0"/>
          <c:showCatName val="0"/>
          <c:showSerName val="0"/>
          <c:showPercent val="0"/>
          <c:showBubbleSize val="0"/>
        </c:dLbls>
        <c:gapWidth val="100"/>
        <c:overlap val="-24"/>
        <c:axId val="1355866224"/>
        <c:axId val="1355868624"/>
      </c:barChart>
      <c:catAx>
        <c:axId val="1355866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868624"/>
        <c:crosses val="autoZero"/>
        <c:auto val="1"/>
        <c:lblAlgn val="ctr"/>
        <c:lblOffset val="100"/>
        <c:noMultiLvlLbl val="0"/>
      </c:catAx>
      <c:valAx>
        <c:axId val="135586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86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[StudentsPerformance.xlsx]LunchTypeAnalysis!PivotTable7</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by Lunch</a:t>
            </a:r>
            <a:r>
              <a:rPr lang="en-US" baseline="0"/>
              <a:t>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717760279965005"/>
          <c:y val="0.27717373869932921"/>
          <c:w val="0.41147353455818025"/>
          <c:h val="0.68578922426363376"/>
        </c:manualLayout>
      </c:layout>
      <c:pieChart>
        <c:varyColors val="1"/>
        <c:ser>
          <c:idx val="0"/>
          <c:order val="0"/>
          <c:tx>
            <c:strRef>
              <c:f>LunchTypeAnalysis!$B$3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F56-4DAF-A609-0D8DD1C4A3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6-4DAF-A609-0D8DD1C4A32E}"/>
              </c:ext>
            </c:extLst>
          </c:dPt>
          <c:cat>
            <c:strRef>
              <c:f>LunchTypeAnalysis!$A$4:$A$6</c:f>
              <c:strCache>
                <c:ptCount val="2"/>
                <c:pt idx="0">
                  <c:v>free/reduced</c:v>
                </c:pt>
                <c:pt idx="1">
                  <c:v>standard</c:v>
                </c:pt>
              </c:strCache>
            </c:strRef>
          </c:cat>
          <c:val>
            <c:numRef>
              <c:f>LunchTypeAnalysis!$B$4:$B$6</c:f>
              <c:numCache>
                <c:formatCode>General</c:formatCode>
                <c:ptCount val="2"/>
                <c:pt idx="0">
                  <c:v>355</c:v>
                </c:pt>
                <c:pt idx="1">
                  <c:v>645</c:v>
                </c:pt>
              </c:numCache>
            </c:numRef>
          </c:val>
          <c:extLst>
            <c:ext xmlns:c16="http://schemas.microsoft.com/office/drawing/2014/chart" uri="{C3380CC4-5D6E-409C-BE32-E72D297353CC}">
              <c16:uniqueId val="{00000004-1F56-4DAF-A609-0D8DD1C4A3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[StudentsPerformance.xlsx]SubjectComparison!PivotTable8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Subject Score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SubjectComparison!$B$3</c:f>
              <c:strCache>
                <c:ptCount val="1"/>
                <c:pt idx="0">
                  <c:v>Average of math 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SubjectComparison!$A$4:$A$6</c:f>
              <c:strCache>
                <c:ptCount val="2"/>
                <c:pt idx="0">
                  <c:v>female</c:v>
                </c:pt>
                <c:pt idx="1">
                  <c:v>male</c:v>
                </c:pt>
              </c:strCache>
            </c:strRef>
          </c:cat>
          <c:val>
            <c:numRef>
              <c:f>SubjectComparison!$B$4:$B$6</c:f>
              <c:numCache>
                <c:formatCode>General</c:formatCode>
                <c:ptCount val="2"/>
                <c:pt idx="0">
                  <c:v>63.633204633204635</c:v>
                </c:pt>
                <c:pt idx="1">
                  <c:v>68.72821576763485</c:v>
                </c:pt>
              </c:numCache>
            </c:numRef>
          </c:val>
          <c:extLst>
            <c:ext xmlns:c16="http://schemas.microsoft.com/office/drawing/2014/chart" uri="{C3380CC4-5D6E-409C-BE32-E72D297353CC}">
              <c16:uniqueId val="{00000000-A1A1-42A5-9325-AFFB4F723D2F}"/>
            </c:ext>
          </c:extLst>
        </c:ser>
        <c:ser>
          <c:idx val="1"/>
          <c:order val="1"/>
          <c:tx>
            <c:strRef>
              <c:f>SubjectComparison!$C$3</c:f>
              <c:strCache>
                <c:ptCount val="1"/>
                <c:pt idx="0">
                  <c:v>Average of reading 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SubjectComparison!$A$4:$A$6</c:f>
              <c:strCache>
                <c:ptCount val="2"/>
                <c:pt idx="0">
                  <c:v>female</c:v>
                </c:pt>
                <c:pt idx="1">
                  <c:v>male</c:v>
                </c:pt>
              </c:strCache>
            </c:strRef>
          </c:cat>
          <c:val>
            <c:numRef>
              <c:f>SubjectComparison!$C$4:$C$6</c:f>
              <c:numCache>
                <c:formatCode>General</c:formatCode>
                <c:ptCount val="2"/>
                <c:pt idx="0">
                  <c:v>72.608108108108112</c:v>
                </c:pt>
                <c:pt idx="1">
                  <c:v>65.473029045643159</c:v>
                </c:pt>
              </c:numCache>
            </c:numRef>
          </c:val>
          <c:extLst>
            <c:ext xmlns:c16="http://schemas.microsoft.com/office/drawing/2014/chart" uri="{C3380CC4-5D6E-409C-BE32-E72D297353CC}">
              <c16:uniqueId val="{00000001-A1A1-42A5-9325-AFFB4F723D2F}"/>
            </c:ext>
          </c:extLst>
        </c:ser>
        <c:ser>
          <c:idx val="2"/>
          <c:order val="2"/>
          <c:tx>
            <c:strRef>
              <c:f>SubjectComparison!$D$3</c:f>
              <c:strCache>
                <c:ptCount val="1"/>
                <c:pt idx="0">
                  <c:v>Average of writing 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SubjectComparison!$A$4:$A$6</c:f>
              <c:strCache>
                <c:ptCount val="2"/>
                <c:pt idx="0">
                  <c:v>female</c:v>
                </c:pt>
                <c:pt idx="1">
                  <c:v>male</c:v>
                </c:pt>
              </c:strCache>
            </c:strRef>
          </c:cat>
          <c:val>
            <c:numRef>
              <c:f>SubjectComparison!$D$4:$D$6</c:f>
              <c:numCache>
                <c:formatCode>General</c:formatCode>
                <c:ptCount val="2"/>
                <c:pt idx="0">
                  <c:v>72.467181467181462</c:v>
                </c:pt>
                <c:pt idx="1">
                  <c:v>63.311203319502077</c:v>
                </c:pt>
              </c:numCache>
            </c:numRef>
          </c:val>
          <c:extLst>
            <c:ext xmlns:c16="http://schemas.microsoft.com/office/drawing/2014/chart" uri="{C3380CC4-5D6E-409C-BE32-E72D297353CC}">
              <c16:uniqueId val="{00000002-A1A1-42A5-9325-AFFB4F723D2F}"/>
            </c:ext>
          </c:extLst>
        </c:ser>
        <c:dLbls>
          <c:showLegendKey val="0"/>
          <c:showVal val="0"/>
          <c:showCatName val="0"/>
          <c:showSerName val="0"/>
          <c:showPercent val="0"/>
          <c:showBubbleSize val="0"/>
        </c:dLbls>
        <c:gapWidth val="100"/>
        <c:overlap val="-24"/>
        <c:axId val="1355048896"/>
        <c:axId val="1349900432"/>
      </c:barChart>
      <c:catAx>
        <c:axId val="1355048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9900432"/>
        <c:crosses val="autoZero"/>
        <c:auto val="1"/>
        <c:lblAlgn val="ctr"/>
        <c:lblOffset val="100"/>
        <c:noMultiLvlLbl val="0"/>
      </c:catAx>
      <c:valAx>
        <c:axId val="1349900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04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[StudentsPerformance.xlsx]GenderSubjectAnalysis!PivotTable10</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Subject Scores by Gender</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GenderSubjectAnalysis!$B$3</c:f>
              <c:strCache>
                <c:ptCount val="1"/>
                <c:pt idx="0">
                  <c:v>Average of math 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GenderSubjectAnalysis!$A$4:$A$6</c:f>
              <c:strCache>
                <c:ptCount val="2"/>
                <c:pt idx="0">
                  <c:v>female</c:v>
                </c:pt>
                <c:pt idx="1">
                  <c:v>male</c:v>
                </c:pt>
              </c:strCache>
            </c:strRef>
          </c:cat>
          <c:val>
            <c:numRef>
              <c:f>GenderSubjectAnalysis!$B$4:$B$6</c:f>
              <c:numCache>
                <c:formatCode>General</c:formatCode>
                <c:ptCount val="2"/>
                <c:pt idx="0">
                  <c:v>63.633204633204635</c:v>
                </c:pt>
                <c:pt idx="1">
                  <c:v>68.72821576763485</c:v>
                </c:pt>
              </c:numCache>
            </c:numRef>
          </c:val>
          <c:extLst>
            <c:ext xmlns:c16="http://schemas.microsoft.com/office/drawing/2014/chart" uri="{C3380CC4-5D6E-409C-BE32-E72D297353CC}">
              <c16:uniqueId val="{00000000-63ED-4DA5-ABD6-B64DB983D37E}"/>
            </c:ext>
          </c:extLst>
        </c:ser>
        <c:ser>
          <c:idx val="1"/>
          <c:order val="1"/>
          <c:tx>
            <c:strRef>
              <c:f>GenderSubjectAnalysis!$C$3</c:f>
              <c:strCache>
                <c:ptCount val="1"/>
                <c:pt idx="0">
                  <c:v>Average of reading 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GenderSubjectAnalysis!$A$4:$A$6</c:f>
              <c:strCache>
                <c:ptCount val="2"/>
                <c:pt idx="0">
                  <c:v>female</c:v>
                </c:pt>
                <c:pt idx="1">
                  <c:v>male</c:v>
                </c:pt>
              </c:strCache>
            </c:strRef>
          </c:cat>
          <c:val>
            <c:numRef>
              <c:f>GenderSubjectAnalysis!$C$4:$C$6</c:f>
              <c:numCache>
                <c:formatCode>General</c:formatCode>
                <c:ptCount val="2"/>
                <c:pt idx="0">
                  <c:v>72.608108108108112</c:v>
                </c:pt>
                <c:pt idx="1">
                  <c:v>65.473029045643159</c:v>
                </c:pt>
              </c:numCache>
            </c:numRef>
          </c:val>
          <c:extLst>
            <c:ext xmlns:c16="http://schemas.microsoft.com/office/drawing/2014/chart" uri="{C3380CC4-5D6E-409C-BE32-E72D297353CC}">
              <c16:uniqueId val="{00000001-63ED-4DA5-ABD6-B64DB983D37E}"/>
            </c:ext>
          </c:extLst>
        </c:ser>
        <c:ser>
          <c:idx val="2"/>
          <c:order val="2"/>
          <c:tx>
            <c:strRef>
              <c:f>GenderSubjectAnalysis!$D$3</c:f>
              <c:strCache>
                <c:ptCount val="1"/>
                <c:pt idx="0">
                  <c:v>Average of writing 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GenderSubjectAnalysis!$A$4:$A$6</c:f>
              <c:strCache>
                <c:ptCount val="2"/>
                <c:pt idx="0">
                  <c:v>female</c:v>
                </c:pt>
                <c:pt idx="1">
                  <c:v>male</c:v>
                </c:pt>
              </c:strCache>
            </c:strRef>
          </c:cat>
          <c:val>
            <c:numRef>
              <c:f>GenderSubjectAnalysis!$D$4:$D$6</c:f>
              <c:numCache>
                <c:formatCode>General</c:formatCode>
                <c:ptCount val="2"/>
                <c:pt idx="0">
                  <c:v>72.467181467181462</c:v>
                </c:pt>
                <c:pt idx="1">
                  <c:v>63.311203319502077</c:v>
                </c:pt>
              </c:numCache>
            </c:numRef>
          </c:val>
          <c:extLst>
            <c:ext xmlns:c16="http://schemas.microsoft.com/office/drawing/2014/chart" uri="{C3380CC4-5D6E-409C-BE32-E72D297353CC}">
              <c16:uniqueId val="{00000002-63ED-4DA5-ABD6-B64DB983D37E}"/>
            </c:ext>
          </c:extLst>
        </c:ser>
        <c:dLbls>
          <c:showLegendKey val="0"/>
          <c:showVal val="0"/>
          <c:showCatName val="0"/>
          <c:showSerName val="0"/>
          <c:showPercent val="0"/>
          <c:showBubbleSize val="0"/>
        </c:dLbls>
        <c:gapWidth val="100"/>
        <c:overlap val="-24"/>
        <c:axId val="1407212848"/>
        <c:axId val="1407209968"/>
      </c:barChart>
      <c:catAx>
        <c:axId val="14072128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209968"/>
        <c:crosses val="autoZero"/>
        <c:auto val="1"/>
        <c:lblAlgn val="ctr"/>
        <c:lblOffset val="100"/>
        <c:noMultiLvlLbl val="0"/>
      </c:catAx>
      <c:valAx>
        <c:axId val="1407209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21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[StudentsPerformance.xlsx]PerformanceCategoryAnalysis!PivotTable9</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Category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PerformanceCategoryAnalysis!$B$3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02-456A-B266-74D97C4EBDF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02-456A-B266-74D97C4EBDF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202-456A-B266-74D97C4EBDF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202-456A-B266-74D97C4EBDF4}"/>
              </c:ext>
            </c:extLst>
          </c:dPt>
          <c:cat>
            <c:strRef>
              <c:f>PerformanceCategoryAnalysis!$A$4:$A$8</c:f>
              <c:strCache>
                <c:ptCount val="4"/>
                <c:pt idx="0">
                  <c:v>Advanced</c:v>
                </c:pt>
                <c:pt idx="1">
                  <c:v>Basic</c:v>
                </c:pt>
                <c:pt idx="2">
                  <c:v>Intermediate</c:v>
                </c:pt>
                <c:pt idx="3">
                  <c:v>Needs Help</c:v>
                </c:pt>
              </c:strCache>
            </c:strRef>
          </c:cat>
          <c:val>
            <c:numRef>
              <c:f>PerformanceCategoryAnalysis!$B$4:$B$8</c:f>
              <c:numCache>
                <c:formatCode>General</c:formatCode>
                <c:ptCount val="4"/>
                <c:pt idx="0">
                  <c:v>116</c:v>
                </c:pt>
                <c:pt idx="1">
                  <c:v>256</c:v>
                </c:pt>
                <c:pt idx="2">
                  <c:v>343</c:v>
                </c:pt>
                <c:pt idx="3">
                  <c:v>285</c:v>
                </c:pt>
              </c:numCache>
            </c:numRef>
          </c:val>
          <c:extLst>
            <c:ext xmlns:c16="http://schemas.microsoft.com/office/drawing/2014/chart" uri="{C3380CC4-5D6E-409C-BE32-E72D297353CC}">
              <c16:uniqueId val="{00000008-D202-456A-B266-74D97C4EBD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[StudentsPerformance.xlsx]ParentPassRateAnalysis!PivotTable11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Pass Count by Parental Education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090230063521185E-2"/>
          <c:y val="0.27161953874427808"/>
          <c:w val="0.62923597645230678"/>
          <c:h val="0.67374301261806269"/>
        </c:manualLayout>
      </c:layout>
      <c:pie3DChart>
        <c:varyColors val="1"/>
        <c:ser>
          <c:idx val="0"/>
          <c:order val="0"/>
          <c:tx>
            <c:strRef>
              <c:f>ParentPassRateAnalysis!$B$3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FDF-4CBE-82DC-B53781F3099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FDF-4CBE-82DC-B53781F3099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FDF-4CBE-82DC-B53781F3099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FDF-4CBE-82DC-B53781F3099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FDF-4CBE-82DC-B53781F3099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EFDF-4CBE-82DC-B53781F30991}"/>
              </c:ext>
            </c:extLst>
          </c:dPt>
          <c:cat>
            <c:strRef>
              <c:f>ParentPassRateAnalysis!$A$4:$A$10</c:f>
              <c:strCache>
                <c:ptCount val="6"/>
                <c:pt idx="0">
                  <c:v>associate's degree</c:v>
                </c:pt>
                <c:pt idx="1">
                  <c:v>bachelor's degree</c:v>
                </c:pt>
                <c:pt idx="2">
                  <c:v>high school</c:v>
                </c:pt>
                <c:pt idx="3">
                  <c:v>master's degree</c:v>
                </c:pt>
                <c:pt idx="4">
                  <c:v>some college</c:v>
                </c:pt>
                <c:pt idx="5">
                  <c:v>some high school</c:v>
                </c:pt>
              </c:strCache>
            </c:strRef>
          </c:cat>
          <c:val>
            <c:numRef>
              <c:f>ParentPassRateAnalysis!$B$4:$B$10</c:f>
              <c:numCache>
                <c:formatCode>General</c:formatCode>
                <c:ptCount val="6"/>
                <c:pt idx="0">
                  <c:v>59</c:v>
                </c:pt>
                <c:pt idx="1">
                  <c:v>21</c:v>
                </c:pt>
                <c:pt idx="2">
                  <c:v>76</c:v>
                </c:pt>
                <c:pt idx="3">
                  <c:v>10</c:v>
                </c:pt>
                <c:pt idx="4">
                  <c:v>55</c:v>
                </c:pt>
                <c:pt idx="5">
                  <c:v>64</c:v>
                </c:pt>
              </c:numCache>
            </c:numRef>
          </c:val>
          <c:extLst>
            <c:ext xmlns:c16="http://schemas.microsoft.com/office/drawing/2014/chart" uri="{C3380CC4-5D6E-409C-BE32-E72D297353CC}">
              <c16:uniqueId val="{0000000C-EFDF-4CBE-82DC-B53781F3099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320040</xdr:colOff>
      <xdr:row>1</xdr:row>
      <xdr:rowOff>140970</xdr:rowOff>
    </xdr:from>
    <xdr:to>
      <xdr:col>10</xdr:col>
      <xdr:colOff>15240</xdr:colOff>
      <xdr:row>16</xdr:row>
      <xdr:rowOff>140970</xdr:rowOff>
    </xdr:to>
    <xdr:graphicFrame macro="">
      <xdr:nvGraphicFramePr>
        <xdr:cNvPr id="2" name="Chart 1">
          <a:extLst>
            <a:ext uri="{FF2B5EF4-FFF2-40B4-BE49-F238E27FC236}">
              <a16:creationId xmlns:a16="http://schemas.microsoft.com/office/drawing/2014/main" id="{BDD3A15D-BB30-FCE8-D880-3953EF134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19</xdr:row>
      <xdr:rowOff>83820</xdr:rowOff>
    </xdr:from>
    <xdr:to>
      <xdr:col>10</xdr:col>
      <xdr:colOff>510540</xdr:colOff>
      <xdr:row>27</xdr:row>
      <xdr:rowOff>152400</xdr:rowOff>
    </xdr:to>
    <xdr:sp macro="" textlink="">
      <xdr:nvSpPr>
        <xdr:cNvPr id="3" name="Rectangle 2">
          <a:extLst>
            <a:ext uri="{FF2B5EF4-FFF2-40B4-BE49-F238E27FC236}">
              <a16:creationId xmlns:a16="http://schemas.microsoft.com/office/drawing/2014/main" id="{015DE0E7-0E4F-78A9-B3E3-E590A4A67EC8}"/>
            </a:ext>
          </a:extLst>
        </xdr:cNvPr>
        <xdr:cNvSpPr/>
      </xdr:nvSpPr>
      <xdr:spPr>
        <a:xfrm>
          <a:off x="2552700" y="3558540"/>
          <a:ext cx="5158740" cy="15316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Insight:</a:t>
          </a:r>
        </a:p>
        <a:p>
          <a:pPr algn="l"/>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endParaRPr>
        </a:p>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a:t>
          </a:r>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Students who completed the</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test preparation course scored significantly higher.</a:t>
          </a:r>
        </a:p>
        <a:p>
          <a:pPr algn="l"/>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This indicates test preparation improves overall performance</a:t>
          </a:r>
          <a:r>
            <a:rPr lang="en-IN" sz="16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320040</xdr:colOff>
      <xdr:row>0</xdr:row>
      <xdr:rowOff>133350</xdr:rowOff>
    </xdr:from>
    <xdr:to>
      <xdr:col>10</xdr:col>
      <xdr:colOff>15240</xdr:colOff>
      <xdr:row>15</xdr:row>
      <xdr:rowOff>133350</xdr:rowOff>
    </xdr:to>
    <xdr:graphicFrame macro="">
      <xdr:nvGraphicFramePr>
        <xdr:cNvPr id="3" name="Chart 2">
          <a:extLst>
            <a:ext uri="{FF2B5EF4-FFF2-40B4-BE49-F238E27FC236}">
              <a16:creationId xmlns:a16="http://schemas.microsoft.com/office/drawing/2014/main" id="{233987B0-B662-4E0F-C791-ED2F3B9C8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17</xdr:row>
      <xdr:rowOff>129540</xdr:rowOff>
    </xdr:from>
    <xdr:to>
      <xdr:col>11</xdr:col>
      <xdr:colOff>0</xdr:colOff>
      <xdr:row>26</xdr:row>
      <xdr:rowOff>45720</xdr:rowOff>
    </xdr:to>
    <xdr:sp macro="" textlink="">
      <xdr:nvSpPr>
        <xdr:cNvPr id="2" name="Rectangle 1">
          <a:extLst>
            <a:ext uri="{FF2B5EF4-FFF2-40B4-BE49-F238E27FC236}">
              <a16:creationId xmlns:a16="http://schemas.microsoft.com/office/drawing/2014/main" id="{C4F70B20-CC2B-CBEF-2A16-4332CBADA762}"/>
            </a:ext>
          </a:extLst>
        </xdr:cNvPr>
        <xdr:cNvSpPr/>
      </xdr:nvSpPr>
      <xdr:spPr>
        <a:xfrm>
          <a:off x="2682240" y="3238500"/>
          <a:ext cx="5372100" cy="1562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Insight:</a:t>
          </a:r>
        </a:p>
        <a:p>
          <a:pPr algn="l"/>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endParaRPr>
        </a:p>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a:t>
          </a:r>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Students</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whose parents have higher education levels (Masters's, Bachelors's) perform better.</a:t>
          </a:r>
        </a:p>
        <a:p>
          <a:pPr algn="l"/>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This suggests parental education strongly influences student achievement.</a:t>
          </a:r>
          <a:endParaRPr lang="en-IN"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335280</xdr:colOff>
      <xdr:row>1</xdr:row>
      <xdr:rowOff>171450</xdr:rowOff>
    </xdr:from>
    <xdr:to>
      <xdr:col>9</xdr:col>
      <xdr:colOff>83820</xdr:colOff>
      <xdr:row>16</xdr:row>
      <xdr:rowOff>171450</xdr:rowOff>
    </xdr:to>
    <xdr:graphicFrame macro="">
      <xdr:nvGraphicFramePr>
        <xdr:cNvPr id="2" name="Chart 1">
          <a:extLst>
            <a:ext uri="{FF2B5EF4-FFF2-40B4-BE49-F238E27FC236}">
              <a16:creationId xmlns:a16="http://schemas.microsoft.com/office/drawing/2014/main" id="{DCCB73DE-A10A-409A-F170-3C32BA2A8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243840</xdr:colOff>
      <xdr:row>18</xdr:row>
      <xdr:rowOff>137160</xdr:rowOff>
    </xdr:from>
    <xdr:to>
      <xdr:col>9</xdr:col>
      <xdr:colOff>365760</xdr:colOff>
      <xdr:row>26</xdr:row>
      <xdr:rowOff>99060</xdr:rowOff>
    </xdr:to>
    <xdr:sp macro="" textlink="">
      <xdr:nvSpPr>
        <xdr:cNvPr id="3" name="Rectangle 2">
          <a:extLst>
            <a:ext uri="{FF2B5EF4-FFF2-40B4-BE49-F238E27FC236}">
              <a16:creationId xmlns:a16="http://schemas.microsoft.com/office/drawing/2014/main" id="{8440A827-61D0-BFD1-0354-3549599A27A9}"/>
            </a:ext>
          </a:extLst>
        </xdr:cNvPr>
        <xdr:cNvSpPr/>
      </xdr:nvSpPr>
      <xdr:spPr>
        <a:xfrm>
          <a:off x="2194560" y="3429000"/>
          <a:ext cx="4945380" cy="1424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Insight:</a:t>
          </a:r>
        </a:p>
        <a:p>
          <a:pPr algn="l"/>
          <a:endParaRPr lang="en-IN" sz="1600" b="1">
            <a:solidFill>
              <a:schemeClr val="tx1"/>
            </a:solidFill>
          </a:endParaRPr>
        </a:p>
        <a:p>
          <a:pPr algn="l"/>
          <a:r>
            <a:rPr lang="en-IN" sz="1400" b="1">
              <a:solidFill>
                <a:schemeClr val="tx1"/>
              </a:solidFill>
              <a:sym typeface="Wingdings" panose="05000000000000000000" pitchFamily="2" charset="2"/>
            </a:rPr>
            <a:t> Female students have a slightly higher pass count than males.</a:t>
          </a:r>
        </a:p>
        <a:p>
          <a:pPr algn="l"/>
          <a:r>
            <a:rPr lang="en-IN" sz="1400" b="1">
              <a:solidFill>
                <a:schemeClr val="tx1"/>
              </a:solidFill>
              <a:sym typeface="Wingdings" panose="05000000000000000000" pitchFamily="2" charset="2"/>
            </a:rPr>
            <a:t> This</a:t>
          </a:r>
          <a:r>
            <a:rPr lang="en-IN" sz="1400" b="1" baseline="0">
              <a:solidFill>
                <a:schemeClr val="tx1"/>
              </a:solidFill>
              <a:sym typeface="Wingdings" panose="05000000000000000000" pitchFamily="2" charset="2"/>
            </a:rPr>
            <a:t> may indicate stronger consistency in female academic performance.</a:t>
          </a:r>
          <a:endParaRPr lang="en-IN" sz="1400" b="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2</xdr:row>
      <xdr:rowOff>3810</xdr:rowOff>
    </xdr:from>
    <xdr:to>
      <xdr:col>10</xdr:col>
      <xdr:colOff>289560</xdr:colOff>
      <xdr:row>17</xdr:row>
      <xdr:rowOff>3810</xdr:rowOff>
    </xdr:to>
    <xdr:graphicFrame macro="">
      <xdr:nvGraphicFramePr>
        <xdr:cNvPr id="2" name="Chart 1">
          <a:extLst>
            <a:ext uri="{FF2B5EF4-FFF2-40B4-BE49-F238E27FC236}">
              <a16:creationId xmlns:a16="http://schemas.microsoft.com/office/drawing/2014/main" id="{A976260A-7AC7-2DE6-498A-EAFAC543A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18</xdr:row>
      <xdr:rowOff>152400</xdr:rowOff>
    </xdr:from>
    <xdr:to>
      <xdr:col>11</xdr:col>
      <xdr:colOff>434340</xdr:colOff>
      <xdr:row>26</xdr:row>
      <xdr:rowOff>167640</xdr:rowOff>
    </xdr:to>
    <xdr:sp macro="" textlink="">
      <xdr:nvSpPr>
        <xdr:cNvPr id="3" name="Rectangle 2">
          <a:extLst>
            <a:ext uri="{FF2B5EF4-FFF2-40B4-BE49-F238E27FC236}">
              <a16:creationId xmlns:a16="http://schemas.microsoft.com/office/drawing/2014/main" id="{3AA8129B-C93A-EFC1-982D-59978923B86A}"/>
            </a:ext>
          </a:extLst>
        </xdr:cNvPr>
        <xdr:cNvSpPr/>
      </xdr:nvSpPr>
      <xdr:spPr>
        <a:xfrm>
          <a:off x="2400300" y="3444240"/>
          <a:ext cx="5844540" cy="14782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Insight:</a:t>
          </a:r>
        </a:p>
        <a:p>
          <a:pPr algn="l"/>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a:t>
          </a:r>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Groups C, D, and E generally score higher compared to Groups A and B.</a:t>
          </a:r>
        </a:p>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a:t>
          </a:r>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Performance varies significantly across ethnic groups.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396240</xdr:colOff>
      <xdr:row>1</xdr:row>
      <xdr:rowOff>72390</xdr:rowOff>
    </xdr:from>
    <xdr:to>
      <xdr:col>10</xdr:col>
      <xdr:colOff>91440</xdr:colOff>
      <xdr:row>16</xdr:row>
      <xdr:rowOff>72390</xdr:rowOff>
    </xdr:to>
    <xdr:graphicFrame macro="">
      <xdr:nvGraphicFramePr>
        <xdr:cNvPr id="5" name="Chart 4">
          <a:extLst>
            <a:ext uri="{FF2B5EF4-FFF2-40B4-BE49-F238E27FC236}">
              <a16:creationId xmlns:a16="http://schemas.microsoft.com/office/drawing/2014/main" id="{8C27EC83-BD53-5EA3-4447-3B2036BD9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129540</xdr:colOff>
      <xdr:row>18</xdr:row>
      <xdr:rowOff>45720</xdr:rowOff>
    </xdr:from>
    <xdr:to>
      <xdr:col>11</xdr:col>
      <xdr:colOff>106680</xdr:colOff>
      <xdr:row>26</xdr:row>
      <xdr:rowOff>121920</xdr:rowOff>
    </xdr:to>
    <xdr:sp macro="" textlink="">
      <xdr:nvSpPr>
        <xdr:cNvPr id="3" name="Rectangle 2">
          <a:extLst>
            <a:ext uri="{FF2B5EF4-FFF2-40B4-BE49-F238E27FC236}">
              <a16:creationId xmlns:a16="http://schemas.microsoft.com/office/drawing/2014/main" id="{6FDDBD6A-AD6B-E455-D723-165DEB8C7FBD}"/>
            </a:ext>
          </a:extLst>
        </xdr:cNvPr>
        <xdr:cNvSpPr/>
      </xdr:nvSpPr>
      <xdr:spPr>
        <a:xfrm>
          <a:off x="1851660" y="3497580"/>
          <a:ext cx="5463540" cy="16992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Insight:</a:t>
          </a:r>
        </a:p>
        <a:p>
          <a:pPr algn="l"/>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a:t>
          </a:r>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Students with standard lunch perform better than those with free/reduced lunch.</a:t>
          </a:r>
        </a:p>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a:t>
          </a:r>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This may reflect nutritional or socioeconomic differences affecting performance.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236220</xdr:colOff>
      <xdr:row>1</xdr:row>
      <xdr:rowOff>140970</xdr:rowOff>
    </xdr:from>
    <xdr:to>
      <xdr:col>15</xdr:col>
      <xdr:colOff>525780</xdr:colOff>
      <xdr:row>17</xdr:row>
      <xdr:rowOff>15240</xdr:rowOff>
    </xdr:to>
    <xdr:graphicFrame macro="">
      <xdr:nvGraphicFramePr>
        <xdr:cNvPr id="2" name="Chart 1">
          <a:extLst>
            <a:ext uri="{FF2B5EF4-FFF2-40B4-BE49-F238E27FC236}">
              <a16:creationId xmlns:a16="http://schemas.microsoft.com/office/drawing/2014/main" id="{AAE5ADB6-4AC1-5A57-9235-FEBAD5DBD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160020</xdr:colOff>
      <xdr:row>18</xdr:row>
      <xdr:rowOff>106680</xdr:rowOff>
    </xdr:from>
    <xdr:to>
      <xdr:col>11</xdr:col>
      <xdr:colOff>541020</xdr:colOff>
      <xdr:row>27</xdr:row>
      <xdr:rowOff>30480</xdr:rowOff>
    </xdr:to>
    <xdr:sp macro="" textlink="">
      <xdr:nvSpPr>
        <xdr:cNvPr id="3" name="Rectangle 2">
          <a:extLst>
            <a:ext uri="{FF2B5EF4-FFF2-40B4-BE49-F238E27FC236}">
              <a16:creationId xmlns:a16="http://schemas.microsoft.com/office/drawing/2014/main" id="{E057502A-0AA5-C0BF-A329-F26B6ADC0029}"/>
            </a:ext>
          </a:extLst>
        </xdr:cNvPr>
        <xdr:cNvSpPr/>
      </xdr:nvSpPr>
      <xdr:spPr>
        <a:xfrm>
          <a:off x="5189220" y="3398520"/>
          <a:ext cx="4648200" cy="15697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Insight:</a:t>
          </a:r>
        </a:p>
        <a:p>
          <a:pPr algn="l"/>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a:t>
          </a:r>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Females score slightly higher in reading and writing, while males score slightly higher in math.</a:t>
          </a:r>
        </a:p>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a:t>
          </a:r>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This reflects typical subject-wise performance trends.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304800</xdr:colOff>
      <xdr:row>0</xdr:row>
      <xdr:rowOff>0</xdr:rowOff>
    </xdr:from>
    <xdr:to>
      <xdr:col>12</xdr:col>
      <xdr:colOff>441960</xdr:colOff>
      <xdr:row>20</xdr:row>
      <xdr:rowOff>11430</xdr:rowOff>
    </xdr:to>
    <xdr:graphicFrame macro="">
      <xdr:nvGraphicFramePr>
        <xdr:cNvPr id="3" name="Chart 2">
          <a:extLst>
            <a:ext uri="{FF2B5EF4-FFF2-40B4-BE49-F238E27FC236}">
              <a16:creationId xmlns:a16="http://schemas.microsoft.com/office/drawing/2014/main" id="{75C0825E-0A93-7F88-22B7-FF076A004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1394460</xdr:colOff>
      <xdr:row>21</xdr:row>
      <xdr:rowOff>121920</xdr:rowOff>
    </xdr:from>
    <xdr:to>
      <xdr:col>13</xdr:col>
      <xdr:colOff>350520</xdr:colOff>
      <xdr:row>29</xdr:row>
      <xdr:rowOff>68580</xdr:rowOff>
    </xdr:to>
    <xdr:sp macro="" textlink="">
      <xdr:nvSpPr>
        <xdr:cNvPr id="2" name="Rectangle 1">
          <a:extLst>
            <a:ext uri="{FF2B5EF4-FFF2-40B4-BE49-F238E27FC236}">
              <a16:creationId xmlns:a16="http://schemas.microsoft.com/office/drawing/2014/main" id="{732AADCE-ABA9-CA20-67FD-0EA297AAA160}"/>
            </a:ext>
          </a:extLst>
        </xdr:cNvPr>
        <xdr:cNvSpPr/>
      </xdr:nvSpPr>
      <xdr:spPr>
        <a:xfrm>
          <a:off x="5013960" y="3962400"/>
          <a:ext cx="5852160" cy="14097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Insight:</a:t>
          </a:r>
        </a:p>
        <a:p>
          <a:pPr algn="l"/>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Female students outperform Males in reading and</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writing, while Males show slightly higher math averages.</a:t>
          </a:r>
        </a:p>
        <a:p>
          <a:pPr algn="l"/>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This highlights gender-based subject performance differnces.</a:t>
          </a:r>
          <a:endParaRPr lang="en-IN"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533400</xdr:colOff>
      <xdr:row>0</xdr:row>
      <xdr:rowOff>49530</xdr:rowOff>
    </xdr:from>
    <xdr:to>
      <xdr:col>10</xdr:col>
      <xdr:colOff>228600</xdr:colOff>
      <xdr:row>15</xdr:row>
      <xdr:rowOff>49530</xdr:rowOff>
    </xdr:to>
    <xdr:graphicFrame macro="">
      <xdr:nvGraphicFramePr>
        <xdr:cNvPr id="3" name="Chart 2">
          <a:extLst>
            <a:ext uri="{FF2B5EF4-FFF2-40B4-BE49-F238E27FC236}">
              <a16:creationId xmlns:a16="http://schemas.microsoft.com/office/drawing/2014/main" id="{D2F350B5-038E-223A-82CD-ECA66B880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388620</xdr:colOff>
      <xdr:row>17</xdr:row>
      <xdr:rowOff>160020</xdr:rowOff>
    </xdr:from>
    <xdr:to>
      <xdr:col>11</xdr:col>
      <xdr:colOff>388620</xdr:colOff>
      <xdr:row>24</xdr:row>
      <xdr:rowOff>76200</xdr:rowOff>
    </xdr:to>
    <xdr:sp macro="" textlink="">
      <xdr:nvSpPr>
        <xdr:cNvPr id="2" name="Rectangle 1">
          <a:extLst>
            <a:ext uri="{FF2B5EF4-FFF2-40B4-BE49-F238E27FC236}">
              <a16:creationId xmlns:a16="http://schemas.microsoft.com/office/drawing/2014/main" id="{D5C45C38-1D33-58AC-1255-1B8452E4D7AA}"/>
            </a:ext>
          </a:extLst>
        </xdr:cNvPr>
        <xdr:cNvSpPr/>
      </xdr:nvSpPr>
      <xdr:spPr>
        <a:xfrm>
          <a:off x="3063240" y="3268980"/>
          <a:ext cx="5486400" cy="11963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Insight:</a:t>
          </a:r>
        </a:p>
        <a:p>
          <a:pPr algn="l"/>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Most students</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fall into the Intermediate and Needs Help categories.</a:t>
          </a:r>
        </a:p>
        <a:p>
          <a:pPr algn="l"/>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Only a small proportion score in the Advanced Category</a:t>
          </a:r>
          <a:endParaRPr lang="en-IN"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457200</xdr:colOff>
      <xdr:row>1</xdr:row>
      <xdr:rowOff>72390</xdr:rowOff>
    </xdr:from>
    <xdr:to>
      <xdr:col>10</xdr:col>
      <xdr:colOff>152400</xdr:colOff>
      <xdr:row>16</xdr:row>
      <xdr:rowOff>72390</xdr:rowOff>
    </xdr:to>
    <xdr:graphicFrame macro="">
      <xdr:nvGraphicFramePr>
        <xdr:cNvPr id="2" name="Chart 1">
          <a:extLst>
            <a:ext uri="{FF2B5EF4-FFF2-40B4-BE49-F238E27FC236}">
              <a16:creationId xmlns:a16="http://schemas.microsoft.com/office/drawing/2014/main" id="{80FDF410-5454-E390-E919-0A65CC8DB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944880</xdr:colOff>
      <xdr:row>18</xdr:row>
      <xdr:rowOff>144780</xdr:rowOff>
    </xdr:from>
    <xdr:to>
      <xdr:col>12</xdr:col>
      <xdr:colOff>22860</xdr:colOff>
      <xdr:row>25</xdr:row>
      <xdr:rowOff>68580</xdr:rowOff>
    </xdr:to>
    <xdr:sp macro="" textlink="">
      <xdr:nvSpPr>
        <xdr:cNvPr id="3" name="Rectangle 2">
          <a:extLst>
            <a:ext uri="{FF2B5EF4-FFF2-40B4-BE49-F238E27FC236}">
              <a16:creationId xmlns:a16="http://schemas.microsoft.com/office/drawing/2014/main" id="{6967470C-ABD1-B2D0-FAB2-F43B6E0DC35D}"/>
            </a:ext>
          </a:extLst>
        </xdr:cNvPr>
        <xdr:cNvSpPr/>
      </xdr:nvSpPr>
      <xdr:spPr>
        <a:xfrm>
          <a:off x="2042160" y="3436620"/>
          <a:ext cx="6271260" cy="120396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Insight:</a:t>
          </a:r>
        </a:p>
        <a:p>
          <a:pPr algn="l"/>
          <a:endParaRPr lang="en-IN" sz="1400" b="1">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l"/>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Higher parental</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education levels correspond with higher pass counts.</a:t>
          </a:r>
        </a:p>
        <a:p>
          <a:pPr algn="l"/>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sym typeface="Wingdings" panose="05000000000000000000" pitchFamily="2" charset="2"/>
            </a:rPr>
            <a:t> Students with parents holding advanced degrees show the strongest pass rates.</a:t>
          </a:r>
          <a:endParaRPr lang="en-IN" sz="14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5</xdr:row>
      <xdr:rowOff>19188</xdr:rowOff>
    </xdr:from>
    <xdr:to>
      <xdr:col>6</xdr:col>
      <xdr:colOff>241846</xdr:colOff>
      <xdr:row>19</xdr:row>
      <xdr:rowOff>77342</xdr:rowOff>
    </xdr:to>
    <xdr:graphicFrame macro="">
      <xdr:nvGraphicFramePr>
        <xdr:cNvPr id="3" name="Chart 2">
          <a:extLst>
            <a:ext uri="{FF2B5EF4-FFF2-40B4-BE49-F238E27FC236}">
              <a16:creationId xmlns:a16="http://schemas.microsoft.com/office/drawing/2014/main" id="{5AAB7901-FBBC-4AC5-9732-A11B8B99E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374497</xdr:colOff>
      <xdr:row>5</xdr:row>
      <xdr:rowOff>16800</xdr:rowOff>
    </xdr:from>
    <xdr:to>
      <xdr:col>15</xdr:col>
      <xdr:colOff>323266</xdr:colOff>
      <xdr:row>19</xdr:row>
      <xdr:rowOff>74954</xdr:rowOff>
    </xdr:to>
    <xdr:graphicFrame macro="">
      <xdr:nvGraphicFramePr>
        <xdr:cNvPr id="4" name="Chart 3">
          <a:extLst>
            <a:ext uri="{FF2B5EF4-FFF2-40B4-BE49-F238E27FC236}">
              <a16:creationId xmlns:a16="http://schemas.microsoft.com/office/drawing/2014/main" id="{0C55C03B-AFC3-452B-A835-8E78B1863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374497</xdr:colOff>
      <xdr:row>24</xdr:row>
      <xdr:rowOff>60602</xdr:rowOff>
    </xdr:from>
    <xdr:to>
      <xdr:col>15</xdr:col>
      <xdr:colOff>323266</xdr:colOff>
      <xdr:row>38</xdr:row>
      <xdr:rowOff>118756</xdr:rowOff>
    </xdr:to>
    <xdr:graphicFrame macro="">
      <xdr:nvGraphicFramePr>
        <xdr:cNvPr id="5" name="Chart 4">
          <a:extLst>
            <a:ext uri="{FF2B5EF4-FFF2-40B4-BE49-F238E27FC236}">
              <a16:creationId xmlns:a16="http://schemas.microsoft.com/office/drawing/2014/main" id="{80AD8462-4DBD-4BBE-BEE7-DD78ECC7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174432</xdr:rowOff>
    </xdr:from>
    <xdr:to>
      <xdr:col>6</xdr:col>
      <xdr:colOff>241846</xdr:colOff>
      <xdr:row>38</xdr:row>
      <xdr:rowOff>56740</xdr:rowOff>
    </xdr:to>
    <xdr:graphicFrame macro="">
      <xdr:nvGraphicFramePr>
        <xdr:cNvPr id="2" name="Chart 1">
          <a:extLst>
            <a:ext uri="{FF2B5EF4-FFF2-40B4-BE49-F238E27FC236}">
              <a16:creationId xmlns:a16="http://schemas.microsoft.com/office/drawing/2014/main" id="{FF456402-76B3-496B-91A6-63D9A2AA6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149715</xdr:colOff>
      <xdr:row>5</xdr:row>
      <xdr:rowOff>79683</xdr:rowOff>
    </xdr:from>
    <xdr:to>
      <xdr:col>25</xdr:col>
      <xdr:colOff>98484</xdr:colOff>
      <xdr:row>19</xdr:row>
      <xdr:rowOff>137837</xdr:rowOff>
    </xdr:to>
    <xdr:graphicFrame macro="">
      <xdr:nvGraphicFramePr>
        <xdr:cNvPr id="6" name="Chart 5">
          <a:extLst>
            <a:ext uri="{FF2B5EF4-FFF2-40B4-BE49-F238E27FC236}">
              <a16:creationId xmlns:a16="http://schemas.microsoft.com/office/drawing/2014/main" id="{856B9907-66D4-4979-83A4-01A945EA4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44</xdr:row>
      <xdr:rowOff>117230</xdr:rowOff>
    </xdr:from>
    <xdr:to>
      <xdr:col>6</xdr:col>
      <xdr:colOff>241846</xdr:colOff>
      <xdr:row>58</xdr:row>
      <xdr:rowOff>175384</xdr:rowOff>
    </xdr:to>
    <xdr:graphicFrame macro="">
      <xdr:nvGraphicFramePr>
        <xdr:cNvPr id="7" name="Chart 6">
          <a:extLst>
            <a:ext uri="{FF2B5EF4-FFF2-40B4-BE49-F238E27FC236}">
              <a16:creationId xmlns:a16="http://schemas.microsoft.com/office/drawing/2014/main" id="{D0F04C1C-0B6E-48D6-941A-2B9E13CA1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374497</xdr:colOff>
      <xdr:row>44</xdr:row>
      <xdr:rowOff>78153</xdr:rowOff>
    </xdr:from>
    <xdr:to>
      <xdr:col>15</xdr:col>
      <xdr:colOff>323266</xdr:colOff>
      <xdr:row>58</xdr:row>
      <xdr:rowOff>136307</xdr:rowOff>
    </xdr:to>
    <xdr:graphicFrame macro="">
      <xdr:nvGraphicFramePr>
        <xdr:cNvPr id="8" name="Chart 7">
          <a:extLst>
            <a:ext uri="{FF2B5EF4-FFF2-40B4-BE49-F238E27FC236}">
              <a16:creationId xmlns:a16="http://schemas.microsoft.com/office/drawing/2014/main" id="{C6B85938-E18B-4607-AB19-95A604A34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149715</xdr:colOff>
      <xdr:row>44</xdr:row>
      <xdr:rowOff>81449</xdr:rowOff>
    </xdr:from>
    <xdr:to>
      <xdr:col>25</xdr:col>
      <xdr:colOff>98484</xdr:colOff>
      <xdr:row>58</xdr:row>
      <xdr:rowOff>139603</xdr:rowOff>
    </xdr:to>
    <xdr:graphicFrame macro="">
      <xdr:nvGraphicFramePr>
        <xdr:cNvPr id="9" name="Chart 8">
          <a:extLst>
            <a:ext uri="{FF2B5EF4-FFF2-40B4-BE49-F238E27FC236}">
              <a16:creationId xmlns:a16="http://schemas.microsoft.com/office/drawing/2014/main" id="{AE45EF7A-A777-420B-9290-EB6B729CA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149715</xdr:colOff>
      <xdr:row>24</xdr:row>
      <xdr:rowOff>89865</xdr:rowOff>
    </xdr:from>
    <xdr:to>
      <xdr:col>25</xdr:col>
      <xdr:colOff>98484</xdr:colOff>
      <xdr:row>38</xdr:row>
      <xdr:rowOff>148019</xdr:rowOff>
    </xdr:to>
    <xdr:graphicFrame macro="">
      <xdr:nvGraphicFramePr>
        <xdr:cNvPr id="10" name="Chart 9">
          <a:extLst>
            <a:ext uri="{FF2B5EF4-FFF2-40B4-BE49-F238E27FC236}">
              <a16:creationId xmlns:a16="http://schemas.microsoft.com/office/drawing/2014/main" id="{4779E908-BB4E-4769-ABAF-D9FCAF8B1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25</xdr:col>
      <xdr:colOff>380999</xdr:colOff>
      <xdr:row>7</xdr:row>
      <xdr:rowOff>23433</xdr:rowOff>
    </xdr:from>
    <xdr:to>
      <xdr:col>28</xdr:col>
      <xdr:colOff>358825</xdr:colOff>
      <xdr:row>16</xdr:row>
      <xdr:rowOff>133781</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93C19BA6-23BF-7BB9-A2CB-BBC811DFE61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7177196" y="1300588"/>
              <a:ext cx="1813066" cy="1752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35115</xdr:colOff>
      <xdr:row>7</xdr:row>
      <xdr:rowOff>23433</xdr:rowOff>
    </xdr:from>
    <xdr:to>
      <xdr:col>32</xdr:col>
      <xdr:colOff>12941</xdr:colOff>
      <xdr:row>16</xdr:row>
      <xdr:rowOff>133781</xdr:rowOff>
    </xdr:to>
    <mc:AlternateContent xmlns:mc="http://schemas.openxmlformats.org/markup-compatibility/2006" xmlns:a14="http://schemas.microsoft.com/office/drawing/2010/main">
      <mc:Choice Requires="a14">
        <xdr:graphicFrame macro="">
          <xdr:nvGraphicFramePr>
            <xdr:cNvPr id="13" name="race/ethnicity">
              <a:extLst>
                <a:ext uri="{FF2B5EF4-FFF2-40B4-BE49-F238E27FC236}">
                  <a16:creationId xmlns:a16="http://schemas.microsoft.com/office/drawing/2014/main" id="{2FF01098-62D5-77C1-964A-74AE2A61697E}"/>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mlns="">
        <xdr:sp macro="" textlink="">
          <xdr:nvSpPr>
            <xdr:cNvPr id="0" name=""/>
            <xdr:cNvSpPr>
              <a:spLocks noTextEdit="1"/>
            </xdr:cNvSpPr>
          </xdr:nvSpPr>
          <xdr:spPr>
            <a:xfrm>
              <a:off x="19278298" y="1300588"/>
              <a:ext cx="1813066" cy="1752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59071</xdr:colOff>
      <xdr:row>26</xdr:row>
      <xdr:rowOff>94426</xdr:rowOff>
    </xdr:from>
    <xdr:to>
      <xdr:col>32</xdr:col>
      <xdr:colOff>36897</xdr:colOff>
      <xdr:row>36</xdr:row>
      <xdr:rowOff>17034</xdr:rowOff>
    </xdr:to>
    <mc:AlternateContent xmlns:mc="http://schemas.openxmlformats.org/markup-compatibility/2006" xmlns:a14="http://schemas.microsoft.com/office/drawing/2010/main">
      <mc:Choice Requires="a14">
        <xdr:graphicFrame macro="">
          <xdr:nvGraphicFramePr>
            <xdr:cNvPr id="14" name="parental level of education">
              <a:extLst>
                <a:ext uri="{FF2B5EF4-FFF2-40B4-BE49-F238E27FC236}">
                  <a16:creationId xmlns:a16="http://schemas.microsoft.com/office/drawing/2014/main" id="{7B76E17C-2C18-3208-7483-C9BB8ECD29E1}"/>
                </a:ext>
              </a:extLst>
            </xdr:cNvPr>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mlns="">
        <xdr:sp macro="" textlink="">
          <xdr:nvSpPr>
            <xdr:cNvPr id="0" name=""/>
            <xdr:cNvSpPr>
              <a:spLocks noTextEdit="1"/>
            </xdr:cNvSpPr>
          </xdr:nvSpPr>
          <xdr:spPr>
            <a:xfrm>
              <a:off x="19302254" y="4838144"/>
              <a:ext cx="1813066" cy="1747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412634</xdr:colOff>
      <xdr:row>26</xdr:row>
      <xdr:rowOff>94426</xdr:rowOff>
    </xdr:from>
    <xdr:to>
      <xdr:col>28</xdr:col>
      <xdr:colOff>390460</xdr:colOff>
      <xdr:row>36</xdr:row>
      <xdr:rowOff>17034</xdr:rowOff>
    </xdr:to>
    <mc:AlternateContent xmlns:mc="http://schemas.openxmlformats.org/markup-compatibility/2006" xmlns:a14="http://schemas.microsoft.com/office/drawing/2010/main">
      <mc:Choice Requires="a14">
        <xdr:graphicFrame macro="">
          <xdr:nvGraphicFramePr>
            <xdr:cNvPr id="15" name="lunch">
              <a:extLst>
                <a:ext uri="{FF2B5EF4-FFF2-40B4-BE49-F238E27FC236}">
                  <a16:creationId xmlns:a16="http://schemas.microsoft.com/office/drawing/2014/main" id="{B6A1488B-F7B9-493D-E716-9D639EC23D9C}"/>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17208831" y="4838144"/>
              <a:ext cx="1813066" cy="1747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323648</xdr:colOff>
      <xdr:row>46</xdr:row>
      <xdr:rowOff>130130</xdr:rowOff>
    </xdr:from>
    <xdr:to>
      <xdr:col>28</xdr:col>
      <xdr:colOff>301474</xdr:colOff>
      <xdr:row>56</xdr:row>
      <xdr:rowOff>52739</xdr:rowOff>
    </xdr:to>
    <mc:AlternateContent xmlns:mc="http://schemas.openxmlformats.org/markup-compatibility/2006" xmlns:a14="http://schemas.microsoft.com/office/drawing/2010/main">
      <mc:Choice Requires="a14">
        <xdr:graphicFrame macro="">
          <xdr:nvGraphicFramePr>
            <xdr:cNvPr id="16" name="test preparation course">
              <a:extLst>
                <a:ext uri="{FF2B5EF4-FFF2-40B4-BE49-F238E27FC236}">
                  <a16:creationId xmlns:a16="http://schemas.microsoft.com/office/drawing/2014/main" id="{3C8F61DE-1571-94E5-8F4D-A2AD50725600}"/>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17119845" y="8522862"/>
              <a:ext cx="1813066" cy="1747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15296</xdr:colOff>
      <xdr:row>46</xdr:row>
      <xdr:rowOff>130130</xdr:rowOff>
    </xdr:from>
    <xdr:to>
      <xdr:col>31</xdr:col>
      <xdr:colOff>600513</xdr:colOff>
      <xdr:row>56</xdr:row>
      <xdr:rowOff>52739</xdr:rowOff>
    </xdr:to>
    <mc:AlternateContent xmlns:mc="http://schemas.openxmlformats.org/markup-compatibility/2006" xmlns:a14="http://schemas.microsoft.com/office/drawing/2010/main">
      <mc:Choice Requires="a14">
        <xdr:graphicFrame macro="">
          <xdr:nvGraphicFramePr>
            <xdr:cNvPr id="17" name="PerformanceCategory">
              <a:extLst>
                <a:ext uri="{FF2B5EF4-FFF2-40B4-BE49-F238E27FC236}">
                  <a16:creationId xmlns:a16="http://schemas.microsoft.com/office/drawing/2014/main" id="{7ACFA6AD-B01F-7674-4A3D-112A30D08F4C}"/>
                </a:ext>
              </a:extLst>
            </xdr:cNvPr>
            <xdr:cNvGraphicFramePr/>
          </xdr:nvGraphicFramePr>
          <xdr:xfrm>
            <a:off x="0" y="0"/>
            <a:ext cx="0" cy="0"/>
          </xdr:xfrm>
          <a:graphic>
            <a:graphicData uri="http://schemas.microsoft.com/office/drawing/2010/slicer">
              <sle:slicer xmlns:sle="http://schemas.microsoft.com/office/drawing/2010/slicer" name="PerformanceCategory"/>
            </a:graphicData>
          </a:graphic>
        </xdr:graphicFrame>
      </mc:Choice>
      <mc:Fallback xmlns="">
        <xdr:sp macro="" textlink="">
          <xdr:nvSpPr>
            <xdr:cNvPr id="0" name=""/>
            <xdr:cNvSpPr>
              <a:spLocks noTextEdit="1"/>
            </xdr:cNvSpPr>
          </xdr:nvSpPr>
          <xdr:spPr>
            <a:xfrm>
              <a:off x="19258479" y="8522862"/>
              <a:ext cx="1808710" cy="1747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002.527444097221" createdVersion="8" refreshedVersion="8" minRefreshableVersion="3" recordCount="1000" xr:uid="{D4241DD3-632E-41EE-846E-5BB4E9ABB3D3}">
  <cacheSource type="worksheet">
    <worksheetSource name="StudentsTable"/>
  </cacheSource>
  <cacheFields count="15">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 name="TotalScore" numFmtId="0">
      <sharedItems containsSemiMixedTypes="0" containsString="0" containsNumber="1" containsInteger="1" minValue="27" maxValue="300"/>
    </cacheField>
    <cacheField name="AverageScore" numFmtId="0">
      <sharedItems containsSemiMixedTypes="0" containsString="0" containsNumber="1" minValue="9" maxValue="100"/>
    </cacheField>
    <cacheField name="Grade" numFmtId="0">
      <sharedItems/>
    </cacheField>
    <cacheField name="Pass_Fail" numFmtId="0">
      <sharedItems count="2">
        <s v="Pass"/>
        <s v="Fail"/>
      </sharedItems>
    </cacheField>
    <cacheField name="PerformanceCategory" numFmtId="0">
      <sharedItems count="4">
        <s v="Intermediate"/>
        <s v="Advanced"/>
        <s v="Needs Help"/>
        <s v="Basic"/>
      </sharedItems>
    </cacheField>
    <cacheField name="Rank" numFmtId="0">
      <sharedItems containsSemiMixedTypes="0" containsString="0" containsNumber="1" containsInteger="1" minValue="1" maxValue="1000"/>
    </cacheField>
    <cacheField name="StandardizedScore" numFmtId="0">
      <sharedItems containsSemiMixedTypes="0" containsString="0" containsNumber="1" minValue="0" maxValue="100"/>
    </cacheField>
  </cacheFields>
  <extLst>
    <ext xmlns:x14="http://schemas.microsoft.com/office/spreadsheetml/2009/9/main" uri="{725AE2AE-9491-48be-B2B4-4EB974FC3084}">
      <x14:pivotCacheDefinition pivotCacheId="149287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72"/>
    <n v="72"/>
    <n v="74"/>
    <n v="218"/>
    <n v="72.666666666666671"/>
    <s v="C"/>
    <x v="0"/>
    <x v="0"/>
    <n v="379"/>
    <n v="69.963369963369971"/>
  </r>
  <r>
    <x v="0"/>
    <x v="1"/>
    <x v="1"/>
    <x v="0"/>
    <x v="1"/>
    <n v="69"/>
    <n v="90"/>
    <n v="88"/>
    <n v="247"/>
    <n v="82.333333333333329"/>
    <s v="B"/>
    <x v="0"/>
    <x v="0"/>
    <n v="155"/>
    <n v="80.586080586080584"/>
  </r>
  <r>
    <x v="0"/>
    <x v="0"/>
    <x v="2"/>
    <x v="0"/>
    <x v="0"/>
    <n v="90"/>
    <n v="95"/>
    <n v="93"/>
    <n v="278"/>
    <n v="92.666666666666671"/>
    <s v="A"/>
    <x v="0"/>
    <x v="1"/>
    <n v="31"/>
    <n v="91.941391941391942"/>
  </r>
  <r>
    <x v="1"/>
    <x v="2"/>
    <x v="3"/>
    <x v="1"/>
    <x v="0"/>
    <n v="47"/>
    <n v="57"/>
    <n v="44"/>
    <n v="148"/>
    <n v="49.333333333333336"/>
    <s v="F"/>
    <x v="1"/>
    <x v="2"/>
    <n v="901"/>
    <n v="44.322344322344328"/>
  </r>
  <r>
    <x v="1"/>
    <x v="1"/>
    <x v="1"/>
    <x v="0"/>
    <x v="0"/>
    <n v="76"/>
    <n v="78"/>
    <n v="75"/>
    <n v="229"/>
    <n v="76.333333333333329"/>
    <s v="C"/>
    <x v="0"/>
    <x v="0"/>
    <n v="282"/>
    <n v="73.992673992673986"/>
  </r>
  <r>
    <x v="0"/>
    <x v="0"/>
    <x v="3"/>
    <x v="0"/>
    <x v="0"/>
    <n v="71"/>
    <n v="83"/>
    <n v="78"/>
    <n v="232"/>
    <n v="77.333333333333329"/>
    <s v="C"/>
    <x v="0"/>
    <x v="0"/>
    <n v="255"/>
    <n v="75.091575091575095"/>
  </r>
  <r>
    <x v="0"/>
    <x v="0"/>
    <x v="1"/>
    <x v="0"/>
    <x v="1"/>
    <n v="88"/>
    <n v="95"/>
    <n v="92"/>
    <n v="275"/>
    <n v="91.666666666666671"/>
    <s v="A"/>
    <x v="0"/>
    <x v="1"/>
    <n v="37"/>
    <n v="90.842490842490847"/>
  </r>
  <r>
    <x v="1"/>
    <x v="0"/>
    <x v="1"/>
    <x v="1"/>
    <x v="0"/>
    <n v="40"/>
    <n v="43"/>
    <n v="39"/>
    <n v="122"/>
    <n v="40.666666666666664"/>
    <s v="F"/>
    <x v="1"/>
    <x v="2"/>
    <n v="967"/>
    <n v="34.798534798534796"/>
  </r>
  <r>
    <x v="1"/>
    <x v="3"/>
    <x v="4"/>
    <x v="1"/>
    <x v="1"/>
    <n v="64"/>
    <n v="64"/>
    <n v="67"/>
    <n v="195"/>
    <n v="65"/>
    <s v="D"/>
    <x v="0"/>
    <x v="3"/>
    <n v="593"/>
    <n v="61.53846153846154"/>
  </r>
  <r>
    <x v="0"/>
    <x v="0"/>
    <x v="4"/>
    <x v="1"/>
    <x v="0"/>
    <n v="38"/>
    <n v="60"/>
    <n v="50"/>
    <n v="148"/>
    <n v="49.333333333333336"/>
    <s v="F"/>
    <x v="1"/>
    <x v="2"/>
    <n v="901"/>
    <n v="44.322344322344328"/>
  </r>
  <r>
    <x v="1"/>
    <x v="1"/>
    <x v="3"/>
    <x v="0"/>
    <x v="0"/>
    <n v="58"/>
    <n v="54"/>
    <n v="52"/>
    <n v="164"/>
    <n v="54.666666666666664"/>
    <s v="F"/>
    <x v="1"/>
    <x v="2"/>
    <n v="810"/>
    <n v="50.183150183150182"/>
  </r>
  <r>
    <x v="1"/>
    <x v="3"/>
    <x v="3"/>
    <x v="0"/>
    <x v="0"/>
    <n v="40"/>
    <n v="52"/>
    <n v="43"/>
    <n v="135"/>
    <n v="45"/>
    <s v="F"/>
    <x v="1"/>
    <x v="2"/>
    <n v="945"/>
    <n v="39.560439560439562"/>
  </r>
  <r>
    <x v="0"/>
    <x v="0"/>
    <x v="4"/>
    <x v="0"/>
    <x v="0"/>
    <n v="65"/>
    <n v="81"/>
    <n v="73"/>
    <n v="219"/>
    <n v="73"/>
    <s v="C"/>
    <x v="0"/>
    <x v="0"/>
    <n v="367"/>
    <n v="70.329670329670336"/>
  </r>
  <r>
    <x v="1"/>
    <x v="2"/>
    <x v="1"/>
    <x v="0"/>
    <x v="1"/>
    <n v="78"/>
    <n v="72"/>
    <n v="70"/>
    <n v="220"/>
    <n v="73.333333333333329"/>
    <s v="C"/>
    <x v="0"/>
    <x v="0"/>
    <n v="356"/>
    <n v="70.695970695970686"/>
  </r>
  <r>
    <x v="0"/>
    <x v="2"/>
    <x v="2"/>
    <x v="0"/>
    <x v="0"/>
    <n v="50"/>
    <n v="53"/>
    <n v="58"/>
    <n v="161"/>
    <n v="53.666666666666664"/>
    <s v="F"/>
    <x v="1"/>
    <x v="2"/>
    <n v="830"/>
    <n v="49.08424908424908"/>
  </r>
  <r>
    <x v="0"/>
    <x v="1"/>
    <x v="5"/>
    <x v="0"/>
    <x v="0"/>
    <n v="69"/>
    <n v="75"/>
    <n v="78"/>
    <n v="222"/>
    <n v="74"/>
    <s v="C"/>
    <x v="0"/>
    <x v="0"/>
    <n v="345"/>
    <n v="71.428571428571431"/>
  </r>
  <r>
    <x v="1"/>
    <x v="1"/>
    <x v="4"/>
    <x v="0"/>
    <x v="0"/>
    <n v="88"/>
    <n v="89"/>
    <n v="86"/>
    <n v="263"/>
    <n v="87.666666666666671"/>
    <s v="B"/>
    <x v="0"/>
    <x v="1"/>
    <n v="76"/>
    <n v="86.446886446886452"/>
  </r>
  <r>
    <x v="0"/>
    <x v="0"/>
    <x v="5"/>
    <x v="1"/>
    <x v="0"/>
    <n v="18"/>
    <n v="32"/>
    <n v="28"/>
    <n v="78"/>
    <n v="26"/>
    <s v="F"/>
    <x v="1"/>
    <x v="2"/>
    <n v="995"/>
    <n v="18.681318681318682"/>
  </r>
  <r>
    <x v="1"/>
    <x v="1"/>
    <x v="2"/>
    <x v="1"/>
    <x v="1"/>
    <n v="46"/>
    <n v="42"/>
    <n v="46"/>
    <n v="134"/>
    <n v="44.666666666666664"/>
    <s v="F"/>
    <x v="1"/>
    <x v="2"/>
    <n v="947"/>
    <n v="39.194139194139197"/>
  </r>
  <r>
    <x v="0"/>
    <x v="1"/>
    <x v="3"/>
    <x v="1"/>
    <x v="0"/>
    <n v="54"/>
    <n v="58"/>
    <n v="61"/>
    <n v="173"/>
    <n v="57.666666666666664"/>
    <s v="F"/>
    <x v="1"/>
    <x v="2"/>
    <n v="756"/>
    <n v="53.479853479853482"/>
  </r>
  <r>
    <x v="1"/>
    <x v="3"/>
    <x v="4"/>
    <x v="0"/>
    <x v="0"/>
    <n v="66"/>
    <n v="69"/>
    <n v="63"/>
    <n v="198"/>
    <n v="66"/>
    <s v="D"/>
    <x v="0"/>
    <x v="3"/>
    <n v="562"/>
    <n v="62.637362637362635"/>
  </r>
  <r>
    <x v="0"/>
    <x v="0"/>
    <x v="1"/>
    <x v="1"/>
    <x v="1"/>
    <n v="65"/>
    <n v="75"/>
    <n v="70"/>
    <n v="210"/>
    <n v="70"/>
    <s v="C"/>
    <x v="0"/>
    <x v="0"/>
    <n v="448"/>
    <n v="67.032967032967022"/>
  </r>
  <r>
    <x v="1"/>
    <x v="3"/>
    <x v="1"/>
    <x v="0"/>
    <x v="0"/>
    <n v="44"/>
    <n v="54"/>
    <n v="53"/>
    <n v="151"/>
    <n v="50.333333333333336"/>
    <s v="F"/>
    <x v="1"/>
    <x v="2"/>
    <n v="884"/>
    <n v="45.421245421245423"/>
  </r>
  <r>
    <x v="0"/>
    <x v="1"/>
    <x v="5"/>
    <x v="0"/>
    <x v="0"/>
    <n v="69"/>
    <n v="73"/>
    <n v="73"/>
    <n v="215"/>
    <n v="71.666666666666671"/>
    <s v="C"/>
    <x v="0"/>
    <x v="0"/>
    <n v="404"/>
    <n v="68.864468864468876"/>
  </r>
  <r>
    <x v="1"/>
    <x v="3"/>
    <x v="0"/>
    <x v="1"/>
    <x v="1"/>
    <n v="74"/>
    <n v="71"/>
    <n v="80"/>
    <n v="225"/>
    <n v="75"/>
    <s v="C"/>
    <x v="0"/>
    <x v="0"/>
    <n v="314"/>
    <n v="72.527472527472526"/>
  </r>
  <r>
    <x v="1"/>
    <x v="2"/>
    <x v="2"/>
    <x v="1"/>
    <x v="0"/>
    <n v="73"/>
    <n v="74"/>
    <n v="72"/>
    <n v="219"/>
    <n v="73"/>
    <s v="C"/>
    <x v="0"/>
    <x v="0"/>
    <n v="367"/>
    <n v="70.329670329670336"/>
  </r>
  <r>
    <x v="1"/>
    <x v="0"/>
    <x v="1"/>
    <x v="0"/>
    <x v="0"/>
    <n v="69"/>
    <n v="54"/>
    <n v="55"/>
    <n v="178"/>
    <n v="59.333333333333336"/>
    <s v="F"/>
    <x v="1"/>
    <x v="2"/>
    <n v="721"/>
    <n v="55.311355311355314"/>
  </r>
  <r>
    <x v="0"/>
    <x v="1"/>
    <x v="0"/>
    <x v="0"/>
    <x v="0"/>
    <n v="67"/>
    <n v="69"/>
    <n v="75"/>
    <n v="211"/>
    <n v="70.333333333333329"/>
    <s v="C"/>
    <x v="0"/>
    <x v="0"/>
    <n v="440"/>
    <n v="67.399267399267387"/>
  </r>
  <r>
    <x v="1"/>
    <x v="1"/>
    <x v="4"/>
    <x v="0"/>
    <x v="0"/>
    <n v="70"/>
    <n v="70"/>
    <n v="65"/>
    <n v="205"/>
    <n v="68.333333333333329"/>
    <s v="D"/>
    <x v="0"/>
    <x v="3"/>
    <n v="499"/>
    <n v="65.201465201465197"/>
  </r>
  <r>
    <x v="0"/>
    <x v="3"/>
    <x v="2"/>
    <x v="0"/>
    <x v="0"/>
    <n v="62"/>
    <n v="70"/>
    <n v="75"/>
    <n v="207"/>
    <n v="69"/>
    <s v="D"/>
    <x v="0"/>
    <x v="3"/>
    <n v="475"/>
    <n v="65.934065934065927"/>
  </r>
  <r>
    <x v="0"/>
    <x v="3"/>
    <x v="1"/>
    <x v="0"/>
    <x v="0"/>
    <n v="69"/>
    <n v="74"/>
    <n v="74"/>
    <n v="217"/>
    <n v="72.333333333333329"/>
    <s v="C"/>
    <x v="0"/>
    <x v="0"/>
    <n v="389"/>
    <n v="69.597069597069591"/>
  </r>
  <r>
    <x v="0"/>
    <x v="0"/>
    <x v="1"/>
    <x v="0"/>
    <x v="0"/>
    <n v="63"/>
    <n v="65"/>
    <n v="61"/>
    <n v="189"/>
    <n v="63"/>
    <s v="D"/>
    <x v="0"/>
    <x v="3"/>
    <n v="646"/>
    <n v="59.340659340659343"/>
  </r>
  <r>
    <x v="0"/>
    <x v="4"/>
    <x v="2"/>
    <x v="1"/>
    <x v="0"/>
    <n v="56"/>
    <n v="72"/>
    <n v="65"/>
    <n v="193"/>
    <n v="64.333333333333329"/>
    <s v="D"/>
    <x v="0"/>
    <x v="3"/>
    <n v="613"/>
    <n v="60.805860805860803"/>
  </r>
  <r>
    <x v="1"/>
    <x v="3"/>
    <x v="1"/>
    <x v="0"/>
    <x v="0"/>
    <n v="40"/>
    <n v="42"/>
    <n v="38"/>
    <n v="120"/>
    <n v="40"/>
    <s v="F"/>
    <x v="1"/>
    <x v="2"/>
    <n v="969"/>
    <n v="34.065934065934066"/>
  </r>
  <r>
    <x v="1"/>
    <x v="4"/>
    <x v="1"/>
    <x v="0"/>
    <x v="0"/>
    <n v="97"/>
    <n v="87"/>
    <n v="82"/>
    <n v="266"/>
    <n v="88.666666666666671"/>
    <s v="B"/>
    <x v="0"/>
    <x v="1"/>
    <n v="64"/>
    <n v="87.545787545787547"/>
  </r>
  <r>
    <x v="1"/>
    <x v="4"/>
    <x v="3"/>
    <x v="0"/>
    <x v="1"/>
    <n v="81"/>
    <n v="81"/>
    <n v="79"/>
    <n v="241"/>
    <n v="80.333333333333329"/>
    <s v="B"/>
    <x v="0"/>
    <x v="0"/>
    <n v="187"/>
    <n v="78.388278388278394"/>
  </r>
  <r>
    <x v="0"/>
    <x v="3"/>
    <x v="3"/>
    <x v="0"/>
    <x v="0"/>
    <n v="74"/>
    <n v="81"/>
    <n v="83"/>
    <n v="238"/>
    <n v="79.333333333333329"/>
    <s v="C"/>
    <x v="0"/>
    <x v="0"/>
    <n v="207"/>
    <n v="77.289377289377285"/>
  </r>
  <r>
    <x v="0"/>
    <x v="3"/>
    <x v="5"/>
    <x v="1"/>
    <x v="0"/>
    <n v="50"/>
    <n v="64"/>
    <n v="59"/>
    <n v="173"/>
    <n v="57.666666666666664"/>
    <s v="F"/>
    <x v="1"/>
    <x v="2"/>
    <n v="756"/>
    <n v="53.479853479853482"/>
  </r>
  <r>
    <x v="0"/>
    <x v="3"/>
    <x v="3"/>
    <x v="1"/>
    <x v="1"/>
    <n v="75"/>
    <n v="90"/>
    <n v="88"/>
    <n v="253"/>
    <n v="84.333333333333329"/>
    <s v="B"/>
    <x v="0"/>
    <x v="0"/>
    <n v="121"/>
    <n v="82.783882783882774"/>
  </r>
  <r>
    <x v="1"/>
    <x v="0"/>
    <x v="3"/>
    <x v="1"/>
    <x v="0"/>
    <n v="57"/>
    <n v="56"/>
    <n v="57"/>
    <n v="170"/>
    <n v="56.666666666666664"/>
    <s v="F"/>
    <x v="1"/>
    <x v="2"/>
    <n v="776"/>
    <n v="52.380952380952387"/>
  </r>
  <r>
    <x v="1"/>
    <x v="1"/>
    <x v="3"/>
    <x v="1"/>
    <x v="0"/>
    <n v="55"/>
    <n v="61"/>
    <n v="54"/>
    <n v="170"/>
    <n v="56.666666666666664"/>
    <s v="F"/>
    <x v="1"/>
    <x v="2"/>
    <n v="776"/>
    <n v="52.380952380952387"/>
  </r>
  <r>
    <x v="0"/>
    <x v="1"/>
    <x v="3"/>
    <x v="0"/>
    <x v="0"/>
    <n v="58"/>
    <n v="73"/>
    <n v="68"/>
    <n v="199"/>
    <n v="66.333333333333329"/>
    <s v="D"/>
    <x v="0"/>
    <x v="3"/>
    <n v="557"/>
    <n v="63.003663003663"/>
  </r>
  <r>
    <x v="0"/>
    <x v="0"/>
    <x v="3"/>
    <x v="0"/>
    <x v="0"/>
    <n v="53"/>
    <n v="58"/>
    <n v="65"/>
    <n v="176"/>
    <n v="58.666666666666664"/>
    <s v="F"/>
    <x v="1"/>
    <x v="2"/>
    <n v="736"/>
    <n v="54.578754578754577"/>
  </r>
  <r>
    <x v="1"/>
    <x v="0"/>
    <x v="1"/>
    <x v="1"/>
    <x v="1"/>
    <n v="59"/>
    <n v="65"/>
    <n v="66"/>
    <n v="190"/>
    <n v="63.333333333333336"/>
    <s v="D"/>
    <x v="0"/>
    <x v="3"/>
    <n v="641"/>
    <n v="59.706959706959708"/>
  </r>
  <r>
    <x v="0"/>
    <x v="4"/>
    <x v="3"/>
    <x v="1"/>
    <x v="0"/>
    <n v="50"/>
    <n v="56"/>
    <n v="54"/>
    <n v="160"/>
    <n v="53.333333333333336"/>
    <s v="F"/>
    <x v="1"/>
    <x v="2"/>
    <n v="837"/>
    <n v="48.717948717948723"/>
  </r>
  <r>
    <x v="1"/>
    <x v="0"/>
    <x v="3"/>
    <x v="0"/>
    <x v="0"/>
    <n v="65"/>
    <n v="54"/>
    <n v="57"/>
    <n v="176"/>
    <n v="58.666666666666664"/>
    <s v="F"/>
    <x v="1"/>
    <x v="2"/>
    <n v="736"/>
    <n v="54.578754578754577"/>
  </r>
  <r>
    <x v="0"/>
    <x v="2"/>
    <x v="3"/>
    <x v="0"/>
    <x v="1"/>
    <n v="55"/>
    <n v="65"/>
    <n v="62"/>
    <n v="182"/>
    <n v="60.666666666666664"/>
    <s v="D"/>
    <x v="0"/>
    <x v="3"/>
    <n v="693"/>
    <n v="56.776556776556774"/>
  </r>
  <r>
    <x v="0"/>
    <x v="1"/>
    <x v="4"/>
    <x v="0"/>
    <x v="0"/>
    <n v="66"/>
    <n v="71"/>
    <n v="76"/>
    <n v="213"/>
    <n v="71"/>
    <s v="C"/>
    <x v="0"/>
    <x v="0"/>
    <n v="424"/>
    <n v="68.131868131868131"/>
  </r>
  <r>
    <x v="0"/>
    <x v="3"/>
    <x v="3"/>
    <x v="1"/>
    <x v="1"/>
    <n v="57"/>
    <n v="74"/>
    <n v="76"/>
    <n v="207"/>
    <n v="69"/>
    <s v="D"/>
    <x v="0"/>
    <x v="3"/>
    <n v="475"/>
    <n v="65.934065934065927"/>
  </r>
  <r>
    <x v="1"/>
    <x v="1"/>
    <x v="4"/>
    <x v="0"/>
    <x v="1"/>
    <n v="82"/>
    <n v="84"/>
    <n v="82"/>
    <n v="248"/>
    <n v="82.666666666666671"/>
    <s v="B"/>
    <x v="0"/>
    <x v="0"/>
    <n v="149"/>
    <n v="80.952380952380949"/>
  </r>
  <r>
    <x v="1"/>
    <x v="4"/>
    <x v="1"/>
    <x v="0"/>
    <x v="0"/>
    <n v="53"/>
    <n v="55"/>
    <n v="48"/>
    <n v="156"/>
    <n v="52"/>
    <s v="F"/>
    <x v="1"/>
    <x v="2"/>
    <n v="855"/>
    <n v="47.252747252747248"/>
  </r>
  <r>
    <x v="1"/>
    <x v="4"/>
    <x v="3"/>
    <x v="1"/>
    <x v="1"/>
    <n v="77"/>
    <n v="69"/>
    <n v="68"/>
    <n v="214"/>
    <n v="71.333333333333329"/>
    <s v="C"/>
    <x v="0"/>
    <x v="0"/>
    <n v="412"/>
    <n v="68.498168498168482"/>
  </r>
  <r>
    <x v="1"/>
    <x v="1"/>
    <x v="1"/>
    <x v="0"/>
    <x v="0"/>
    <n v="53"/>
    <n v="44"/>
    <n v="42"/>
    <n v="139"/>
    <n v="46.333333333333336"/>
    <s v="F"/>
    <x v="1"/>
    <x v="2"/>
    <n v="934"/>
    <n v="41.025641025641029"/>
  </r>
  <r>
    <x v="1"/>
    <x v="3"/>
    <x v="4"/>
    <x v="0"/>
    <x v="0"/>
    <n v="88"/>
    <n v="78"/>
    <n v="75"/>
    <n v="241"/>
    <n v="80.333333333333329"/>
    <s v="B"/>
    <x v="0"/>
    <x v="0"/>
    <n v="187"/>
    <n v="78.388278388278394"/>
  </r>
  <r>
    <x v="0"/>
    <x v="1"/>
    <x v="5"/>
    <x v="1"/>
    <x v="1"/>
    <n v="71"/>
    <n v="84"/>
    <n v="87"/>
    <n v="242"/>
    <n v="80.666666666666671"/>
    <s v="B"/>
    <x v="0"/>
    <x v="0"/>
    <n v="180"/>
    <n v="78.754578754578759"/>
  </r>
  <r>
    <x v="0"/>
    <x v="1"/>
    <x v="4"/>
    <x v="1"/>
    <x v="0"/>
    <n v="33"/>
    <n v="41"/>
    <n v="43"/>
    <n v="117"/>
    <n v="39"/>
    <s v="F"/>
    <x v="1"/>
    <x v="2"/>
    <n v="975"/>
    <n v="32.967032967032964"/>
  </r>
  <r>
    <x v="0"/>
    <x v="4"/>
    <x v="3"/>
    <x v="0"/>
    <x v="1"/>
    <n v="82"/>
    <n v="85"/>
    <n v="86"/>
    <n v="253"/>
    <n v="84.333333333333329"/>
    <s v="B"/>
    <x v="0"/>
    <x v="0"/>
    <n v="121"/>
    <n v="82.783882783882774"/>
  </r>
  <r>
    <x v="1"/>
    <x v="3"/>
    <x v="3"/>
    <x v="0"/>
    <x v="0"/>
    <n v="52"/>
    <n v="55"/>
    <n v="49"/>
    <n v="156"/>
    <n v="52"/>
    <s v="F"/>
    <x v="1"/>
    <x v="2"/>
    <n v="855"/>
    <n v="47.252747252747248"/>
  </r>
  <r>
    <x v="1"/>
    <x v="3"/>
    <x v="1"/>
    <x v="0"/>
    <x v="1"/>
    <n v="58"/>
    <n v="59"/>
    <n v="58"/>
    <n v="175"/>
    <n v="58.333333333333336"/>
    <s v="F"/>
    <x v="1"/>
    <x v="2"/>
    <n v="745"/>
    <n v="54.212454212454219"/>
  </r>
  <r>
    <x v="0"/>
    <x v="1"/>
    <x v="5"/>
    <x v="1"/>
    <x v="0"/>
    <n v="0"/>
    <n v="17"/>
    <n v="10"/>
    <n v="27"/>
    <n v="9"/>
    <s v="F"/>
    <x v="1"/>
    <x v="2"/>
    <n v="1000"/>
    <n v="0"/>
  </r>
  <r>
    <x v="1"/>
    <x v="4"/>
    <x v="0"/>
    <x v="1"/>
    <x v="1"/>
    <n v="79"/>
    <n v="74"/>
    <n v="72"/>
    <n v="225"/>
    <n v="75"/>
    <s v="C"/>
    <x v="0"/>
    <x v="0"/>
    <n v="314"/>
    <n v="72.527472527472526"/>
  </r>
  <r>
    <x v="1"/>
    <x v="2"/>
    <x v="5"/>
    <x v="1"/>
    <x v="0"/>
    <n v="39"/>
    <n v="39"/>
    <n v="34"/>
    <n v="112"/>
    <n v="37.333333333333336"/>
    <s v="F"/>
    <x v="1"/>
    <x v="2"/>
    <n v="982"/>
    <n v="31.135531135531135"/>
  </r>
  <r>
    <x v="1"/>
    <x v="2"/>
    <x v="3"/>
    <x v="1"/>
    <x v="0"/>
    <n v="62"/>
    <n v="61"/>
    <n v="55"/>
    <n v="178"/>
    <n v="59.333333333333336"/>
    <s v="F"/>
    <x v="1"/>
    <x v="2"/>
    <n v="721"/>
    <n v="55.311355311355314"/>
  </r>
  <r>
    <x v="0"/>
    <x v="1"/>
    <x v="3"/>
    <x v="0"/>
    <x v="0"/>
    <n v="69"/>
    <n v="80"/>
    <n v="71"/>
    <n v="220"/>
    <n v="73.333333333333329"/>
    <s v="C"/>
    <x v="0"/>
    <x v="0"/>
    <n v="356"/>
    <n v="70.695970695970686"/>
  </r>
  <r>
    <x v="0"/>
    <x v="3"/>
    <x v="5"/>
    <x v="0"/>
    <x v="0"/>
    <n v="59"/>
    <n v="58"/>
    <n v="59"/>
    <n v="176"/>
    <n v="58.666666666666664"/>
    <s v="F"/>
    <x v="1"/>
    <x v="2"/>
    <n v="736"/>
    <n v="54.578754578754577"/>
  </r>
  <r>
    <x v="1"/>
    <x v="0"/>
    <x v="5"/>
    <x v="0"/>
    <x v="0"/>
    <n v="67"/>
    <n v="64"/>
    <n v="61"/>
    <n v="192"/>
    <n v="64"/>
    <s v="D"/>
    <x v="0"/>
    <x v="3"/>
    <n v="623"/>
    <n v="60.439560439560438"/>
  </r>
  <r>
    <x v="1"/>
    <x v="3"/>
    <x v="5"/>
    <x v="1"/>
    <x v="0"/>
    <n v="45"/>
    <n v="37"/>
    <n v="37"/>
    <n v="119"/>
    <n v="39.666666666666664"/>
    <s v="F"/>
    <x v="1"/>
    <x v="2"/>
    <n v="971"/>
    <n v="33.699633699633694"/>
  </r>
  <r>
    <x v="0"/>
    <x v="1"/>
    <x v="1"/>
    <x v="0"/>
    <x v="0"/>
    <n v="60"/>
    <n v="72"/>
    <n v="74"/>
    <n v="206"/>
    <n v="68.666666666666671"/>
    <s v="D"/>
    <x v="0"/>
    <x v="3"/>
    <n v="487"/>
    <n v="65.567765567765562"/>
  </r>
  <r>
    <x v="1"/>
    <x v="0"/>
    <x v="3"/>
    <x v="1"/>
    <x v="0"/>
    <n v="61"/>
    <n v="58"/>
    <n v="56"/>
    <n v="175"/>
    <n v="58.333333333333336"/>
    <s v="F"/>
    <x v="1"/>
    <x v="2"/>
    <n v="745"/>
    <n v="54.212454212454219"/>
  </r>
  <r>
    <x v="0"/>
    <x v="1"/>
    <x v="3"/>
    <x v="0"/>
    <x v="0"/>
    <n v="39"/>
    <n v="64"/>
    <n v="57"/>
    <n v="160"/>
    <n v="53.333333333333336"/>
    <s v="F"/>
    <x v="1"/>
    <x v="2"/>
    <n v="837"/>
    <n v="48.717948717948723"/>
  </r>
  <r>
    <x v="0"/>
    <x v="3"/>
    <x v="1"/>
    <x v="1"/>
    <x v="1"/>
    <n v="58"/>
    <n v="63"/>
    <n v="73"/>
    <n v="194"/>
    <n v="64.666666666666671"/>
    <s v="D"/>
    <x v="0"/>
    <x v="3"/>
    <n v="602"/>
    <n v="61.172161172161175"/>
  </r>
  <r>
    <x v="1"/>
    <x v="3"/>
    <x v="1"/>
    <x v="0"/>
    <x v="1"/>
    <n v="63"/>
    <n v="55"/>
    <n v="63"/>
    <n v="181"/>
    <n v="60.333333333333336"/>
    <s v="D"/>
    <x v="0"/>
    <x v="3"/>
    <n v="700"/>
    <n v="56.410256410256409"/>
  </r>
  <r>
    <x v="0"/>
    <x v="2"/>
    <x v="3"/>
    <x v="1"/>
    <x v="0"/>
    <n v="41"/>
    <n v="51"/>
    <n v="48"/>
    <n v="140"/>
    <n v="46.666666666666664"/>
    <s v="F"/>
    <x v="1"/>
    <x v="2"/>
    <n v="930"/>
    <n v="41.391941391941387"/>
  </r>
  <r>
    <x v="1"/>
    <x v="1"/>
    <x v="5"/>
    <x v="1"/>
    <x v="0"/>
    <n v="61"/>
    <n v="57"/>
    <n v="56"/>
    <n v="174"/>
    <n v="58"/>
    <s v="F"/>
    <x v="1"/>
    <x v="2"/>
    <n v="754"/>
    <n v="53.846153846153847"/>
  </r>
  <r>
    <x v="1"/>
    <x v="1"/>
    <x v="5"/>
    <x v="0"/>
    <x v="0"/>
    <n v="49"/>
    <n v="49"/>
    <n v="41"/>
    <n v="139"/>
    <n v="46.333333333333336"/>
    <s v="F"/>
    <x v="1"/>
    <x v="2"/>
    <n v="934"/>
    <n v="41.025641025641029"/>
  </r>
  <r>
    <x v="1"/>
    <x v="0"/>
    <x v="3"/>
    <x v="1"/>
    <x v="0"/>
    <n v="44"/>
    <n v="41"/>
    <n v="38"/>
    <n v="123"/>
    <n v="41"/>
    <s v="F"/>
    <x v="1"/>
    <x v="2"/>
    <n v="965"/>
    <n v="35.164835164835168"/>
  </r>
  <r>
    <x v="1"/>
    <x v="4"/>
    <x v="5"/>
    <x v="0"/>
    <x v="0"/>
    <n v="30"/>
    <n v="26"/>
    <n v="22"/>
    <n v="78"/>
    <n v="26"/>
    <s v="F"/>
    <x v="1"/>
    <x v="2"/>
    <n v="995"/>
    <n v="18.681318681318682"/>
  </r>
  <r>
    <x v="1"/>
    <x v="2"/>
    <x v="0"/>
    <x v="0"/>
    <x v="1"/>
    <n v="80"/>
    <n v="78"/>
    <n v="81"/>
    <n v="239"/>
    <n v="79.666666666666671"/>
    <s v="C"/>
    <x v="0"/>
    <x v="0"/>
    <n v="199"/>
    <n v="77.655677655677664"/>
  </r>
  <r>
    <x v="0"/>
    <x v="3"/>
    <x v="5"/>
    <x v="0"/>
    <x v="1"/>
    <n v="61"/>
    <n v="74"/>
    <n v="72"/>
    <n v="207"/>
    <n v="69"/>
    <s v="D"/>
    <x v="0"/>
    <x v="3"/>
    <n v="475"/>
    <n v="65.934065934065927"/>
  </r>
  <r>
    <x v="0"/>
    <x v="4"/>
    <x v="2"/>
    <x v="0"/>
    <x v="0"/>
    <n v="62"/>
    <n v="68"/>
    <n v="68"/>
    <n v="198"/>
    <n v="66"/>
    <s v="D"/>
    <x v="0"/>
    <x v="3"/>
    <n v="562"/>
    <n v="62.637362637362635"/>
  </r>
  <r>
    <x v="0"/>
    <x v="0"/>
    <x v="3"/>
    <x v="0"/>
    <x v="0"/>
    <n v="47"/>
    <n v="49"/>
    <n v="50"/>
    <n v="146"/>
    <n v="48.666666666666664"/>
    <s v="F"/>
    <x v="1"/>
    <x v="2"/>
    <n v="911"/>
    <n v="43.589743589743584"/>
  </r>
  <r>
    <x v="1"/>
    <x v="0"/>
    <x v="4"/>
    <x v="1"/>
    <x v="0"/>
    <n v="49"/>
    <n v="45"/>
    <n v="45"/>
    <n v="139"/>
    <n v="46.333333333333336"/>
    <s v="F"/>
    <x v="1"/>
    <x v="2"/>
    <n v="934"/>
    <n v="41.025641025641029"/>
  </r>
  <r>
    <x v="1"/>
    <x v="2"/>
    <x v="1"/>
    <x v="1"/>
    <x v="1"/>
    <n v="50"/>
    <n v="47"/>
    <n v="54"/>
    <n v="151"/>
    <n v="50.333333333333336"/>
    <s v="F"/>
    <x v="1"/>
    <x v="2"/>
    <n v="884"/>
    <n v="45.421245421245423"/>
  </r>
  <r>
    <x v="1"/>
    <x v="4"/>
    <x v="3"/>
    <x v="0"/>
    <x v="0"/>
    <n v="72"/>
    <n v="64"/>
    <n v="63"/>
    <n v="199"/>
    <n v="66.333333333333329"/>
    <s v="D"/>
    <x v="0"/>
    <x v="3"/>
    <n v="557"/>
    <n v="63.003663003663"/>
  </r>
  <r>
    <x v="1"/>
    <x v="3"/>
    <x v="4"/>
    <x v="1"/>
    <x v="0"/>
    <n v="42"/>
    <n v="39"/>
    <n v="34"/>
    <n v="115"/>
    <n v="38.333333333333336"/>
    <s v="F"/>
    <x v="1"/>
    <x v="2"/>
    <n v="978"/>
    <n v="32.234432234432234"/>
  </r>
  <r>
    <x v="0"/>
    <x v="1"/>
    <x v="1"/>
    <x v="0"/>
    <x v="0"/>
    <n v="73"/>
    <n v="80"/>
    <n v="82"/>
    <n v="235"/>
    <n v="78.333333333333329"/>
    <s v="C"/>
    <x v="0"/>
    <x v="0"/>
    <n v="231"/>
    <n v="76.19047619047619"/>
  </r>
  <r>
    <x v="0"/>
    <x v="1"/>
    <x v="1"/>
    <x v="1"/>
    <x v="0"/>
    <n v="76"/>
    <n v="83"/>
    <n v="88"/>
    <n v="247"/>
    <n v="82.333333333333329"/>
    <s v="B"/>
    <x v="0"/>
    <x v="0"/>
    <n v="155"/>
    <n v="80.586080586080584"/>
  </r>
  <r>
    <x v="0"/>
    <x v="3"/>
    <x v="3"/>
    <x v="0"/>
    <x v="0"/>
    <n v="71"/>
    <n v="71"/>
    <n v="74"/>
    <n v="216"/>
    <n v="72"/>
    <s v="C"/>
    <x v="0"/>
    <x v="0"/>
    <n v="395"/>
    <n v="69.230769230769226"/>
  </r>
  <r>
    <x v="0"/>
    <x v="2"/>
    <x v="1"/>
    <x v="0"/>
    <x v="0"/>
    <n v="58"/>
    <n v="70"/>
    <n v="67"/>
    <n v="195"/>
    <n v="65"/>
    <s v="D"/>
    <x v="0"/>
    <x v="3"/>
    <n v="593"/>
    <n v="61.53846153846154"/>
  </r>
  <r>
    <x v="0"/>
    <x v="3"/>
    <x v="5"/>
    <x v="0"/>
    <x v="0"/>
    <n v="73"/>
    <n v="86"/>
    <n v="82"/>
    <n v="241"/>
    <n v="80.333333333333329"/>
    <s v="B"/>
    <x v="0"/>
    <x v="0"/>
    <n v="187"/>
    <n v="78.388278388278394"/>
  </r>
  <r>
    <x v="0"/>
    <x v="1"/>
    <x v="0"/>
    <x v="0"/>
    <x v="0"/>
    <n v="65"/>
    <n v="72"/>
    <n v="74"/>
    <n v="211"/>
    <n v="70.333333333333329"/>
    <s v="C"/>
    <x v="0"/>
    <x v="0"/>
    <n v="440"/>
    <n v="67.399267399267387"/>
  </r>
  <r>
    <x v="1"/>
    <x v="1"/>
    <x v="4"/>
    <x v="1"/>
    <x v="0"/>
    <n v="27"/>
    <n v="34"/>
    <n v="36"/>
    <n v="97"/>
    <n v="32.333333333333336"/>
    <s v="F"/>
    <x v="1"/>
    <x v="2"/>
    <n v="986"/>
    <n v="25.641025641025646"/>
  </r>
  <r>
    <x v="1"/>
    <x v="1"/>
    <x v="4"/>
    <x v="0"/>
    <x v="0"/>
    <n v="71"/>
    <n v="79"/>
    <n v="71"/>
    <n v="221"/>
    <n v="73.666666666666671"/>
    <s v="C"/>
    <x v="0"/>
    <x v="0"/>
    <n v="351"/>
    <n v="71.062271062271066"/>
  </r>
  <r>
    <x v="1"/>
    <x v="1"/>
    <x v="3"/>
    <x v="1"/>
    <x v="1"/>
    <n v="43"/>
    <n v="45"/>
    <n v="50"/>
    <n v="138"/>
    <n v="46"/>
    <s v="F"/>
    <x v="1"/>
    <x v="2"/>
    <n v="939"/>
    <n v="40.659340659340657"/>
  </r>
  <r>
    <x v="0"/>
    <x v="0"/>
    <x v="1"/>
    <x v="0"/>
    <x v="0"/>
    <n v="79"/>
    <n v="86"/>
    <n v="92"/>
    <n v="257"/>
    <n v="85.666666666666671"/>
    <s v="B"/>
    <x v="0"/>
    <x v="1"/>
    <n v="103"/>
    <n v="84.249084249084248"/>
  </r>
  <r>
    <x v="1"/>
    <x v="1"/>
    <x v="3"/>
    <x v="1"/>
    <x v="1"/>
    <n v="78"/>
    <n v="81"/>
    <n v="82"/>
    <n v="241"/>
    <n v="80.333333333333329"/>
    <s v="B"/>
    <x v="0"/>
    <x v="0"/>
    <n v="187"/>
    <n v="78.388278388278394"/>
  </r>
  <r>
    <x v="1"/>
    <x v="0"/>
    <x v="5"/>
    <x v="0"/>
    <x v="1"/>
    <n v="65"/>
    <n v="66"/>
    <n v="62"/>
    <n v="193"/>
    <n v="64.333333333333329"/>
    <s v="D"/>
    <x v="0"/>
    <x v="3"/>
    <n v="613"/>
    <n v="60.805860805860803"/>
  </r>
  <r>
    <x v="0"/>
    <x v="4"/>
    <x v="1"/>
    <x v="0"/>
    <x v="1"/>
    <n v="63"/>
    <n v="72"/>
    <n v="70"/>
    <n v="205"/>
    <n v="68.333333333333329"/>
    <s v="D"/>
    <x v="0"/>
    <x v="3"/>
    <n v="499"/>
    <n v="65.201465201465197"/>
  </r>
  <r>
    <x v="0"/>
    <x v="3"/>
    <x v="1"/>
    <x v="1"/>
    <x v="0"/>
    <n v="58"/>
    <n v="67"/>
    <n v="62"/>
    <n v="187"/>
    <n v="62.333333333333336"/>
    <s v="D"/>
    <x v="0"/>
    <x v="3"/>
    <n v="657"/>
    <n v="58.608058608058613"/>
  </r>
  <r>
    <x v="0"/>
    <x v="3"/>
    <x v="0"/>
    <x v="0"/>
    <x v="0"/>
    <n v="65"/>
    <n v="67"/>
    <n v="62"/>
    <n v="194"/>
    <n v="64.666666666666671"/>
    <s v="D"/>
    <x v="0"/>
    <x v="3"/>
    <n v="602"/>
    <n v="61.172161172161175"/>
  </r>
  <r>
    <x v="1"/>
    <x v="0"/>
    <x v="1"/>
    <x v="0"/>
    <x v="0"/>
    <n v="79"/>
    <n v="67"/>
    <n v="67"/>
    <n v="213"/>
    <n v="71"/>
    <s v="C"/>
    <x v="0"/>
    <x v="0"/>
    <n v="424"/>
    <n v="68.131868131868131"/>
  </r>
  <r>
    <x v="1"/>
    <x v="3"/>
    <x v="0"/>
    <x v="0"/>
    <x v="1"/>
    <n v="68"/>
    <n v="74"/>
    <n v="74"/>
    <n v="216"/>
    <n v="72"/>
    <s v="C"/>
    <x v="0"/>
    <x v="0"/>
    <n v="395"/>
    <n v="69.230769230769226"/>
  </r>
  <r>
    <x v="0"/>
    <x v="3"/>
    <x v="3"/>
    <x v="0"/>
    <x v="0"/>
    <n v="85"/>
    <n v="91"/>
    <n v="89"/>
    <n v="265"/>
    <n v="88.333333333333329"/>
    <s v="B"/>
    <x v="0"/>
    <x v="1"/>
    <n v="69"/>
    <n v="87.179487179487168"/>
  </r>
  <r>
    <x v="1"/>
    <x v="0"/>
    <x v="4"/>
    <x v="0"/>
    <x v="1"/>
    <n v="60"/>
    <n v="44"/>
    <n v="47"/>
    <n v="151"/>
    <n v="50.333333333333336"/>
    <s v="F"/>
    <x v="1"/>
    <x v="2"/>
    <n v="884"/>
    <n v="45.421245421245423"/>
  </r>
  <r>
    <x v="1"/>
    <x v="1"/>
    <x v="1"/>
    <x v="0"/>
    <x v="1"/>
    <n v="98"/>
    <n v="86"/>
    <n v="90"/>
    <n v="274"/>
    <n v="91.333333333333329"/>
    <s v="A"/>
    <x v="0"/>
    <x v="1"/>
    <n v="43"/>
    <n v="90.476190476190467"/>
  </r>
  <r>
    <x v="0"/>
    <x v="1"/>
    <x v="1"/>
    <x v="0"/>
    <x v="0"/>
    <n v="58"/>
    <n v="67"/>
    <n v="72"/>
    <n v="197"/>
    <n v="65.666666666666671"/>
    <s v="D"/>
    <x v="0"/>
    <x v="3"/>
    <n v="576"/>
    <n v="62.27106227106227"/>
  </r>
  <r>
    <x v="0"/>
    <x v="3"/>
    <x v="2"/>
    <x v="0"/>
    <x v="0"/>
    <n v="87"/>
    <n v="100"/>
    <n v="100"/>
    <n v="287"/>
    <n v="95.666666666666671"/>
    <s v="A"/>
    <x v="0"/>
    <x v="1"/>
    <n v="21"/>
    <n v="95.238095238095241"/>
  </r>
  <r>
    <x v="1"/>
    <x v="4"/>
    <x v="3"/>
    <x v="0"/>
    <x v="1"/>
    <n v="66"/>
    <n v="63"/>
    <n v="64"/>
    <n v="193"/>
    <n v="64.333333333333329"/>
    <s v="D"/>
    <x v="0"/>
    <x v="3"/>
    <n v="613"/>
    <n v="60.805860805860803"/>
  </r>
  <r>
    <x v="0"/>
    <x v="0"/>
    <x v="3"/>
    <x v="1"/>
    <x v="0"/>
    <n v="52"/>
    <n v="76"/>
    <n v="70"/>
    <n v="198"/>
    <n v="66"/>
    <s v="D"/>
    <x v="0"/>
    <x v="3"/>
    <n v="562"/>
    <n v="62.637362637362635"/>
  </r>
  <r>
    <x v="0"/>
    <x v="0"/>
    <x v="5"/>
    <x v="0"/>
    <x v="0"/>
    <n v="70"/>
    <n v="64"/>
    <n v="72"/>
    <n v="206"/>
    <n v="68.666666666666671"/>
    <s v="D"/>
    <x v="0"/>
    <x v="3"/>
    <n v="487"/>
    <n v="65.567765567765562"/>
  </r>
  <r>
    <x v="0"/>
    <x v="3"/>
    <x v="3"/>
    <x v="1"/>
    <x v="1"/>
    <n v="77"/>
    <n v="89"/>
    <n v="98"/>
    <n v="264"/>
    <n v="88"/>
    <s v="B"/>
    <x v="0"/>
    <x v="1"/>
    <n v="74"/>
    <n v="86.813186813186817"/>
  </r>
  <r>
    <x v="1"/>
    <x v="1"/>
    <x v="4"/>
    <x v="0"/>
    <x v="0"/>
    <n v="62"/>
    <n v="55"/>
    <n v="49"/>
    <n v="166"/>
    <n v="55.333333333333336"/>
    <s v="F"/>
    <x v="1"/>
    <x v="2"/>
    <n v="803"/>
    <n v="50.915750915750927"/>
  </r>
  <r>
    <x v="1"/>
    <x v="2"/>
    <x v="3"/>
    <x v="0"/>
    <x v="0"/>
    <n v="54"/>
    <n v="53"/>
    <n v="47"/>
    <n v="154"/>
    <n v="51.333333333333336"/>
    <s v="F"/>
    <x v="1"/>
    <x v="2"/>
    <n v="870"/>
    <n v="46.520146520146518"/>
  </r>
  <r>
    <x v="0"/>
    <x v="3"/>
    <x v="1"/>
    <x v="0"/>
    <x v="0"/>
    <n v="51"/>
    <n v="58"/>
    <n v="54"/>
    <n v="163"/>
    <n v="54.333333333333336"/>
    <s v="F"/>
    <x v="1"/>
    <x v="2"/>
    <n v="819"/>
    <n v="49.816849816849818"/>
  </r>
  <r>
    <x v="0"/>
    <x v="4"/>
    <x v="0"/>
    <x v="0"/>
    <x v="1"/>
    <n v="99"/>
    <n v="100"/>
    <n v="100"/>
    <n v="299"/>
    <n v="99.666666666666671"/>
    <s v="A"/>
    <x v="0"/>
    <x v="1"/>
    <n v="4"/>
    <n v="99.633699633699635"/>
  </r>
  <r>
    <x v="1"/>
    <x v="1"/>
    <x v="4"/>
    <x v="0"/>
    <x v="0"/>
    <n v="84"/>
    <n v="77"/>
    <n v="74"/>
    <n v="235"/>
    <n v="78.333333333333329"/>
    <s v="C"/>
    <x v="0"/>
    <x v="0"/>
    <n v="231"/>
    <n v="76.19047619047619"/>
  </r>
  <r>
    <x v="0"/>
    <x v="0"/>
    <x v="0"/>
    <x v="1"/>
    <x v="0"/>
    <n v="75"/>
    <n v="85"/>
    <n v="82"/>
    <n v="242"/>
    <n v="80.666666666666671"/>
    <s v="B"/>
    <x v="0"/>
    <x v="0"/>
    <n v="180"/>
    <n v="78.754578754578759"/>
  </r>
  <r>
    <x v="0"/>
    <x v="3"/>
    <x v="0"/>
    <x v="0"/>
    <x v="0"/>
    <n v="78"/>
    <n v="82"/>
    <n v="79"/>
    <n v="239"/>
    <n v="79.666666666666671"/>
    <s v="C"/>
    <x v="0"/>
    <x v="0"/>
    <n v="199"/>
    <n v="77.655677655677664"/>
  </r>
  <r>
    <x v="0"/>
    <x v="3"/>
    <x v="5"/>
    <x v="0"/>
    <x v="0"/>
    <n v="51"/>
    <n v="63"/>
    <n v="61"/>
    <n v="175"/>
    <n v="58.333333333333336"/>
    <s v="F"/>
    <x v="1"/>
    <x v="2"/>
    <n v="745"/>
    <n v="54.212454212454219"/>
  </r>
  <r>
    <x v="0"/>
    <x v="1"/>
    <x v="1"/>
    <x v="0"/>
    <x v="0"/>
    <n v="55"/>
    <n v="69"/>
    <n v="65"/>
    <n v="189"/>
    <n v="63"/>
    <s v="D"/>
    <x v="0"/>
    <x v="3"/>
    <n v="646"/>
    <n v="59.340659340659343"/>
  </r>
  <r>
    <x v="0"/>
    <x v="1"/>
    <x v="0"/>
    <x v="0"/>
    <x v="1"/>
    <n v="79"/>
    <n v="92"/>
    <n v="89"/>
    <n v="260"/>
    <n v="86.666666666666671"/>
    <s v="B"/>
    <x v="0"/>
    <x v="1"/>
    <n v="89"/>
    <n v="85.347985347985357"/>
  </r>
  <r>
    <x v="1"/>
    <x v="0"/>
    <x v="3"/>
    <x v="0"/>
    <x v="1"/>
    <n v="91"/>
    <n v="89"/>
    <n v="92"/>
    <n v="272"/>
    <n v="90.666666666666671"/>
    <s v="A"/>
    <x v="0"/>
    <x v="1"/>
    <n v="47"/>
    <n v="89.743589743589752"/>
  </r>
  <r>
    <x v="0"/>
    <x v="1"/>
    <x v="1"/>
    <x v="0"/>
    <x v="1"/>
    <n v="88"/>
    <n v="93"/>
    <n v="93"/>
    <n v="274"/>
    <n v="91.333333333333329"/>
    <s v="A"/>
    <x v="0"/>
    <x v="1"/>
    <n v="43"/>
    <n v="90.476190476190467"/>
  </r>
  <r>
    <x v="1"/>
    <x v="3"/>
    <x v="4"/>
    <x v="1"/>
    <x v="0"/>
    <n v="63"/>
    <n v="57"/>
    <n v="56"/>
    <n v="176"/>
    <n v="58.666666666666664"/>
    <s v="F"/>
    <x v="1"/>
    <x v="2"/>
    <n v="736"/>
    <n v="54.578754578754577"/>
  </r>
  <r>
    <x v="1"/>
    <x v="4"/>
    <x v="1"/>
    <x v="0"/>
    <x v="0"/>
    <n v="83"/>
    <n v="80"/>
    <n v="73"/>
    <n v="236"/>
    <n v="78.666666666666671"/>
    <s v="C"/>
    <x v="0"/>
    <x v="0"/>
    <n v="222"/>
    <n v="76.556776556776569"/>
  </r>
  <r>
    <x v="0"/>
    <x v="0"/>
    <x v="4"/>
    <x v="0"/>
    <x v="0"/>
    <n v="87"/>
    <n v="95"/>
    <n v="86"/>
    <n v="268"/>
    <n v="89.333333333333329"/>
    <s v="B"/>
    <x v="0"/>
    <x v="1"/>
    <n v="55"/>
    <n v="88.278388278388277"/>
  </r>
  <r>
    <x v="1"/>
    <x v="0"/>
    <x v="5"/>
    <x v="0"/>
    <x v="0"/>
    <n v="72"/>
    <n v="68"/>
    <n v="67"/>
    <n v="207"/>
    <n v="69"/>
    <s v="D"/>
    <x v="0"/>
    <x v="3"/>
    <n v="475"/>
    <n v="65.934065934065927"/>
  </r>
  <r>
    <x v="1"/>
    <x v="3"/>
    <x v="1"/>
    <x v="0"/>
    <x v="1"/>
    <n v="65"/>
    <n v="77"/>
    <n v="74"/>
    <n v="216"/>
    <n v="72"/>
    <s v="C"/>
    <x v="0"/>
    <x v="0"/>
    <n v="395"/>
    <n v="69.230769230769226"/>
  </r>
  <r>
    <x v="1"/>
    <x v="3"/>
    <x v="2"/>
    <x v="0"/>
    <x v="0"/>
    <n v="82"/>
    <n v="82"/>
    <n v="74"/>
    <n v="238"/>
    <n v="79.333333333333329"/>
    <s v="C"/>
    <x v="0"/>
    <x v="0"/>
    <n v="207"/>
    <n v="77.289377289377285"/>
  </r>
  <r>
    <x v="0"/>
    <x v="2"/>
    <x v="0"/>
    <x v="0"/>
    <x v="0"/>
    <n v="51"/>
    <n v="49"/>
    <n v="51"/>
    <n v="151"/>
    <n v="50.333333333333336"/>
    <s v="F"/>
    <x v="1"/>
    <x v="2"/>
    <n v="884"/>
    <n v="45.421245421245423"/>
  </r>
  <r>
    <x v="1"/>
    <x v="3"/>
    <x v="2"/>
    <x v="0"/>
    <x v="0"/>
    <n v="89"/>
    <n v="84"/>
    <n v="82"/>
    <n v="255"/>
    <n v="85"/>
    <s v="B"/>
    <x v="0"/>
    <x v="1"/>
    <n v="113"/>
    <n v="83.516483516483518"/>
  </r>
  <r>
    <x v="1"/>
    <x v="1"/>
    <x v="5"/>
    <x v="1"/>
    <x v="1"/>
    <n v="53"/>
    <n v="37"/>
    <n v="40"/>
    <n v="130"/>
    <n v="43.333333333333336"/>
    <s v="F"/>
    <x v="1"/>
    <x v="2"/>
    <n v="956"/>
    <n v="37.728937728937737"/>
  </r>
  <r>
    <x v="1"/>
    <x v="4"/>
    <x v="1"/>
    <x v="1"/>
    <x v="1"/>
    <n v="87"/>
    <n v="74"/>
    <n v="70"/>
    <n v="231"/>
    <n v="77"/>
    <s v="C"/>
    <x v="0"/>
    <x v="0"/>
    <n v="269"/>
    <n v="74.72527472527473"/>
  </r>
  <r>
    <x v="0"/>
    <x v="1"/>
    <x v="1"/>
    <x v="0"/>
    <x v="1"/>
    <n v="75"/>
    <n v="81"/>
    <n v="84"/>
    <n v="240"/>
    <n v="80"/>
    <s v="B"/>
    <x v="0"/>
    <x v="0"/>
    <n v="195"/>
    <n v="78.021978021978029"/>
  </r>
  <r>
    <x v="1"/>
    <x v="3"/>
    <x v="0"/>
    <x v="1"/>
    <x v="1"/>
    <n v="74"/>
    <n v="79"/>
    <n v="75"/>
    <n v="228"/>
    <n v="76"/>
    <s v="C"/>
    <x v="0"/>
    <x v="0"/>
    <n v="288"/>
    <n v="73.626373626373635"/>
  </r>
  <r>
    <x v="1"/>
    <x v="1"/>
    <x v="0"/>
    <x v="0"/>
    <x v="0"/>
    <n v="58"/>
    <n v="55"/>
    <n v="48"/>
    <n v="161"/>
    <n v="53.666666666666664"/>
    <s v="F"/>
    <x v="1"/>
    <x v="2"/>
    <n v="830"/>
    <n v="49.08424908424908"/>
  </r>
  <r>
    <x v="1"/>
    <x v="0"/>
    <x v="5"/>
    <x v="0"/>
    <x v="1"/>
    <n v="51"/>
    <n v="54"/>
    <n v="41"/>
    <n v="146"/>
    <n v="48.666666666666664"/>
    <s v="F"/>
    <x v="1"/>
    <x v="2"/>
    <n v="911"/>
    <n v="43.589743589743584"/>
  </r>
  <r>
    <x v="1"/>
    <x v="4"/>
    <x v="4"/>
    <x v="0"/>
    <x v="0"/>
    <n v="70"/>
    <n v="55"/>
    <n v="56"/>
    <n v="181"/>
    <n v="60.333333333333336"/>
    <s v="D"/>
    <x v="0"/>
    <x v="3"/>
    <n v="700"/>
    <n v="56.410256410256409"/>
  </r>
  <r>
    <x v="0"/>
    <x v="1"/>
    <x v="3"/>
    <x v="0"/>
    <x v="0"/>
    <n v="59"/>
    <n v="66"/>
    <n v="67"/>
    <n v="192"/>
    <n v="64"/>
    <s v="D"/>
    <x v="0"/>
    <x v="3"/>
    <n v="623"/>
    <n v="60.439560439560438"/>
  </r>
  <r>
    <x v="1"/>
    <x v="3"/>
    <x v="1"/>
    <x v="0"/>
    <x v="1"/>
    <n v="71"/>
    <n v="61"/>
    <n v="69"/>
    <n v="201"/>
    <n v="67"/>
    <s v="D"/>
    <x v="0"/>
    <x v="3"/>
    <n v="540"/>
    <n v="63.73626373626373"/>
  </r>
  <r>
    <x v="0"/>
    <x v="3"/>
    <x v="5"/>
    <x v="0"/>
    <x v="0"/>
    <n v="76"/>
    <n v="72"/>
    <n v="71"/>
    <n v="219"/>
    <n v="73"/>
    <s v="C"/>
    <x v="0"/>
    <x v="0"/>
    <n v="367"/>
    <n v="70.329670329670336"/>
  </r>
  <r>
    <x v="0"/>
    <x v="1"/>
    <x v="1"/>
    <x v="1"/>
    <x v="0"/>
    <n v="59"/>
    <n v="62"/>
    <n v="64"/>
    <n v="185"/>
    <n v="61.666666666666664"/>
    <s v="D"/>
    <x v="0"/>
    <x v="3"/>
    <n v="671"/>
    <n v="57.875457875457869"/>
  </r>
  <r>
    <x v="0"/>
    <x v="4"/>
    <x v="1"/>
    <x v="1"/>
    <x v="1"/>
    <n v="42"/>
    <n v="55"/>
    <n v="54"/>
    <n v="151"/>
    <n v="50.333333333333336"/>
    <s v="F"/>
    <x v="1"/>
    <x v="2"/>
    <n v="884"/>
    <n v="45.421245421245423"/>
  </r>
  <r>
    <x v="1"/>
    <x v="2"/>
    <x v="4"/>
    <x v="0"/>
    <x v="0"/>
    <n v="57"/>
    <n v="43"/>
    <n v="47"/>
    <n v="147"/>
    <n v="49"/>
    <s v="F"/>
    <x v="1"/>
    <x v="2"/>
    <n v="905"/>
    <n v="43.956043956043956"/>
  </r>
  <r>
    <x v="1"/>
    <x v="3"/>
    <x v="1"/>
    <x v="0"/>
    <x v="0"/>
    <n v="88"/>
    <n v="73"/>
    <n v="78"/>
    <n v="239"/>
    <n v="79.666666666666671"/>
    <s v="C"/>
    <x v="0"/>
    <x v="0"/>
    <n v="199"/>
    <n v="77.655677655677664"/>
  </r>
  <r>
    <x v="0"/>
    <x v="1"/>
    <x v="1"/>
    <x v="1"/>
    <x v="0"/>
    <n v="22"/>
    <n v="39"/>
    <n v="33"/>
    <n v="94"/>
    <n v="31.333333333333332"/>
    <s v="F"/>
    <x v="1"/>
    <x v="2"/>
    <n v="988"/>
    <n v="24.54212454212454"/>
  </r>
  <r>
    <x v="1"/>
    <x v="0"/>
    <x v="5"/>
    <x v="0"/>
    <x v="0"/>
    <n v="88"/>
    <n v="84"/>
    <n v="75"/>
    <n v="247"/>
    <n v="82.333333333333329"/>
    <s v="B"/>
    <x v="0"/>
    <x v="0"/>
    <n v="155"/>
    <n v="80.586080586080584"/>
  </r>
  <r>
    <x v="1"/>
    <x v="1"/>
    <x v="3"/>
    <x v="1"/>
    <x v="0"/>
    <n v="73"/>
    <n v="68"/>
    <n v="66"/>
    <n v="207"/>
    <n v="69"/>
    <s v="D"/>
    <x v="0"/>
    <x v="3"/>
    <n v="475"/>
    <n v="65.934065934065927"/>
  </r>
  <r>
    <x v="0"/>
    <x v="3"/>
    <x v="0"/>
    <x v="0"/>
    <x v="1"/>
    <n v="68"/>
    <n v="75"/>
    <n v="81"/>
    <n v="224"/>
    <n v="74.666666666666671"/>
    <s v="C"/>
    <x v="0"/>
    <x v="0"/>
    <n v="325"/>
    <n v="72.161172161172175"/>
  </r>
  <r>
    <x v="1"/>
    <x v="4"/>
    <x v="3"/>
    <x v="1"/>
    <x v="1"/>
    <n v="100"/>
    <n v="100"/>
    <n v="93"/>
    <n v="293"/>
    <n v="97.666666666666671"/>
    <s v="A"/>
    <x v="0"/>
    <x v="1"/>
    <n v="9"/>
    <n v="97.435897435897445"/>
  </r>
  <r>
    <x v="1"/>
    <x v="2"/>
    <x v="5"/>
    <x v="0"/>
    <x v="1"/>
    <n v="62"/>
    <n v="67"/>
    <n v="69"/>
    <n v="198"/>
    <n v="66"/>
    <s v="D"/>
    <x v="0"/>
    <x v="3"/>
    <n v="562"/>
    <n v="62.637362637362635"/>
  </r>
  <r>
    <x v="1"/>
    <x v="2"/>
    <x v="0"/>
    <x v="0"/>
    <x v="0"/>
    <n v="77"/>
    <n v="67"/>
    <n v="68"/>
    <n v="212"/>
    <n v="70.666666666666671"/>
    <s v="C"/>
    <x v="0"/>
    <x v="0"/>
    <n v="435"/>
    <n v="67.765567765567766"/>
  </r>
  <r>
    <x v="0"/>
    <x v="0"/>
    <x v="3"/>
    <x v="0"/>
    <x v="1"/>
    <n v="59"/>
    <n v="70"/>
    <n v="66"/>
    <n v="195"/>
    <n v="65"/>
    <s v="D"/>
    <x v="0"/>
    <x v="3"/>
    <n v="593"/>
    <n v="61.53846153846154"/>
  </r>
  <r>
    <x v="1"/>
    <x v="3"/>
    <x v="0"/>
    <x v="0"/>
    <x v="0"/>
    <n v="54"/>
    <n v="49"/>
    <n v="47"/>
    <n v="150"/>
    <n v="50"/>
    <s v="F"/>
    <x v="1"/>
    <x v="2"/>
    <n v="892"/>
    <n v="45.054945054945058"/>
  </r>
  <r>
    <x v="1"/>
    <x v="3"/>
    <x v="5"/>
    <x v="0"/>
    <x v="0"/>
    <n v="62"/>
    <n v="67"/>
    <n v="61"/>
    <n v="190"/>
    <n v="63.333333333333336"/>
    <s v="D"/>
    <x v="0"/>
    <x v="3"/>
    <n v="641"/>
    <n v="59.706959706959708"/>
  </r>
  <r>
    <x v="0"/>
    <x v="1"/>
    <x v="1"/>
    <x v="0"/>
    <x v="1"/>
    <n v="70"/>
    <n v="89"/>
    <n v="88"/>
    <n v="247"/>
    <n v="82.333333333333329"/>
    <s v="B"/>
    <x v="0"/>
    <x v="0"/>
    <n v="155"/>
    <n v="80.586080586080584"/>
  </r>
  <r>
    <x v="0"/>
    <x v="4"/>
    <x v="4"/>
    <x v="1"/>
    <x v="1"/>
    <n v="66"/>
    <n v="74"/>
    <n v="78"/>
    <n v="218"/>
    <n v="72.666666666666671"/>
    <s v="C"/>
    <x v="0"/>
    <x v="0"/>
    <n v="379"/>
    <n v="69.963369963369971"/>
  </r>
  <r>
    <x v="1"/>
    <x v="0"/>
    <x v="1"/>
    <x v="1"/>
    <x v="0"/>
    <n v="60"/>
    <n v="60"/>
    <n v="60"/>
    <n v="180"/>
    <n v="60"/>
    <s v="D"/>
    <x v="0"/>
    <x v="3"/>
    <n v="708"/>
    <n v="56.043956043956044"/>
  </r>
  <r>
    <x v="0"/>
    <x v="0"/>
    <x v="3"/>
    <x v="0"/>
    <x v="1"/>
    <n v="61"/>
    <n v="86"/>
    <n v="87"/>
    <n v="234"/>
    <n v="78"/>
    <s v="C"/>
    <x v="0"/>
    <x v="0"/>
    <n v="240"/>
    <n v="75.824175824175825"/>
  </r>
  <r>
    <x v="1"/>
    <x v="3"/>
    <x v="3"/>
    <x v="1"/>
    <x v="0"/>
    <n v="66"/>
    <n v="62"/>
    <n v="64"/>
    <n v="192"/>
    <n v="64"/>
    <s v="D"/>
    <x v="0"/>
    <x v="3"/>
    <n v="623"/>
    <n v="60.439560439560438"/>
  </r>
  <r>
    <x v="1"/>
    <x v="0"/>
    <x v="3"/>
    <x v="1"/>
    <x v="1"/>
    <n v="82"/>
    <n v="78"/>
    <n v="74"/>
    <n v="234"/>
    <n v="78"/>
    <s v="C"/>
    <x v="0"/>
    <x v="0"/>
    <n v="240"/>
    <n v="75.824175824175825"/>
  </r>
  <r>
    <x v="0"/>
    <x v="4"/>
    <x v="1"/>
    <x v="1"/>
    <x v="1"/>
    <n v="75"/>
    <n v="88"/>
    <n v="85"/>
    <n v="248"/>
    <n v="82.666666666666671"/>
    <s v="B"/>
    <x v="0"/>
    <x v="0"/>
    <n v="149"/>
    <n v="80.952380952380949"/>
  </r>
  <r>
    <x v="1"/>
    <x v="0"/>
    <x v="2"/>
    <x v="1"/>
    <x v="0"/>
    <n v="49"/>
    <n v="53"/>
    <n v="52"/>
    <n v="154"/>
    <n v="51.333333333333336"/>
    <s v="F"/>
    <x v="1"/>
    <x v="2"/>
    <n v="870"/>
    <n v="46.520146520146518"/>
  </r>
  <r>
    <x v="1"/>
    <x v="1"/>
    <x v="4"/>
    <x v="0"/>
    <x v="0"/>
    <n v="52"/>
    <n v="53"/>
    <n v="49"/>
    <n v="154"/>
    <n v="51.333333333333336"/>
    <s v="F"/>
    <x v="1"/>
    <x v="2"/>
    <n v="870"/>
    <n v="46.520146520146518"/>
  </r>
  <r>
    <x v="0"/>
    <x v="4"/>
    <x v="2"/>
    <x v="0"/>
    <x v="0"/>
    <n v="81"/>
    <n v="92"/>
    <n v="91"/>
    <n v="264"/>
    <n v="88"/>
    <s v="B"/>
    <x v="0"/>
    <x v="1"/>
    <n v="74"/>
    <n v="86.813186813186817"/>
  </r>
  <r>
    <x v="0"/>
    <x v="1"/>
    <x v="0"/>
    <x v="0"/>
    <x v="1"/>
    <n v="96"/>
    <n v="100"/>
    <n v="100"/>
    <n v="296"/>
    <n v="98.666666666666671"/>
    <s v="A"/>
    <x v="0"/>
    <x v="1"/>
    <n v="7"/>
    <n v="98.53479853479854"/>
  </r>
  <r>
    <x v="1"/>
    <x v="1"/>
    <x v="4"/>
    <x v="1"/>
    <x v="1"/>
    <n v="53"/>
    <n v="51"/>
    <n v="51"/>
    <n v="155"/>
    <n v="51.666666666666664"/>
    <s v="F"/>
    <x v="1"/>
    <x v="2"/>
    <n v="860"/>
    <n v="46.886446886446883"/>
  </r>
  <r>
    <x v="0"/>
    <x v="0"/>
    <x v="2"/>
    <x v="1"/>
    <x v="1"/>
    <n v="58"/>
    <n v="76"/>
    <n v="78"/>
    <n v="212"/>
    <n v="70.666666666666671"/>
    <s v="C"/>
    <x v="0"/>
    <x v="0"/>
    <n v="435"/>
    <n v="67.765567765567766"/>
  </r>
  <r>
    <x v="0"/>
    <x v="0"/>
    <x v="4"/>
    <x v="0"/>
    <x v="1"/>
    <n v="68"/>
    <n v="83"/>
    <n v="78"/>
    <n v="229"/>
    <n v="76.333333333333329"/>
    <s v="C"/>
    <x v="0"/>
    <x v="0"/>
    <n v="282"/>
    <n v="73.992673992673986"/>
  </r>
  <r>
    <x v="0"/>
    <x v="1"/>
    <x v="1"/>
    <x v="1"/>
    <x v="1"/>
    <n v="67"/>
    <n v="75"/>
    <n v="70"/>
    <n v="212"/>
    <n v="70.666666666666671"/>
    <s v="C"/>
    <x v="0"/>
    <x v="0"/>
    <n v="435"/>
    <n v="67.765567765567766"/>
  </r>
  <r>
    <x v="1"/>
    <x v="2"/>
    <x v="4"/>
    <x v="0"/>
    <x v="1"/>
    <n v="72"/>
    <n v="73"/>
    <n v="74"/>
    <n v="219"/>
    <n v="73"/>
    <s v="C"/>
    <x v="0"/>
    <x v="0"/>
    <n v="367"/>
    <n v="70.329670329670336"/>
  </r>
  <r>
    <x v="1"/>
    <x v="4"/>
    <x v="5"/>
    <x v="0"/>
    <x v="0"/>
    <n v="94"/>
    <n v="88"/>
    <n v="78"/>
    <n v="260"/>
    <n v="86.666666666666671"/>
    <s v="B"/>
    <x v="0"/>
    <x v="1"/>
    <n v="89"/>
    <n v="85.347985347985357"/>
  </r>
  <r>
    <x v="0"/>
    <x v="3"/>
    <x v="1"/>
    <x v="0"/>
    <x v="0"/>
    <n v="79"/>
    <n v="86"/>
    <n v="81"/>
    <n v="246"/>
    <n v="82"/>
    <s v="B"/>
    <x v="0"/>
    <x v="0"/>
    <n v="166"/>
    <n v="80.219780219780219"/>
  </r>
  <r>
    <x v="0"/>
    <x v="1"/>
    <x v="3"/>
    <x v="0"/>
    <x v="0"/>
    <n v="63"/>
    <n v="67"/>
    <n v="70"/>
    <n v="200"/>
    <n v="66.666666666666671"/>
    <s v="D"/>
    <x v="0"/>
    <x v="3"/>
    <n v="549"/>
    <n v="63.369963369963379"/>
  </r>
  <r>
    <x v="0"/>
    <x v="1"/>
    <x v="0"/>
    <x v="1"/>
    <x v="1"/>
    <n v="43"/>
    <n v="51"/>
    <n v="54"/>
    <n v="148"/>
    <n v="49.333333333333336"/>
    <s v="F"/>
    <x v="1"/>
    <x v="2"/>
    <n v="901"/>
    <n v="44.322344322344328"/>
  </r>
  <r>
    <x v="0"/>
    <x v="1"/>
    <x v="2"/>
    <x v="0"/>
    <x v="1"/>
    <n v="81"/>
    <n v="91"/>
    <n v="87"/>
    <n v="259"/>
    <n v="86.333333333333329"/>
    <s v="B"/>
    <x v="0"/>
    <x v="1"/>
    <n v="93"/>
    <n v="84.981684981684978"/>
  </r>
  <r>
    <x v="0"/>
    <x v="0"/>
    <x v="4"/>
    <x v="1"/>
    <x v="1"/>
    <n v="46"/>
    <n v="54"/>
    <n v="58"/>
    <n v="158"/>
    <n v="52.666666666666664"/>
    <s v="F"/>
    <x v="1"/>
    <x v="2"/>
    <n v="843"/>
    <n v="47.985347985347978"/>
  </r>
  <r>
    <x v="0"/>
    <x v="1"/>
    <x v="3"/>
    <x v="0"/>
    <x v="1"/>
    <n v="71"/>
    <n v="77"/>
    <n v="77"/>
    <n v="225"/>
    <n v="75"/>
    <s v="C"/>
    <x v="0"/>
    <x v="0"/>
    <n v="314"/>
    <n v="72.527472527472526"/>
  </r>
  <r>
    <x v="0"/>
    <x v="0"/>
    <x v="2"/>
    <x v="1"/>
    <x v="1"/>
    <n v="52"/>
    <n v="70"/>
    <n v="62"/>
    <n v="184"/>
    <n v="61.333333333333336"/>
    <s v="D"/>
    <x v="0"/>
    <x v="3"/>
    <n v="678"/>
    <n v="57.509157509157518"/>
  </r>
  <r>
    <x v="0"/>
    <x v="3"/>
    <x v="5"/>
    <x v="0"/>
    <x v="1"/>
    <n v="97"/>
    <n v="100"/>
    <n v="100"/>
    <n v="297"/>
    <n v="99"/>
    <s v="A"/>
    <x v="0"/>
    <x v="1"/>
    <n v="5"/>
    <n v="98.901098901098905"/>
  </r>
  <r>
    <x v="1"/>
    <x v="1"/>
    <x v="2"/>
    <x v="1"/>
    <x v="1"/>
    <n v="62"/>
    <n v="68"/>
    <n v="75"/>
    <n v="205"/>
    <n v="68.333333333333329"/>
    <s v="D"/>
    <x v="0"/>
    <x v="3"/>
    <n v="499"/>
    <n v="65.201465201465197"/>
  </r>
  <r>
    <x v="0"/>
    <x v="1"/>
    <x v="1"/>
    <x v="1"/>
    <x v="0"/>
    <n v="46"/>
    <n v="64"/>
    <n v="66"/>
    <n v="176"/>
    <n v="58.666666666666664"/>
    <s v="F"/>
    <x v="1"/>
    <x v="2"/>
    <n v="736"/>
    <n v="54.578754578754577"/>
  </r>
  <r>
    <x v="0"/>
    <x v="4"/>
    <x v="4"/>
    <x v="0"/>
    <x v="0"/>
    <n v="50"/>
    <n v="50"/>
    <n v="47"/>
    <n v="147"/>
    <n v="49"/>
    <s v="F"/>
    <x v="1"/>
    <x v="2"/>
    <n v="905"/>
    <n v="43.956043956043956"/>
  </r>
  <r>
    <x v="0"/>
    <x v="3"/>
    <x v="3"/>
    <x v="0"/>
    <x v="0"/>
    <n v="65"/>
    <n v="69"/>
    <n v="70"/>
    <n v="204"/>
    <n v="68"/>
    <s v="D"/>
    <x v="0"/>
    <x v="3"/>
    <n v="512"/>
    <n v="64.835164835164832"/>
  </r>
  <r>
    <x v="1"/>
    <x v="1"/>
    <x v="5"/>
    <x v="1"/>
    <x v="1"/>
    <n v="45"/>
    <n v="52"/>
    <n v="49"/>
    <n v="146"/>
    <n v="48.666666666666664"/>
    <s v="F"/>
    <x v="1"/>
    <x v="2"/>
    <n v="911"/>
    <n v="43.589743589743584"/>
  </r>
  <r>
    <x v="1"/>
    <x v="1"/>
    <x v="3"/>
    <x v="1"/>
    <x v="1"/>
    <n v="65"/>
    <n v="67"/>
    <n v="65"/>
    <n v="197"/>
    <n v="65.666666666666671"/>
    <s v="D"/>
    <x v="0"/>
    <x v="3"/>
    <n v="576"/>
    <n v="62.27106227106227"/>
  </r>
  <r>
    <x v="1"/>
    <x v="4"/>
    <x v="4"/>
    <x v="0"/>
    <x v="0"/>
    <n v="80"/>
    <n v="76"/>
    <n v="65"/>
    <n v="221"/>
    <n v="73.666666666666671"/>
    <s v="C"/>
    <x v="0"/>
    <x v="0"/>
    <n v="351"/>
    <n v="71.062271062271066"/>
  </r>
  <r>
    <x v="1"/>
    <x v="3"/>
    <x v="5"/>
    <x v="0"/>
    <x v="1"/>
    <n v="62"/>
    <n v="66"/>
    <n v="68"/>
    <n v="196"/>
    <n v="65.333333333333329"/>
    <s v="D"/>
    <x v="0"/>
    <x v="3"/>
    <n v="584"/>
    <n v="61.904761904761898"/>
  </r>
  <r>
    <x v="1"/>
    <x v="0"/>
    <x v="5"/>
    <x v="1"/>
    <x v="0"/>
    <n v="48"/>
    <n v="52"/>
    <n v="45"/>
    <n v="145"/>
    <n v="48.333333333333336"/>
    <s v="F"/>
    <x v="1"/>
    <x v="2"/>
    <n v="915"/>
    <n v="43.223443223443226"/>
  </r>
  <r>
    <x v="0"/>
    <x v="1"/>
    <x v="0"/>
    <x v="0"/>
    <x v="0"/>
    <n v="77"/>
    <n v="88"/>
    <n v="87"/>
    <n v="252"/>
    <n v="84"/>
    <s v="B"/>
    <x v="0"/>
    <x v="0"/>
    <n v="123"/>
    <n v="82.417582417582409"/>
  </r>
  <r>
    <x v="0"/>
    <x v="4"/>
    <x v="3"/>
    <x v="0"/>
    <x v="0"/>
    <n v="66"/>
    <n v="65"/>
    <n v="69"/>
    <n v="200"/>
    <n v="66.666666666666671"/>
    <s v="D"/>
    <x v="0"/>
    <x v="3"/>
    <n v="549"/>
    <n v="63.369963369963379"/>
  </r>
  <r>
    <x v="1"/>
    <x v="3"/>
    <x v="1"/>
    <x v="0"/>
    <x v="1"/>
    <n v="76"/>
    <n v="83"/>
    <n v="79"/>
    <n v="238"/>
    <n v="79.333333333333329"/>
    <s v="C"/>
    <x v="0"/>
    <x v="0"/>
    <n v="207"/>
    <n v="77.289377289377285"/>
  </r>
  <r>
    <x v="0"/>
    <x v="0"/>
    <x v="5"/>
    <x v="0"/>
    <x v="0"/>
    <n v="62"/>
    <n v="64"/>
    <n v="66"/>
    <n v="192"/>
    <n v="64"/>
    <s v="D"/>
    <x v="0"/>
    <x v="3"/>
    <n v="623"/>
    <n v="60.439560439560438"/>
  </r>
  <r>
    <x v="1"/>
    <x v="3"/>
    <x v="1"/>
    <x v="0"/>
    <x v="1"/>
    <n v="77"/>
    <n v="62"/>
    <n v="62"/>
    <n v="201"/>
    <n v="67"/>
    <s v="D"/>
    <x v="0"/>
    <x v="3"/>
    <n v="540"/>
    <n v="63.73626373626373"/>
  </r>
  <r>
    <x v="0"/>
    <x v="1"/>
    <x v="2"/>
    <x v="0"/>
    <x v="1"/>
    <n v="69"/>
    <n v="84"/>
    <n v="85"/>
    <n v="238"/>
    <n v="79.333333333333329"/>
    <s v="C"/>
    <x v="0"/>
    <x v="0"/>
    <n v="207"/>
    <n v="77.289377289377285"/>
  </r>
  <r>
    <x v="1"/>
    <x v="3"/>
    <x v="3"/>
    <x v="0"/>
    <x v="0"/>
    <n v="61"/>
    <n v="55"/>
    <n v="52"/>
    <n v="168"/>
    <n v="56"/>
    <s v="F"/>
    <x v="1"/>
    <x v="2"/>
    <n v="786"/>
    <n v="51.648351648351657"/>
  </r>
  <r>
    <x v="1"/>
    <x v="1"/>
    <x v="5"/>
    <x v="1"/>
    <x v="1"/>
    <n v="59"/>
    <n v="69"/>
    <n v="65"/>
    <n v="193"/>
    <n v="64.333333333333329"/>
    <s v="D"/>
    <x v="0"/>
    <x v="3"/>
    <n v="613"/>
    <n v="60.805860805860803"/>
  </r>
  <r>
    <x v="1"/>
    <x v="4"/>
    <x v="4"/>
    <x v="1"/>
    <x v="0"/>
    <n v="55"/>
    <n v="56"/>
    <n v="51"/>
    <n v="162"/>
    <n v="54"/>
    <s v="F"/>
    <x v="1"/>
    <x v="2"/>
    <n v="824"/>
    <n v="49.450549450549453"/>
  </r>
  <r>
    <x v="0"/>
    <x v="0"/>
    <x v="1"/>
    <x v="1"/>
    <x v="0"/>
    <n v="45"/>
    <n v="53"/>
    <n v="55"/>
    <n v="153"/>
    <n v="51"/>
    <s v="F"/>
    <x v="1"/>
    <x v="2"/>
    <n v="876"/>
    <n v="46.153846153846153"/>
  </r>
  <r>
    <x v="0"/>
    <x v="0"/>
    <x v="0"/>
    <x v="1"/>
    <x v="0"/>
    <n v="78"/>
    <n v="79"/>
    <n v="76"/>
    <n v="233"/>
    <n v="77.666666666666671"/>
    <s v="C"/>
    <x v="0"/>
    <x v="0"/>
    <n v="250"/>
    <n v="75.457875457875474"/>
  </r>
  <r>
    <x v="0"/>
    <x v="1"/>
    <x v="3"/>
    <x v="0"/>
    <x v="1"/>
    <n v="67"/>
    <n v="84"/>
    <n v="86"/>
    <n v="237"/>
    <n v="79"/>
    <s v="C"/>
    <x v="0"/>
    <x v="0"/>
    <n v="215"/>
    <n v="76.923076923076934"/>
  </r>
  <r>
    <x v="0"/>
    <x v="3"/>
    <x v="1"/>
    <x v="1"/>
    <x v="0"/>
    <n v="65"/>
    <n v="81"/>
    <n v="77"/>
    <n v="223"/>
    <n v="74.333333333333329"/>
    <s v="C"/>
    <x v="0"/>
    <x v="0"/>
    <n v="333"/>
    <n v="71.794871794871796"/>
  </r>
  <r>
    <x v="1"/>
    <x v="1"/>
    <x v="3"/>
    <x v="0"/>
    <x v="0"/>
    <n v="69"/>
    <n v="77"/>
    <n v="69"/>
    <n v="215"/>
    <n v="71.666666666666671"/>
    <s v="C"/>
    <x v="0"/>
    <x v="0"/>
    <n v="404"/>
    <n v="68.864468864468876"/>
  </r>
  <r>
    <x v="0"/>
    <x v="0"/>
    <x v="3"/>
    <x v="0"/>
    <x v="0"/>
    <n v="57"/>
    <n v="69"/>
    <n v="68"/>
    <n v="194"/>
    <n v="64.666666666666671"/>
    <s v="D"/>
    <x v="0"/>
    <x v="3"/>
    <n v="602"/>
    <n v="61.172161172161175"/>
  </r>
  <r>
    <x v="1"/>
    <x v="1"/>
    <x v="1"/>
    <x v="0"/>
    <x v="0"/>
    <n v="59"/>
    <n v="41"/>
    <n v="42"/>
    <n v="142"/>
    <n v="47.333333333333336"/>
    <s v="F"/>
    <x v="1"/>
    <x v="2"/>
    <n v="927"/>
    <n v="42.124542124542124"/>
  </r>
  <r>
    <x v="1"/>
    <x v="3"/>
    <x v="5"/>
    <x v="0"/>
    <x v="1"/>
    <n v="74"/>
    <n v="71"/>
    <n v="78"/>
    <n v="223"/>
    <n v="74.333333333333329"/>
    <s v="C"/>
    <x v="0"/>
    <x v="0"/>
    <n v="333"/>
    <n v="71.794871794871796"/>
  </r>
  <r>
    <x v="1"/>
    <x v="4"/>
    <x v="0"/>
    <x v="0"/>
    <x v="0"/>
    <n v="82"/>
    <n v="62"/>
    <n v="62"/>
    <n v="206"/>
    <n v="68.666666666666671"/>
    <s v="D"/>
    <x v="0"/>
    <x v="3"/>
    <n v="487"/>
    <n v="65.567765567765562"/>
  </r>
  <r>
    <x v="1"/>
    <x v="4"/>
    <x v="4"/>
    <x v="0"/>
    <x v="1"/>
    <n v="81"/>
    <n v="80"/>
    <n v="76"/>
    <n v="237"/>
    <n v="79"/>
    <s v="C"/>
    <x v="0"/>
    <x v="0"/>
    <n v="215"/>
    <n v="76.923076923076934"/>
  </r>
  <r>
    <x v="0"/>
    <x v="0"/>
    <x v="1"/>
    <x v="1"/>
    <x v="0"/>
    <n v="74"/>
    <n v="81"/>
    <n v="76"/>
    <n v="231"/>
    <n v="77"/>
    <s v="C"/>
    <x v="0"/>
    <x v="0"/>
    <n v="269"/>
    <n v="74.72527472527473"/>
  </r>
  <r>
    <x v="0"/>
    <x v="0"/>
    <x v="1"/>
    <x v="1"/>
    <x v="0"/>
    <n v="58"/>
    <n v="61"/>
    <n v="66"/>
    <n v="185"/>
    <n v="61.666666666666664"/>
    <s v="D"/>
    <x v="0"/>
    <x v="3"/>
    <n v="671"/>
    <n v="57.875457875457869"/>
  </r>
  <r>
    <x v="1"/>
    <x v="3"/>
    <x v="5"/>
    <x v="1"/>
    <x v="1"/>
    <n v="80"/>
    <n v="79"/>
    <n v="79"/>
    <n v="238"/>
    <n v="79.333333333333329"/>
    <s v="C"/>
    <x v="0"/>
    <x v="0"/>
    <n v="207"/>
    <n v="77.289377289377285"/>
  </r>
  <r>
    <x v="1"/>
    <x v="1"/>
    <x v="1"/>
    <x v="1"/>
    <x v="0"/>
    <n v="35"/>
    <n v="28"/>
    <n v="27"/>
    <n v="90"/>
    <n v="30"/>
    <s v="F"/>
    <x v="1"/>
    <x v="2"/>
    <n v="991"/>
    <n v="23.076923076923077"/>
  </r>
  <r>
    <x v="0"/>
    <x v="1"/>
    <x v="4"/>
    <x v="1"/>
    <x v="0"/>
    <n v="42"/>
    <n v="62"/>
    <n v="60"/>
    <n v="164"/>
    <n v="54.666666666666664"/>
    <s v="F"/>
    <x v="1"/>
    <x v="2"/>
    <n v="810"/>
    <n v="50.183150183150182"/>
  </r>
  <r>
    <x v="1"/>
    <x v="1"/>
    <x v="3"/>
    <x v="1"/>
    <x v="1"/>
    <n v="60"/>
    <n v="51"/>
    <n v="56"/>
    <n v="167"/>
    <n v="55.666666666666664"/>
    <s v="F"/>
    <x v="1"/>
    <x v="2"/>
    <n v="796"/>
    <n v="51.282051282051277"/>
  </r>
  <r>
    <x v="1"/>
    <x v="4"/>
    <x v="4"/>
    <x v="0"/>
    <x v="1"/>
    <n v="87"/>
    <n v="91"/>
    <n v="81"/>
    <n v="259"/>
    <n v="86.333333333333329"/>
    <s v="B"/>
    <x v="0"/>
    <x v="1"/>
    <n v="93"/>
    <n v="84.981684981684978"/>
  </r>
  <r>
    <x v="1"/>
    <x v="0"/>
    <x v="5"/>
    <x v="0"/>
    <x v="1"/>
    <n v="84"/>
    <n v="83"/>
    <n v="75"/>
    <n v="242"/>
    <n v="80.666666666666671"/>
    <s v="B"/>
    <x v="0"/>
    <x v="0"/>
    <n v="180"/>
    <n v="78.754578754578759"/>
  </r>
  <r>
    <x v="0"/>
    <x v="4"/>
    <x v="3"/>
    <x v="1"/>
    <x v="1"/>
    <n v="83"/>
    <n v="86"/>
    <n v="88"/>
    <n v="257"/>
    <n v="85.666666666666671"/>
    <s v="B"/>
    <x v="0"/>
    <x v="1"/>
    <n v="103"/>
    <n v="84.249084249084248"/>
  </r>
  <r>
    <x v="0"/>
    <x v="1"/>
    <x v="4"/>
    <x v="1"/>
    <x v="0"/>
    <n v="34"/>
    <n v="42"/>
    <n v="39"/>
    <n v="115"/>
    <n v="38.333333333333336"/>
    <s v="F"/>
    <x v="1"/>
    <x v="2"/>
    <n v="978"/>
    <n v="32.234432234432234"/>
  </r>
  <r>
    <x v="1"/>
    <x v="0"/>
    <x v="4"/>
    <x v="1"/>
    <x v="0"/>
    <n v="66"/>
    <n v="77"/>
    <n v="70"/>
    <n v="213"/>
    <n v="71"/>
    <s v="C"/>
    <x v="0"/>
    <x v="0"/>
    <n v="424"/>
    <n v="68.131868131868131"/>
  </r>
  <r>
    <x v="1"/>
    <x v="0"/>
    <x v="5"/>
    <x v="0"/>
    <x v="1"/>
    <n v="61"/>
    <n v="56"/>
    <n v="56"/>
    <n v="173"/>
    <n v="57.666666666666664"/>
    <s v="F"/>
    <x v="1"/>
    <x v="2"/>
    <n v="756"/>
    <n v="53.479853479853482"/>
  </r>
  <r>
    <x v="0"/>
    <x v="3"/>
    <x v="4"/>
    <x v="0"/>
    <x v="1"/>
    <n v="56"/>
    <n v="68"/>
    <n v="74"/>
    <n v="198"/>
    <n v="66"/>
    <s v="D"/>
    <x v="0"/>
    <x v="3"/>
    <n v="562"/>
    <n v="62.637362637362635"/>
  </r>
  <r>
    <x v="1"/>
    <x v="0"/>
    <x v="3"/>
    <x v="0"/>
    <x v="0"/>
    <n v="87"/>
    <n v="85"/>
    <n v="73"/>
    <n v="245"/>
    <n v="81.666666666666671"/>
    <s v="B"/>
    <x v="0"/>
    <x v="0"/>
    <n v="169"/>
    <n v="79.853479853479854"/>
  </r>
  <r>
    <x v="0"/>
    <x v="1"/>
    <x v="5"/>
    <x v="1"/>
    <x v="0"/>
    <n v="55"/>
    <n v="65"/>
    <n v="62"/>
    <n v="182"/>
    <n v="60.666666666666664"/>
    <s v="D"/>
    <x v="0"/>
    <x v="3"/>
    <n v="693"/>
    <n v="56.776556776556774"/>
  </r>
  <r>
    <x v="1"/>
    <x v="3"/>
    <x v="5"/>
    <x v="0"/>
    <x v="0"/>
    <n v="86"/>
    <n v="80"/>
    <n v="75"/>
    <n v="241"/>
    <n v="80.333333333333329"/>
    <s v="B"/>
    <x v="0"/>
    <x v="0"/>
    <n v="187"/>
    <n v="78.388278388278394"/>
  </r>
  <r>
    <x v="0"/>
    <x v="0"/>
    <x v="3"/>
    <x v="0"/>
    <x v="1"/>
    <n v="52"/>
    <n v="66"/>
    <n v="73"/>
    <n v="191"/>
    <n v="63.666666666666664"/>
    <s v="D"/>
    <x v="0"/>
    <x v="3"/>
    <n v="632"/>
    <n v="60.073260073260073"/>
  </r>
  <r>
    <x v="0"/>
    <x v="4"/>
    <x v="2"/>
    <x v="1"/>
    <x v="0"/>
    <n v="45"/>
    <n v="56"/>
    <n v="54"/>
    <n v="155"/>
    <n v="51.666666666666664"/>
    <s v="F"/>
    <x v="1"/>
    <x v="2"/>
    <n v="860"/>
    <n v="46.886446886446883"/>
  </r>
  <r>
    <x v="0"/>
    <x v="1"/>
    <x v="1"/>
    <x v="0"/>
    <x v="0"/>
    <n v="72"/>
    <n v="72"/>
    <n v="71"/>
    <n v="215"/>
    <n v="71.666666666666671"/>
    <s v="C"/>
    <x v="0"/>
    <x v="0"/>
    <n v="404"/>
    <n v="68.864468864468876"/>
  </r>
  <r>
    <x v="1"/>
    <x v="3"/>
    <x v="4"/>
    <x v="0"/>
    <x v="0"/>
    <n v="57"/>
    <n v="50"/>
    <n v="54"/>
    <n v="161"/>
    <n v="53.666666666666664"/>
    <s v="F"/>
    <x v="1"/>
    <x v="2"/>
    <n v="830"/>
    <n v="49.08424908424908"/>
  </r>
  <r>
    <x v="1"/>
    <x v="2"/>
    <x v="5"/>
    <x v="1"/>
    <x v="0"/>
    <n v="68"/>
    <n v="72"/>
    <n v="64"/>
    <n v="204"/>
    <n v="68"/>
    <s v="D"/>
    <x v="0"/>
    <x v="3"/>
    <n v="512"/>
    <n v="64.835164835164832"/>
  </r>
  <r>
    <x v="0"/>
    <x v="1"/>
    <x v="1"/>
    <x v="0"/>
    <x v="1"/>
    <n v="88"/>
    <n v="95"/>
    <n v="94"/>
    <n v="277"/>
    <n v="92.333333333333329"/>
    <s v="A"/>
    <x v="0"/>
    <x v="1"/>
    <n v="34"/>
    <n v="91.575091575091577"/>
  </r>
  <r>
    <x v="1"/>
    <x v="3"/>
    <x v="1"/>
    <x v="0"/>
    <x v="0"/>
    <n v="76"/>
    <n v="64"/>
    <n v="66"/>
    <n v="206"/>
    <n v="68.666666666666671"/>
    <s v="D"/>
    <x v="0"/>
    <x v="3"/>
    <n v="487"/>
    <n v="65.567765567765562"/>
  </r>
  <r>
    <x v="1"/>
    <x v="1"/>
    <x v="3"/>
    <x v="0"/>
    <x v="0"/>
    <n v="46"/>
    <n v="43"/>
    <n v="42"/>
    <n v="131"/>
    <n v="43.666666666666664"/>
    <s v="F"/>
    <x v="1"/>
    <x v="2"/>
    <n v="954"/>
    <n v="38.095238095238095"/>
  </r>
  <r>
    <x v="0"/>
    <x v="0"/>
    <x v="0"/>
    <x v="0"/>
    <x v="0"/>
    <n v="67"/>
    <n v="86"/>
    <n v="83"/>
    <n v="236"/>
    <n v="78.666666666666671"/>
    <s v="C"/>
    <x v="0"/>
    <x v="0"/>
    <n v="222"/>
    <n v="76.556776556776569"/>
  </r>
  <r>
    <x v="1"/>
    <x v="4"/>
    <x v="5"/>
    <x v="0"/>
    <x v="0"/>
    <n v="92"/>
    <n v="87"/>
    <n v="78"/>
    <n v="257"/>
    <n v="85.666666666666671"/>
    <s v="B"/>
    <x v="0"/>
    <x v="1"/>
    <n v="103"/>
    <n v="84.249084249084248"/>
  </r>
  <r>
    <x v="1"/>
    <x v="1"/>
    <x v="0"/>
    <x v="0"/>
    <x v="1"/>
    <n v="83"/>
    <n v="82"/>
    <n v="84"/>
    <n v="249"/>
    <n v="83"/>
    <s v="B"/>
    <x v="0"/>
    <x v="0"/>
    <n v="140"/>
    <n v="81.318681318681314"/>
  </r>
  <r>
    <x v="1"/>
    <x v="3"/>
    <x v="3"/>
    <x v="0"/>
    <x v="0"/>
    <n v="80"/>
    <n v="75"/>
    <n v="77"/>
    <n v="232"/>
    <n v="77.333333333333329"/>
    <s v="C"/>
    <x v="0"/>
    <x v="0"/>
    <n v="255"/>
    <n v="75.091575091575095"/>
  </r>
  <r>
    <x v="1"/>
    <x v="3"/>
    <x v="0"/>
    <x v="1"/>
    <x v="0"/>
    <n v="63"/>
    <n v="66"/>
    <n v="67"/>
    <n v="196"/>
    <n v="65.333333333333329"/>
    <s v="D"/>
    <x v="0"/>
    <x v="3"/>
    <n v="584"/>
    <n v="61.904761904761898"/>
  </r>
  <r>
    <x v="0"/>
    <x v="3"/>
    <x v="5"/>
    <x v="0"/>
    <x v="1"/>
    <n v="64"/>
    <n v="60"/>
    <n v="74"/>
    <n v="198"/>
    <n v="66"/>
    <s v="D"/>
    <x v="0"/>
    <x v="3"/>
    <n v="562"/>
    <n v="62.637362637362635"/>
  </r>
  <r>
    <x v="1"/>
    <x v="0"/>
    <x v="1"/>
    <x v="0"/>
    <x v="0"/>
    <n v="54"/>
    <n v="52"/>
    <n v="51"/>
    <n v="157"/>
    <n v="52.333333333333336"/>
    <s v="F"/>
    <x v="1"/>
    <x v="2"/>
    <n v="850"/>
    <n v="47.61904761904762"/>
  </r>
  <r>
    <x v="1"/>
    <x v="1"/>
    <x v="3"/>
    <x v="0"/>
    <x v="0"/>
    <n v="84"/>
    <n v="80"/>
    <n v="80"/>
    <n v="244"/>
    <n v="81.333333333333329"/>
    <s v="B"/>
    <x v="0"/>
    <x v="0"/>
    <n v="173"/>
    <n v="79.487179487179489"/>
  </r>
  <r>
    <x v="1"/>
    <x v="3"/>
    <x v="4"/>
    <x v="1"/>
    <x v="1"/>
    <n v="73"/>
    <n v="68"/>
    <n v="66"/>
    <n v="207"/>
    <n v="69"/>
    <s v="D"/>
    <x v="0"/>
    <x v="3"/>
    <n v="475"/>
    <n v="65.934065934065927"/>
  </r>
  <r>
    <x v="0"/>
    <x v="4"/>
    <x v="0"/>
    <x v="0"/>
    <x v="0"/>
    <n v="80"/>
    <n v="83"/>
    <n v="83"/>
    <n v="246"/>
    <n v="82"/>
    <s v="B"/>
    <x v="0"/>
    <x v="0"/>
    <n v="166"/>
    <n v="80.219780219780219"/>
  </r>
  <r>
    <x v="0"/>
    <x v="3"/>
    <x v="4"/>
    <x v="0"/>
    <x v="0"/>
    <n v="56"/>
    <n v="52"/>
    <n v="55"/>
    <n v="163"/>
    <n v="54.333333333333336"/>
    <s v="F"/>
    <x v="1"/>
    <x v="2"/>
    <n v="819"/>
    <n v="49.816849816849818"/>
  </r>
  <r>
    <x v="1"/>
    <x v="4"/>
    <x v="1"/>
    <x v="0"/>
    <x v="0"/>
    <n v="59"/>
    <n v="51"/>
    <n v="43"/>
    <n v="153"/>
    <n v="51"/>
    <s v="F"/>
    <x v="1"/>
    <x v="2"/>
    <n v="876"/>
    <n v="46.153846153846153"/>
  </r>
  <r>
    <x v="1"/>
    <x v="3"/>
    <x v="5"/>
    <x v="0"/>
    <x v="0"/>
    <n v="75"/>
    <n v="74"/>
    <n v="69"/>
    <n v="218"/>
    <n v="72.666666666666671"/>
    <s v="C"/>
    <x v="0"/>
    <x v="0"/>
    <n v="379"/>
    <n v="69.963369963369971"/>
  </r>
  <r>
    <x v="1"/>
    <x v="1"/>
    <x v="3"/>
    <x v="0"/>
    <x v="0"/>
    <n v="85"/>
    <n v="76"/>
    <n v="71"/>
    <n v="232"/>
    <n v="77.333333333333329"/>
    <s v="C"/>
    <x v="0"/>
    <x v="0"/>
    <n v="255"/>
    <n v="75.091575091575095"/>
  </r>
  <r>
    <x v="1"/>
    <x v="4"/>
    <x v="3"/>
    <x v="0"/>
    <x v="0"/>
    <n v="89"/>
    <n v="76"/>
    <n v="74"/>
    <n v="239"/>
    <n v="79.666666666666671"/>
    <s v="C"/>
    <x v="0"/>
    <x v="0"/>
    <n v="199"/>
    <n v="77.655677655677664"/>
  </r>
  <r>
    <x v="0"/>
    <x v="0"/>
    <x v="4"/>
    <x v="0"/>
    <x v="1"/>
    <n v="58"/>
    <n v="70"/>
    <n v="68"/>
    <n v="196"/>
    <n v="65.333333333333329"/>
    <s v="D"/>
    <x v="0"/>
    <x v="3"/>
    <n v="584"/>
    <n v="61.904761904761898"/>
  </r>
  <r>
    <x v="0"/>
    <x v="0"/>
    <x v="4"/>
    <x v="0"/>
    <x v="0"/>
    <n v="65"/>
    <n v="64"/>
    <n v="62"/>
    <n v="191"/>
    <n v="63.666666666666664"/>
    <s v="D"/>
    <x v="0"/>
    <x v="3"/>
    <n v="632"/>
    <n v="60.073260073260073"/>
  </r>
  <r>
    <x v="1"/>
    <x v="1"/>
    <x v="4"/>
    <x v="0"/>
    <x v="0"/>
    <n v="68"/>
    <n v="60"/>
    <n v="53"/>
    <n v="181"/>
    <n v="60.333333333333336"/>
    <s v="D"/>
    <x v="0"/>
    <x v="3"/>
    <n v="700"/>
    <n v="56.410256410256409"/>
  </r>
  <r>
    <x v="1"/>
    <x v="2"/>
    <x v="5"/>
    <x v="0"/>
    <x v="1"/>
    <n v="47"/>
    <n v="49"/>
    <n v="49"/>
    <n v="145"/>
    <n v="48.333333333333336"/>
    <s v="F"/>
    <x v="1"/>
    <x v="2"/>
    <n v="915"/>
    <n v="43.223443223443226"/>
  </r>
  <r>
    <x v="0"/>
    <x v="3"/>
    <x v="1"/>
    <x v="1"/>
    <x v="0"/>
    <n v="71"/>
    <n v="83"/>
    <n v="83"/>
    <n v="237"/>
    <n v="79"/>
    <s v="C"/>
    <x v="0"/>
    <x v="0"/>
    <n v="215"/>
    <n v="76.923076923076934"/>
  </r>
  <r>
    <x v="0"/>
    <x v="0"/>
    <x v="5"/>
    <x v="0"/>
    <x v="1"/>
    <n v="60"/>
    <n v="70"/>
    <n v="70"/>
    <n v="200"/>
    <n v="66.666666666666671"/>
    <s v="D"/>
    <x v="0"/>
    <x v="3"/>
    <n v="549"/>
    <n v="63.369963369963379"/>
  </r>
  <r>
    <x v="1"/>
    <x v="3"/>
    <x v="2"/>
    <x v="0"/>
    <x v="0"/>
    <n v="80"/>
    <n v="80"/>
    <n v="72"/>
    <n v="232"/>
    <n v="77.333333333333329"/>
    <s v="C"/>
    <x v="0"/>
    <x v="0"/>
    <n v="255"/>
    <n v="75.091575091575095"/>
  </r>
  <r>
    <x v="1"/>
    <x v="3"/>
    <x v="4"/>
    <x v="0"/>
    <x v="0"/>
    <n v="54"/>
    <n v="52"/>
    <n v="52"/>
    <n v="158"/>
    <n v="52.666666666666664"/>
    <s v="F"/>
    <x v="1"/>
    <x v="2"/>
    <n v="843"/>
    <n v="47.985347985347978"/>
  </r>
  <r>
    <x v="0"/>
    <x v="4"/>
    <x v="1"/>
    <x v="0"/>
    <x v="0"/>
    <n v="62"/>
    <n v="73"/>
    <n v="70"/>
    <n v="205"/>
    <n v="68.333333333333329"/>
    <s v="D"/>
    <x v="0"/>
    <x v="3"/>
    <n v="499"/>
    <n v="65.201465201465197"/>
  </r>
  <r>
    <x v="0"/>
    <x v="1"/>
    <x v="3"/>
    <x v="1"/>
    <x v="0"/>
    <n v="64"/>
    <n v="73"/>
    <n v="68"/>
    <n v="205"/>
    <n v="68.333333333333329"/>
    <s v="D"/>
    <x v="0"/>
    <x v="3"/>
    <n v="499"/>
    <n v="65.201465201465197"/>
  </r>
  <r>
    <x v="1"/>
    <x v="1"/>
    <x v="3"/>
    <x v="0"/>
    <x v="1"/>
    <n v="78"/>
    <n v="77"/>
    <n v="77"/>
    <n v="232"/>
    <n v="77.333333333333329"/>
    <s v="C"/>
    <x v="0"/>
    <x v="0"/>
    <n v="255"/>
    <n v="75.091575091575095"/>
  </r>
  <r>
    <x v="0"/>
    <x v="0"/>
    <x v="1"/>
    <x v="0"/>
    <x v="0"/>
    <n v="70"/>
    <n v="75"/>
    <n v="78"/>
    <n v="223"/>
    <n v="74.333333333333329"/>
    <s v="C"/>
    <x v="0"/>
    <x v="0"/>
    <n v="333"/>
    <n v="71.794871794871796"/>
  </r>
  <r>
    <x v="0"/>
    <x v="1"/>
    <x v="2"/>
    <x v="1"/>
    <x v="1"/>
    <n v="65"/>
    <n v="81"/>
    <n v="81"/>
    <n v="227"/>
    <n v="75.666666666666671"/>
    <s v="C"/>
    <x v="0"/>
    <x v="0"/>
    <n v="297"/>
    <n v="73.26007326007327"/>
  </r>
  <r>
    <x v="0"/>
    <x v="1"/>
    <x v="5"/>
    <x v="1"/>
    <x v="1"/>
    <n v="64"/>
    <n v="79"/>
    <n v="77"/>
    <n v="220"/>
    <n v="73.333333333333329"/>
    <s v="C"/>
    <x v="0"/>
    <x v="0"/>
    <n v="356"/>
    <n v="70.695970695970686"/>
  </r>
  <r>
    <x v="1"/>
    <x v="1"/>
    <x v="1"/>
    <x v="0"/>
    <x v="1"/>
    <n v="79"/>
    <n v="79"/>
    <n v="78"/>
    <n v="236"/>
    <n v="78.666666666666671"/>
    <s v="C"/>
    <x v="0"/>
    <x v="0"/>
    <n v="222"/>
    <n v="76.556776556776569"/>
  </r>
  <r>
    <x v="0"/>
    <x v="1"/>
    <x v="5"/>
    <x v="1"/>
    <x v="0"/>
    <n v="44"/>
    <n v="50"/>
    <n v="51"/>
    <n v="145"/>
    <n v="48.333333333333336"/>
    <s v="F"/>
    <x v="1"/>
    <x v="2"/>
    <n v="915"/>
    <n v="43.223443223443226"/>
  </r>
  <r>
    <x v="0"/>
    <x v="4"/>
    <x v="4"/>
    <x v="0"/>
    <x v="0"/>
    <n v="99"/>
    <n v="93"/>
    <n v="90"/>
    <n v="282"/>
    <n v="94"/>
    <s v="A"/>
    <x v="0"/>
    <x v="1"/>
    <n v="23"/>
    <n v="93.406593406593402"/>
  </r>
  <r>
    <x v="1"/>
    <x v="3"/>
    <x v="4"/>
    <x v="0"/>
    <x v="0"/>
    <n v="76"/>
    <n v="73"/>
    <n v="68"/>
    <n v="217"/>
    <n v="72.333333333333329"/>
    <s v="C"/>
    <x v="0"/>
    <x v="0"/>
    <n v="389"/>
    <n v="69.597069597069591"/>
  </r>
  <r>
    <x v="1"/>
    <x v="3"/>
    <x v="5"/>
    <x v="1"/>
    <x v="0"/>
    <n v="59"/>
    <n v="42"/>
    <n v="41"/>
    <n v="142"/>
    <n v="47.333333333333336"/>
    <s v="F"/>
    <x v="1"/>
    <x v="2"/>
    <n v="927"/>
    <n v="42.124542124542124"/>
  </r>
  <r>
    <x v="0"/>
    <x v="1"/>
    <x v="0"/>
    <x v="0"/>
    <x v="0"/>
    <n v="63"/>
    <n v="75"/>
    <n v="81"/>
    <n v="219"/>
    <n v="73"/>
    <s v="C"/>
    <x v="0"/>
    <x v="0"/>
    <n v="367"/>
    <n v="70.329670329670336"/>
  </r>
  <r>
    <x v="0"/>
    <x v="3"/>
    <x v="4"/>
    <x v="0"/>
    <x v="0"/>
    <n v="69"/>
    <n v="72"/>
    <n v="77"/>
    <n v="218"/>
    <n v="72.666666666666671"/>
    <s v="C"/>
    <x v="0"/>
    <x v="0"/>
    <n v="379"/>
    <n v="69.963369963369971"/>
  </r>
  <r>
    <x v="0"/>
    <x v="3"/>
    <x v="3"/>
    <x v="0"/>
    <x v="1"/>
    <n v="88"/>
    <n v="92"/>
    <n v="95"/>
    <n v="275"/>
    <n v="91.666666666666671"/>
    <s v="A"/>
    <x v="0"/>
    <x v="1"/>
    <n v="37"/>
    <n v="90.842490842490847"/>
  </r>
  <r>
    <x v="0"/>
    <x v="4"/>
    <x v="1"/>
    <x v="1"/>
    <x v="0"/>
    <n v="71"/>
    <n v="76"/>
    <n v="70"/>
    <n v="217"/>
    <n v="72.333333333333329"/>
    <s v="C"/>
    <x v="0"/>
    <x v="0"/>
    <n v="389"/>
    <n v="69.597069597069591"/>
  </r>
  <r>
    <x v="1"/>
    <x v="1"/>
    <x v="0"/>
    <x v="0"/>
    <x v="0"/>
    <n v="69"/>
    <n v="63"/>
    <n v="61"/>
    <n v="193"/>
    <n v="64.333333333333329"/>
    <s v="D"/>
    <x v="0"/>
    <x v="3"/>
    <n v="613"/>
    <n v="60.805860805860803"/>
  </r>
  <r>
    <x v="1"/>
    <x v="1"/>
    <x v="1"/>
    <x v="0"/>
    <x v="0"/>
    <n v="58"/>
    <n v="49"/>
    <n v="42"/>
    <n v="149"/>
    <n v="49.666666666666664"/>
    <s v="F"/>
    <x v="1"/>
    <x v="2"/>
    <n v="898"/>
    <n v="44.688644688644686"/>
  </r>
  <r>
    <x v="0"/>
    <x v="3"/>
    <x v="3"/>
    <x v="1"/>
    <x v="0"/>
    <n v="47"/>
    <n v="53"/>
    <n v="58"/>
    <n v="158"/>
    <n v="52.666666666666664"/>
    <s v="F"/>
    <x v="1"/>
    <x v="2"/>
    <n v="843"/>
    <n v="47.985347985347978"/>
  </r>
  <r>
    <x v="0"/>
    <x v="3"/>
    <x v="1"/>
    <x v="0"/>
    <x v="0"/>
    <n v="65"/>
    <n v="70"/>
    <n v="71"/>
    <n v="206"/>
    <n v="68.666666666666671"/>
    <s v="D"/>
    <x v="0"/>
    <x v="3"/>
    <n v="487"/>
    <n v="65.567765567765562"/>
  </r>
  <r>
    <x v="1"/>
    <x v="0"/>
    <x v="1"/>
    <x v="0"/>
    <x v="1"/>
    <n v="88"/>
    <n v="85"/>
    <n v="76"/>
    <n v="249"/>
    <n v="83"/>
    <s v="B"/>
    <x v="0"/>
    <x v="0"/>
    <n v="140"/>
    <n v="81.318681318681314"/>
  </r>
  <r>
    <x v="1"/>
    <x v="1"/>
    <x v="0"/>
    <x v="0"/>
    <x v="0"/>
    <n v="83"/>
    <n v="78"/>
    <n v="73"/>
    <n v="234"/>
    <n v="78"/>
    <s v="C"/>
    <x v="0"/>
    <x v="0"/>
    <n v="240"/>
    <n v="75.824175824175825"/>
  </r>
  <r>
    <x v="0"/>
    <x v="1"/>
    <x v="5"/>
    <x v="0"/>
    <x v="1"/>
    <n v="85"/>
    <n v="92"/>
    <n v="93"/>
    <n v="270"/>
    <n v="90"/>
    <s v="A"/>
    <x v="0"/>
    <x v="1"/>
    <n v="51"/>
    <n v="89.010989010989007"/>
  </r>
  <r>
    <x v="0"/>
    <x v="4"/>
    <x v="4"/>
    <x v="0"/>
    <x v="1"/>
    <n v="59"/>
    <n v="63"/>
    <n v="75"/>
    <n v="197"/>
    <n v="65.666666666666671"/>
    <s v="D"/>
    <x v="0"/>
    <x v="3"/>
    <n v="576"/>
    <n v="62.27106227106227"/>
  </r>
  <r>
    <x v="0"/>
    <x v="1"/>
    <x v="5"/>
    <x v="1"/>
    <x v="0"/>
    <n v="65"/>
    <n v="86"/>
    <n v="80"/>
    <n v="231"/>
    <n v="77"/>
    <s v="C"/>
    <x v="0"/>
    <x v="0"/>
    <n v="269"/>
    <n v="74.72527472527473"/>
  </r>
  <r>
    <x v="1"/>
    <x v="0"/>
    <x v="0"/>
    <x v="1"/>
    <x v="0"/>
    <n v="73"/>
    <n v="56"/>
    <n v="57"/>
    <n v="186"/>
    <n v="62"/>
    <s v="D"/>
    <x v="0"/>
    <x v="3"/>
    <n v="665"/>
    <n v="58.241758241758248"/>
  </r>
  <r>
    <x v="1"/>
    <x v="3"/>
    <x v="4"/>
    <x v="0"/>
    <x v="0"/>
    <n v="53"/>
    <n v="52"/>
    <n v="42"/>
    <n v="147"/>
    <n v="49"/>
    <s v="F"/>
    <x v="1"/>
    <x v="2"/>
    <n v="905"/>
    <n v="43.956043956043956"/>
  </r>
  <r>
    <x v="1"/>
    <x v="3"/>
    <x v="4"/>
    <x v="0"/>
    <x v="0"/>
    <n v="45"/>
    <n v="48"/>
    <n v="46"/>
    <n v="139"/>
    <n v="46.333333333333336"/>
    <s v="F"/>
    <x v="1"/>
    <x v="2"/>
    <n v="934"/>
    <n v="41.025641025641029"/>
  </r>
  <r>
    <x v="0"/>
    <x v="3"/>
    <x v="0"/>
    <x v="1"/>
    <x v="0"/>
    <n v="73"/>
    <n v="79"/>
    <n v="84"/>
    <n v="236"/>
    <n v="78.666666666666671"/>
    <s v="C"/>
    <x v="0"/>
    <x v="0"/>
    <n v="222"/>
    <n v="76.556776556776569"/>
  </r>
  <r>
    <x v="0"/>
    <x v="3"/>
    <x v="1"/>
    <x v="1"/>
    <x v="1"/>
    <n v="70"/>
    <n v="78"/>
    <n v="78"/>
    <n v="226"/>
    <n v="75.333333333333329"/>
    <s v="C"/>
    <x v="0"/>
    <x v="0"/>
    <n v="307"/>
    <n v="72.893772893772891"/>
  </r>
  <r>
    <x v="0"/>
    <x v="0"/>
    <x v="5"/>
    <x v="0"/>
    <x v="0"/>
    <n v="37"/>
    <n v="46"/>
    <n v="46"/>
    <n v="129"/>
    <n v="43"/>
    <s v="F"/>
    <x v="1"/>
    <x v="2"/>
    <n v="960"/>
    <n v="37.362637362637365"/>
  </r>
  <r>
    <x v="1"/>
    <x v="0"/>
    <x v="3"/>
    <x v="0"/>
    <x v="1"/>
    <n v="81"/>
    <n v="82"/>
    <n v="82"/>
    <n v="245"/>
    <n v="81.666666666666671"/>
    <s v="B"/>
    <x v="0"/>
    <x v="0"/>
    <n v="169"/>
    <n v="79.853479853479854"/>
  </r>
  <r>
    <x v="1"/>
    <x v="4"/>
    <x v="3"/>
    <x v="0"/>
    <x v="1"/>
    <n v="97"/>
    <n v="82"/>
    <n v="88"/>
    <n v="267"/>
    <n v="89"/>
    <s v="B"/>
    <x v="0"/>
    <x v="1"/>
    <n v="59"/>
    <n v="87.912087912087912"/>
  </r>
  <r>
    <x v="0"/>
    <x v="0"/>
    <x v="5"/>
    <x v="0"/>
    <x v="0"/>
    <n v="67"/>
    <n v="89"/>
    <n v="82"/>
    <n v="238"/>
    <n v="79.333333333333329"/>
    <s v="C"/>
    <x v="0"/>
    <x v="0"/>
    <n v="207"/>
    <n v="77.289377289377285"/>
  </r>
  <r>
    <x v="1"/>
    <x v="0"/>
    <x v="0"/>
    <x v="1"/>
    <x v="0"/>
    <n v="88"/>
    <n v="75"/>
    <n v="76"/>
    <n v="239"/>
    <n v="79.666666666666671"/>
    <s v="C"/>
    <x v="0"/>
    <x v="0"/>
    <n v="199"/>
    <n v="77.655677655677664"/>
  </r>
  <r>
    <x v="1"/>
    <x v="4"/>
    <x v="5"/>
    <x v="0"/>
    <x v="1"/>
    <n v="77"/>
    <n v="76"/>
    <n v="77"/>
    <n v="230"/>
    <n v="76.666666666666671"/>
    <s v="C"/>
    <x v="0"/>
    <x v="0"/>
    <n v="277"/>
    <n v="74.358974358974365"/>
  </r>
  <r>
    <x v="1"/>
    <x v="1"/>
    <x v="3"/>
    <x v="0"/>
    <x v="0"/>
    <n v="76"/>
    <n v="70"/>
    <n v="68"/>
    <n v="214"/>
    <n v="71.333333333333329"/>
    <s v="C"/>
    <x v="0"/>
    <x v="0"/>
    <n v="412"/>
    <n v="68.498168498168482"/>
  </r>
  <r>
    <x v="1"/>
    <x v="3"/>
    <x v="5"/>
    <x v="0"/>
    <x v="0"/>
    <n v="86"/>
    <n v="73"/>
    <n v="70"/>
    <n v="229"/>
    <n v="76.333333333333329"/>
    <s v="C"/>
    <x v="0"/>
    <x v="0"/>
    <n v="282"/>
    <n v="73.992673992673986"/>
  </r>
  <r>
    <x v="1"/>
    <x v="1"/>
    <x v="5"/>
    <x v="0"/>
    <x v="1"/>
    <n v="63"/>
    <n v="60"/>
    <n v="57"/>
    <n v="180"/>
    <n v="60"/>
    <s v="D"/>
    <x v="0"/>
    <x v="3"/>
    <n v="708"/>
    <n v="56.043956043956044"/>
  </r>
  <r>
    <x v="0"/>
    <x v="4"/>
    <x v="0"/>
    <x v="0"/>
    <x v="0"/>
    <n v="65"/>
    <n v="73"/>
    <n v="75"/>
    <n v="213"/>
    <n v="71"/>
    <s v="C"/>
    <x v="0"/>
    <x v="0"/>
    <n v="424"/>
    <n v="68.131868131868131"/>
  </r>
  <r>
    <x v="1"/>
    <x v="3"/>
    <x v="4"/>
    <x v="1"/>
    <x v="1"/>
    <n v="78"/>
    <n v="77"/>
    <n v="80"/>
    <n v="235"/>
    <n v="78.333333333333329"/>
    <s v="C"/>
    <x v="0"/>
    <x v="0"/>
    <n v="231"/>
    <n v="76.19047619047619"/>
  </r>
  <r>
    <x v="1"/>
    <x v="0"/>
    <x v="3"/>
    <x v="1"/>
    <x v="0"/>
    <n v="67"/>
    <n v="62"/>
    <n v="60"/>
    <n v="189"/>
    <n v="63"/>
    <s v="D"/>
    <x v="0"/>
    <x v="3"/>
    <n v="646"/>
    <n v="59.340659340659343"/>
  </r>
  <r>
    <x v="1"/>
    <x v="2"/>
    <x v="5"/>
    <x v="0"/>
    <x v="1"/>
    <n v="46"/>
    <n v="41"/>
    <n v="43"/>
    <n v="130"/>
    <n v="43.333333333333336"/>
    <s v="F"/>
    <x v="1"/>
    <x v="2"/>
    <n v="956"/>
    <n v="37.728937728937737"/>
  </r>
  <r>
    <x v="1"/>
    <x v="4"/>
    <x v="3"/>
    <x v="0"/>
    <x v="1"/>
    <n v="71"/>
    <n v="74"/>
    <n v="68"/>
    <n v="213"/>
    <n v="71"/>
    <s v="C"/>
    <x v="0"/>
    <x v="0"/>
    <n v="424"/>
    <n v="68.131868131868131"/>
  </r>
  <r>
    <x v="1"/>
    <x v="1"/>
    <x v="4"/>
    <x v="1"/>
    <x v="1"/>
    <n v="40"/>
    <n v="46"/>
    <n v="50"/>
    <n v="136"/>
    <n v="45.333333333333336"/>
    <s v="F"/>
    <x v="1"/>
    <x v="2"/>
    <n v="943"/>
    <n v="39.926739926739927"/>
  </r>
  <r>
    <x v="1"/>
    <x v="3"/>
    <x v="3"/>
    <x v="1"/>
    <x v="0"/>
    <n v="90"/>
    <n v="87"/>
    <n v="75"/>
    <n v="252"/>
    <n v="84"/>
    <s v="B"/>
    <x v="0"/>
    <x v="0"/>
    <n v="123"/>
    <n v="82.417582417582409"/>
  </r>
  <r>
    <x v="1"/>
    <x v="2"/>
    <x v="1"/>
    <x v="1"/>
    <x v="1"/>
    <n v="81"/>
    <n v="78"/>
    <n v="81"/>
    <n v="240"/>
    <n v="80"/>
    <s v="B"/>
    <x v="0"/>
    <x v="0"/>
    <n v="195"/>
    <n v="78.021978021978029"/>
  </r>
  <r>
    <x v="1"/>
    <x v="3"/>
    <x v="5"/>
    <x v="1"/>
    <x v="0"/>
    <n v="56"/>
    <n v="54"/>
    <n v="52"/>
    <n v="162"/>
    <n v="54"/>
    <s v="F"/>
    <x v="1"/>
    <x v="2"/>
    <n v="824"/>
    <n v="49.450549450549453"/>
  </r>
  <r>
    <x v="0"/>
    <x v="1"/>
    <x v="3"/>
    <x v="0"/>
    <x v="1"/>
    <n v="67"/>
    <n v="84"/>
    <n v="81"/>
    <n v="232"/>
    <n v="77.333333333333329"/>
    <s v="C"/>
    <x v="0"/>
    <x v="0"/>
    <n v="255"/>
    <n v="75.091575091575095"/>
  </r>
  <r>
    <x v="1"/>
    <x v="0"/>
    <x v="3"/>
    <x v="0"/>
    <x v="0"/>
    <n v="80"/>
    <n v="76"/>
    <n v="64"/>
    <n v="220"/>
    <n v="73.333333333333329"/>
    <s v="C"/>
    <x v="0"/>
    <x v="0"/>
    <n v="356"/>
    <n v="70.695970695970686"/>
  </r>
  <r>
    <x v="0"/>
    <x v="1"/>
    <x v="3"/>
    <x v="0"/>
    <x v="1"/>
    <n v="74"/>
    <n v="75"/>
    <n v="83"/>
    <n v="232"/>
    <n v="77.333333333333329"/>
    <s v="C"/>
    <x v="0"/>
    <x v="0"/>
    <n v="255"/>
    <n v="75.091575091575095"/>
  </r>
  <r>
    <x v="1"/>
    <x v="2"/>
    <x v="1"/>
    <x v="0"/>
    <x v="0"/>
    <n v="69"/>
    <n v="67"/>
    <n v="69"/>
    <n v="205"/>
    <n v="68.333333333333329"/>
    <s v="D"/>
    <x v="0"/>
    <x v="3"/>
    <n v="499"/>
    <n v="65.201465201465197"/>
  </r>
  <r>
    <x v="1"/>
    <x v="4"/>
    <x v="1"/>
    <x v="0"/>
    <x v="1"/>
    <n v="99"/>
    <n v="87"/>
    <n v="81"/>
    <n v="267"/>
    <n v="89"/>
    <s v="B"/>
    <x v="0"/>
    <x v="1"/>
    <n v="59"/>
    <n v="87.912087912087912"/>
  </r>
  <r>
    <x v="1"/>
    <x v="1"/>
    <x v="5"/>
    <x v="0"/>
    <x v="0"/>
    <n v="51"/>
    <n v="52"/>
    <n v="44"/>
    <n v="147"/>
    <n v="49"/>
    <s v="F"/>
    <x v="1"/>
    <x v="2"/>
    <n v="905"/>
    <n v="43.956043956043956"/>
  </r>
  <r>
    <x v="0"/>
    <x v="0"/>
    <x v="3"/>
    <x v="1"/>
    <x v="0"/>
    <n v="53"/>
    <n v="71"/>
    <n v="67"/>
    <n v="191"/>
    <n v="63.666666666666664"/>
    <s v="D"/>
    <x v="0"/>
    <x v="3"/>
    <n v="632"/>
    <n v="60.073260073260073"/>
  </r>
  <r>
    <x v="0"/>
    <x v="3"/>
    <x v="4"/>
    <x v="1"/>
    <x v="0"/>
    <n v="49"/>
    <n v="57"/>
    <n v="52"/>
    <n v="158"/>
    <n v="52.666666666666664"/>
    <s v="F"/>
    <x v="1"/>
    <x v="2"/>
    <n v="843"/>
    <n v="47.985347985347978"/>
  </r>
  <r>
    <x v="0"/>
    <x v="0"/>
    <x v="3"/>
    <x v="0"/>
    <x v="0"/>
    <n v="73"/>
    <n v="76"/>
    <n v="80"/>
    <n v="229"/>
    <n v="76.333333333333329"/>
    <s v="C"/>
    <x v="0"/>
    <x v="0"/>
    <n v="282"/>
    <n v="73.992673992673986"/>
  </r>
  <r>
    <x v="1"/>
    <x v="0"/>
    <x v="0"/>
    <x v="0"/>
    <x v="0"/>
    <n v="66"/>
    <n v="60"/>
    <n v="57"/>
    <n v="183"/>
    <n v="61"/>
    <s v="D"/>
    <x v="0"/>
    <x v="3"/>
    <n v="687"/>
    <n v="57.142857142857139"/>
  </r>
  <r>
    <x v="1"/>
    <x v="3"/>
    <x v="0"/>
    <x v="0"/>
    <x v="1"/>
    <n v="67"/>
    <n v="61"/>
    <n v="68"/>
    <n v="196"/>
    <n v="65.333333333333329"/>
    <s v="D"/>
    <x v="0"/>
    <x v="3"/>
    <n v="584"/>
    <n v="61.904761904761898"/>
  </r>
  <r>
    <x v="0"/>
    <x v="1"/>
    <x v="3"/>
    <x v="1"/>
    <x v="1"/>
    <n v="68"/>
    <n v="67"/>
    <n v="69"/>
    <n v="204"/>
    <n v="68"/>
    <s v="D"/>
    <x v="0"/>
    <x v="3"/>
    <n v="512"/>
    <n v="64.835164835164832"/>
  </r>
  <r>
    <x v="0"/>
    <x v="1"/>
    <x v="0"/>
    <x v="0"/>
    <x v="1"/>
    <n v="59"/>
    <n v="64"/>
    <n v="75"/>
    <n v="198"/>
    <n v="66"/>
    <s v="D"/>
    <x v="0"/>
    <x v="3"/>
    <n v="562"/>
    <n v="62.637362637362635"/>
  </r>
  <r>
    <x v="1"/>
    <x v="1"/>
    <x v="4"/>
    <x v="0"/>
    <x v="0"/>
    <n v="71"/>
    <n v="66"/>
    <n v="65"/>
    <n v="202"/>
    <n v="67.333333333333329"/>
    <s v="D"/>
    <x v="0"/>
    <x v="3"/>
    <n v="534"/>
    <n v="64.102564102564102"/>
  </r>
  <r>
    <x v="0"/>
    <x v="3"/>
    <x v="2"/>
    <x v="0"/>
    <x v="1"/>
    <n v="77"/>
    <n v="82"/>
    <n v="91"/>
    <n v="250"/>
    <n v="83.333333333333329"/>
    <s v="B"/>
    <x v="0"/>
    <x v="0"/>
    <n v="135"/>
    <n v="81.684981684981679"/>
  </r>
  <r>
    <x v="1"/>
    <x v="1"/>
    <x v="3"/>
    <x v="0"/>
    <x v="0"/>
    <n v="83"/>
    <n v="72"/>
    <n v="78"/>
    <n v="233"/>
    <n v="77.666666666666671"/>
    <s v="C"/>
    <x v="0"/>
    <x v="0"/>
    <n v="250"/>
    <n v="75.457875457875474"/>
  </r>
  <r>
    <x v="1"/>
    <x v="0"/>
    <x v="0"/>
    <x v="0"/>
    <x v="0"/>
    <n v="63"/>
    <n v="71"/>
    <n v="69"/>
    <n v="203"/>
    <n v="67.666666666666671"/>
    <s v="D"/>
    <x v="0"/>
    <x v="3"/>
    <n v="527"/>
    <n v="64.468864468864467"/>
  </r>
  <r>
    <x v="0"/>
    <x v="3"/>
    <x v="3"/>
    <x v="1"/>
    <x v="0"/>
    <n v="56"/>
    <n v="65"/>
    <n v="63"/>
    <n v="184"/>
    <n v="61.333333333333336"/>
    <s v="D"/>
    <x v="0"/>
    <x v="3"/>
    <n v="678"/>
    <n v="57.509157509157518"/>
  </r>
  <r>
    <x v="0"/>
    <x v="1"/>
    <x v="4"/>
    <x v="1"/>
    <x v="1"/>
    <n v="67"/>
    <n v="79"/>
    <n v="84"/>
    <n v="230"/>
    <n v="76.666666666666671"/>
    <s v="C"/>
    <x v="0"/>
    <x v="0"/>
    <n v="277"/>
    <n v="74.358974358974365"/>
  </r>
  <r>
    <x v="0"/>
    <x v="4"/>
    <x v="4"/>
    <x v="0"/>
    <x v="0"/>
    <n v="75"/>
    <n v="86"/>
    <n v="79"/>
    <n v="240"/>
    <n v="80"/>
    <s v="B"/>
    <x v="0"/>
    <x v="0"/>
    <n v="195"/>
    <n v="78.021978021978029"/>
  </r>
  <r>
    <x v="0"/>
    <x v="1"/>
    <x v="1"/>
    <x v="0"/>
    <x v="0"/>
    <n v="71"/>
    <n v="81"/>
    <n v="80"/>
    <n v="232"/>
    <n v="77.333333333333329"/>
    <s v="C"/>
    <x v="0"/>
    <x v="0"/>
    <n v="255"/>
    <n v="75.091575091575095"/>
  </r>
  <r>
    <x v="0"/>
    <x v="1"/>
    <x v="5"/>
    <x v="1"/>
    <x v="0"/>
    <n v="43"/>
    <n v="53"/>
    <n v="53"/>
    <n v="149"/>
    <n v="49.666666666666664"/>
    <s v="F"/>
    <x v="1"/>
    <x v="2"/>
    <n v="898"/>
    <n v="44.688644688644686"/>
  </r>
  <r>
    <x v="0"/>
    <x v="1"/>
    <x v="4"/>
    <x v="1"/>
    <x v="0"/>
    <n v="41"/>
    <n v="46"/>
    <n v="43"/>
    <n v="130"/>
    <n v="43.333333333333336"/>
    <s v="F"/>
    <x v="1"/>
    <x v="2"/>
    <n v="956"/>
    <n v="37.728937728937737"/>
  </r>
  <r>
    <x v="0"/>
    <x v="1"/>
    <x v="1"/>
    <x v="0"/>
    <x v="0"/>
    <n v="82"/>
    <n v="90"/>
    <n v="94"/>
    <n v="266"/>
    <n v="88.666666666666671"/>
    <s v="B"/>
    <x v="0"/>
    <x v="1"/>
    <n v="64"/>
    <n v="87.545787545787547"/>
  </r>
  <r>
    <x v="1"/>
    <x v="1"/>
    <x v="1"/>
    <x v="0"/>
    <x v="0"/>
    <n v="61"/>
    <n v="61"/>
    <n v="62"/>
    <n v="184"/>
    <n v="61.333333333333336"/>
    <s v="D"/>
    <x v="0"/>
    <x v="3"/>
    <n v="678"/>
    <n v="57.509157509157518"/>
  </r>
  <r>
    <x v="1"/>
    <x v="2"/>
    <x v="1"/>
    <x v="1"/>
    <x v="0"/>
    <n v="28"/>
    <n v="23"/>
    <n v="19"/>
    <n v="70"/>
    <n v="23.333333333333332"/>
    <s v="F"/>
    <x v="1"/>
    <x v="2"/>
    <n v="997"/>
    <n v="15.75091575091575"/>
  </r>
  <r>
    <x v="1"/>
    <x v="1"/>
    <x v="3"/>
    <x v="0"/>
    <x v="1"/>
    <n v="82"/>
    <n v="75"/>
    <n v="77"/>
    <n v="234"/>
    <n v="78"/>
    <s v="C"/>
    <x v="0"/>
    <x v="0"/>
    <n v="240"/>
    <n v="75.824175824175825"/>
  </r>
  <r>
    <x v="0"/>
    <x v="0"/>
    <x v="5"/>
    <x v="0"/>
    <x v="0"/>
    <n v="41"/>
    <n v="55"/>
    <n v="51"/>
    <n v="147"/>
    <n v="49"/>
    <s v="F"/>
    <x v="1"/>
    <x v="2"/>
    <n v="905"/>
    <n v="43.956043956043956"/>
  </r>
  <r>
    <x v="1"/>
    <x v="1"/>
    <x v="4"/>
    <x v="0"/>
    <x v="0"/>
    <n v="71"/>
    <n v="60"/>
    <n v="61"/>
    <n v="192"/>
    <n v="64"/>
    <s v="D"/>
    <x v="0"/>
    <x v="3"/>
    <n v="623"/>
    <n v="60.439560439560438"/>
  </r>
  <r>
    <x v="1"/>
    <x v="1"/>
    <x v="3"/>
    <x v="0"/>
    <x v="0"/>
    <n v="47"/>
    <n v="37"/>
    <n v="35"/>
    <n v="119"/>
    <n v="39.666666666666664"/>
    <s v="F"/>
    <x v="1"/>
    <x v="2"/>
    <n v="971"/>
    <n v="33.699633699633694"/>
  </r>
  <r>
    <x v="1"/>
    <x v="4"/>
    <x v="3"/>
    <x v="0"/>
    <x v="1"/>
    <n v="62"/>
    <n v="56"/>
    <n v="53"/>
    <n v="171"/>
    <n v="57"/>
    <s v="F"/>
    <x v="1"/>
    <x v="2"/>
    <n v="772"/>
    <n v="52.747252747252752"/>
  </r>
  <r>
    <x v="1"/>
    <x v="0"/>
    <x v="3"/>
    <x v="0"/>
    <x v="0"/>
    <n v="90"/>
    <n v="78"/>
    <n v="81"/>
    <n v="249"/>
    <n v="83"/>
    <s v="B"/>
    <x v="0"/>
    <x v="0"/>
    <n v="140"/>
    <n v="81.318681318681314"/>
  </r>
  <r>
    <x v="0"/>
    <x v="1"/>
    <x v="0"/>
    <x v="0"/>
    <x v="0"/>
    <n v="83"/>
    <n v="93"/>
    <n v="95"/>
    <n v="271"/>
    <n v="90.333333333333329"/>
    <s v="A"/>
    <x v="0"/>
    <x v="1"/>
    <n v="48"/>
    <n v="89.377289377289372"/>
  </r>
  <r>
    <x v="0"/>
    <x v="0"/>
    <x v="1"/>
    <x v="1"/>
    <x v="0"/>
    <n v="61"/>
    <n v="68"/>
    <n v="66"/>
    <n v="195"/>
    <n v="65"/>
    <s v="D"/>
    <x v="0"/>
    <x v="3"/>
    <n v="593"/>
    <n v="61.53846153846154"/>
  </r>
  <r>
    <x v="1"/>
    <x v="3"/>
    <x v="5"/>
    <x v="0"/>
    <x v="1"/>
    <n v="76"/>
    <n v="70"/>
    <n v="69"/>
    <n v="215"/>
    <n v="71.666666666666671"/>
    <s v="C"/>
    <x v="0"/>
    <x v="0"/>
    <n v="404"/>
    <n v="68.864468864468876"/>
  </r>
  <r>
    <x v="1"/>
    <x v="1"/>
    <x v="3"/>
    <x v="0"/>
    <x v="0"/>
    <n v="49"/>
    <n v="51"/>
    <n v="43"/>
    <n v="143"/>
    <n v="47.666666666666664"/>
    <s v="F"/>
    <x v="1"/>
    <x v="2"/>
    <n v="925"/>
    <n v="42.490842490842489"/>
  </r>
  <r>
    <x v="0"/>
    <x v="0"/>
    <x v="5"/>
    <x v="1"/>
    <x v="0"/>
    <n v="24"/>
    <n v="38"/>
    <n v="27"/>
    <n v="89"/>
    <n v="29.666666666666668"/>
    <s v="F"/>
    <x v="1"/>
    <x v="2"/>
    <n v="992"/>
    <n v="22.710622710622712"/>
  </r>
  <r>
    <x v="0"/>
    <x v="3"/>
    <x v="5"/>
    <x v="1"/>
    <x v="1"/>
    <n v="35"/>
    <n v="55"/>
    <n v="60"/>
    <n v="150"/>
    <n v="50"/>
    <s v="F"/>
    <x v="1"/>
    <x v="2"/>
    <n v="892"/>
    <n v="45.054945054945058"/>
  </r>
  <r>
    <x v="1"/>
    <x v="1"/>
    <x v="4"/>
    <x v="1"/>
    <x v="0"/>
    <n v="58"/>
    <n v="61"/>
    <n v="52"/>
    <n v="171"/>
    <n v="57"/>
    <s v="F"/>
    <x v="1"/>
    <x v="2"/>
    <n v="772"/>
    <n v="52.747252747252752"/>
  </r>
  <r>
    <x v="0"/>
    <x v="1"/>
    <x v="4"/>
    <x v="0"/>
    <x v="0"/>
    <n v="61"/>
    <n v="73"/>
    <n v="63"/>
    <n v="197"/>
    <n v="65.666666666666671"/>
    <s v="D"/>
    <x v="0"/>
    <x v="3"/>
    <n v="576"/>
    <n v="62.27106227106227"/>
  </r>
  <r>
    <x v="0"/>
    <x v="0"/>
    <x v="4"/>
    <x v="0"/>
    <x v="1"/>
    <n v="69"/>
    <n v="76"/>
    <n v="74"/>
    <n v="219"/>
    <n v="73"/>
    <s v="C"/>
    <x v="0"/>
    <x v="0"/>
    <n v="367"/>
    <n v="70.329670329670336"/>
  </r>
  <r>
    <x v="1"/>
    <x v="3"/>
    <x v="3"/>
    <x v="0"/>
    <x v="1"/>
    <n v="67"/>
    <n v="72"/>
    <n v="67"/>
    <n v="206"/>
    <n v="68.666666666666671"/>
    <s v="D"/>
    <x v="0"/>
    <x v="3"/>
    <n v="487"/>
    <n v="65.567765567765562"/>
  </r>
  <r>
    <x v="1"/>
    <x v="3"/>
    <x v="1"/>
    <x v="0"/>
    <x v="0"/>
    <n v="79"/>
    <n v="73"/>
    <n v="67"/>
    <n v="219"/>
    <n v="73"/>
    <s v="C"/>
    <x v="0"/>
    <x v="0"/>
    <n v="367"/>
    <n v="70.329670329670336"/>
  </r>
  <r>
    <x v="0"/>
    <x v="1"/>
    <x v="4"/>
    <x v="0"/>
    <x v="0"/>
    <n v="72"/>
    <n v="80"/>
    <n v="75"/>
    <n v="227"/>
    <n v="75.666666666666671"/>
    <s v="C"/>
    <x v="0"/>
    <x v="0"/>
    <n v="297"/>
    <n v="73.26007326007327"/>
  </r>
  <r>
    <x v="1"/>
    <x v="0"/>
    <x v="1"/>
    <x v="0"/>
    <x v="0"/>
    <n v="62"/>
    <n v="61"/>
    <n v="57"/>
    <n v="180"/>
    <n v="60"/>
    <s v="D"/>
    <x v="0"/>
    <x v="3"/>
    <n v="708"/>
    <n v="56.043956043956044"/>
  </r>
  <r>
    <x v="0"/>
    <x v="1"/>
    <x v="0"/>
    <x v="0"/>
    <x v="1"/>
    <n v="77"/>
    <n v="94"/>
    <n v="95"/>
    <n v="266"/>
    <n v="88.666666666666671"/>
    <s v="B"/>
    <x v="0"/>
    <x v="1"/>
    <n v="64"/>
    <n v="87.545787545787547"/>
  </r>
  <r>
    <x v="1"/>
    <x v="3"/>
    <x v="4"/>
    <x v="1"/>
    <x v="0"/>
    <n v="75"/>
    <n v="74"/>
    <n v="66"/>
    <n v="215"/>
    <n v="71.666666666666671"/>
    <s v="C"/>
    <x v="0"/>
    <x v="0"/>
    <n v="404"/>
    <n v="68.864468864468876"/>
  </r>
  <r>
    <x v="1"/>
    <x v="4"/>
    <x v="3"/>
    <x v="0"/>
    <x v="0"/>
    <n v="87"/>
    <n v="74"/>
    <n v="76"/>
    <n v="237"/>
    <n v="79"/>
    <s v="C"/>
    <x v="0"/>
    <x v="0"/>
    <n v="215"/>
    <n v="76.923076923076934"/>
  </r>
  <r>
    <x v="0"/>
    <x v="0"/>
    <x v="0"/>
    <x v="0"/>
    <x v="0"/>
    <n v="52"/>
    <n v="65"/>
    <n v="69"/>
    <n v="186"/>
    <n v="62"/>
    <s v="D"/>
    <x v="0"/>
    <x v="3"/>
    <n v="665"/>
    <n v="58.241758241758248"/>
  </r>
  <r>
    <x v="1"/>
    <x v="4"/>
    <x v="1"/>
    <x v="0"/>
    <x v="0"/>
    <n v="66"/>
    <n v="57"/>
    <n v="52"/>
    <n v="175"/>
    <n v="58.333333333333336"/>
    <s v="F"/>
    <x v="1"/>
    <x v="2"/>
    <n v="745"/>
    <n v="54.212454212454219"/>
  </r>
  <r>
    <x v="0"/>
    <x v="1"/>
    <x v="1"/>
    <x v="0"/>
    <x v="1"/>
    <n v="63"/>
    <n v="78"/>
    <n v="80"/>
    <n v="221"/>
    <n v="73.666666666666671"/>
    <s v="C"/>
    <x v="0"/>
    <x v="0"/>
    <n v="351"/>
    <n v="71.062271062271066"/>
  </r>
  <r>
    <x v="0"/>
    <x v="1"/>
    <x v="3"/>
    <x v="0"/>
    <x v="0"/>
    <n v="46"/>
    <n v="58"/>
    <n v="57"/>
    <n v="161"/>
    <n v="53.666666666666664"/>
    <s v="F"/>
    <x v="1"/>
    <x v="2"/>
    <n v="830"/>
    <n v="49.08424908424908"/>
  </r>
  <r>
    <x v="0"/>
    <x v="1"/>
    <x v="1"/>
    <x v="0"/>
    <x v="0"/>
    <n v="59"/>
    <n v="71"/>
    <n v="70"/>
    <n v="200"/>
    <n v="66.666666666666671"/>
    <s v="D"/>
    <x v="0"/>
    <x v="3"/>
    <n v="549"/>
    <n v="63.369963369963379"/>
  </r>
  <r>
    <x v="0"/>
    <x v="0"/>
    <x v="0"/>
    <x v="0"/>
    <x v="0"/>
    <n v="61"/>
    <n v="72"/>
    <n v="70"/>
    <n v="203"/>
    <n v="67.666666666666671"/>
    <s v="D"/>
    <x v="0"/>
    <x v="3"/>
    <n v="527"/>
    <n v="64.468864468864467"/>
  </r>
  <r>
    <x v="1"/>
    <x v="2"/>
    <x v="3"/>
    <x v="0"/>
    <x v="0"/>
    <n v="63"/>
    <n v="61"/>
    <n v="61"/>
    <n v="185"/>
    <n v="61.666666666666664"/>
    <s v="D"/>
    <x v="0"/>
    <x v="3"/>
    <n v="671"/>
    <n v="57.875457875457869"/>
  </r>
  <r>
    <x v="0"/>
    <x v="1"/>
    <x v="1"/>
    <x v="1"/>
    <x v="1"/>
    <n v="42"/>
    <n v="66"/>
    <n v="69"/>
    <n v="177"/>
    <n v="59"/>
    <s v="F"/>
    <x v="1"/>
    <x v="2"/>
    <n v="727"/>
    <n v="54.945054945054949"/>
  </r>
  <r>
    <x v="1"/>
    <x v="3"/>
    <x v="1"/>
    <x v="1"/>
    <x v="0"/>
    <n v="59"/>
    <n v="62"/>
    <n v="61"/>
    <n v="182"/>
    <n v="60.666666666666664"/>
    <s v="D"/>
    <x v="0"/>
    <x v="3"/>
    <n v="693"/>
    <n v="56.776556776556774"/>
  </r>
  <r>
    <x v="0"/>
    <x v="3"/>
    <x v="1"/>
    <x v="0"/>
    <x v="0"/>
    <n v="80"/>
    <n v="90"/>
    <n v="89"/>
    <n v="259"/>
    <n v="86.333333333333329"/>
    <s v="B"/>
    <x v="0"/>
    <x v="1"/>
    <n v="93"/>
    <n v="84.981684981684978"/>
  </r>
  <r>
    <x v="0"/>
    <x v="0"/>
    <x v="4"/>
    <x v="0"/>
    <x v="0"/>
    <n v="58"/>
    <n v="62"/>
    <n v="59"/>
    <n v="179"/>
    <n v="59.666666666666664"/>
    <s v="F"/>
    <x v="1"/>
    <x v="2"/>
    <n v="716"/>
    <n v="55.677655677655679"/>
  </r>
  <r>
    <x v="1"/>
    <x v="0"/>
    <x v="5"/>
    <x v="0"/>
    <x v="1"/>
    <n v="85"/>
    <n v="84"/>
    <n v="78"/>
    <n v="247"/>
    <n v="82.333333333333329"/>
    <s v="B"/>
    <x v="0"/>
    <x v="0"/>
    <n v="155"/>
    <n v="80.586080586080584"/>
  </r>
  <r>
    <x v="0"/>
    <x v="1"/>
    <x v="1"/>
    <x v="0"/>
    <x v="0"/>
    <n v="52"/>
    <n v="58"/>
    <n v="58"/>
    <n v="168"/>
    <n v="56"/>
    <s v="F"/>
    <x v="1"/>
    <x v="2"/>
    <n v="786"/>
    <n v="51.648351648351657"/>
  </r>
  <r>
    <x v="0"/>
    <x v="3"/>
    <x v="5"/>
    <x v="1"/>
    <x v="0"/>
    <n v="27"/>
    <n v="34"/>
    <n v="32"/>
    <n v="93"/>
    <n v="31"/>
    <s v="F"/>
    <x v="1"/>
    <x v="2"/>
    <n v="989"/>
    <n v="24.175824175824175"/>
  </r>
  <r>
    <x v="1"/>
    <x v="1"/>
    <x v="1"/>
    <x v="0"/>
    <x v="0"/>
    <n v="59"/>
    <n v="60"/>
    <n v="58"/>
    <n v="177"/>
    <n v="59"/>
    <s v="F"/>
    <x v="1"/>
    <x v="2"/>
    <n v="727"/>
    <n v="54.945054945054949"/>
  </r>
  <r>
    <x v="1"/>
    <x v="2"/>
    <x v="0"/>
    <x v="1"/>
    <x v="1"/>
    <n v="49"/>
    <n v="58"/>
    <n v="60"/>
    <n v="167"/>
    <n v="55.666666666666664"/>
    <s v="F"/>
    <x v="1"/>
    <x v="2"/>
    <n v="796"/>
    <n v="51.282051282051277"/>
  </r>
  <r>
    <x v="1"/>
    <x v="1"/>
    <x v="4"/>
    <x v="0"/>
    <x v="1"/>
    <n v="69"/>
    <n v="58"/>
    <n v="53"/>
    <n v="180"/>
    <n v="60"/>
    <s v="D"/>
    <x v="0"/>
    <x v="3"/>
    <n v="708"/>
    <n v="56.043956043956044"/>
  </r>
  <r>
    <x v="1"/>
    <x v="1"/>
    <x v="0"/>
    <x v="1"/>
    <x v="0"/>
    <n v="61"/>
    <n v="66"/>
    <n v="61"/>
    <n v="188"/>
    <n v="62.666666666666664"/>
    <s v="D"/>
    <x v="0"/>
    <x v="3"/>
    <n v="653"/>
    <n v="58.974358974358978"/>
  </r>
  <r>
    <x v="0"/>
    <x v="2"/>
    <x v="5"/>
    <x v="1"/>
    <x v="0"/>
    <n v="44"/>
    <n v="64"/>
    <n v="58"/>
    <n v="166"/>
    <n v="55.333333333333336"/>
    <s v="F"/>
    <x v="1"/>
    <x v="2"/>
    <n v="803"/>
    <n v="50.915750915750927"/>
  </r>
  <r>
    <x v="0"/>
    <x v="3"/>
    <x v="5"/>
    <x v="0"/>
    <x v="0"/>
    <n v="73"/>
    <n v="84"/>
    <n v="85"/>
    <n v="242"/>
    <n v="80.666666666666671"/>
    <s v="B"/>
    <x v="0"/>
    <x v="0"/>
    <n v="180"/>
    <n v="78.754578754578759"/>
  </r>
  <r>
    <x v="1"/>
    <x v="4"/>
    <x v="1"/>
    <x v="0"/>
    <x v="0"/>
    <n v="84"/>
    <n v="77"/>
    <n v="71"/>
    <n v="232"/>
    <n v="77.333333333333329"/>
    <s v="C"/>
    <x v="0"/>
    <x v="0"/>
    <n v="255"/>
    <n v="75.091575091575095"/>
  </r>
  <r>
    <x v="0"/>
    <x v="1"/>
    <x v="1"/>
    <x v="1"/>
    <x v="1"/>
    <n v="45"/>
    <n v="73"/>
    <n v="70"/>
    <n v="188"/>
    <n v="62.666666666666664"/>
    <s v="D"/>
    <x v="0"/>
    <x v="3"/>
    <n v="653"/>
    <n v="58.974358974358978"/>
  </r>
  <r>
    <x v="1"/>
    <x v="3"/>
    <x v="5"/>
    <x v="0"/>
    <x v="0"/>
    <n v="74"/>
    <n v="74"/>
    <n v="72"/>
    <n v="220"/>
    <n v="73.333333333333329"/>
    <s v="C"/>
    <x v="0"/>
    <x v="0"/>
    <n v="356"/>
    <n v="70.695970695970686"/>
  </r>
  <r>
    <x v="0"/>
    <x v="3"/>
    <x v="1"/>
    <x v="0"/>
    <x v="1"/>
    <n v="82"/>
    <n v="97"/>
    <n v="96"/>
    <n v="275"/>
    <n v="91.666666666666671"/>
    <s v="A"/>
    <x v="0"/>
    <x v="1"/>
    <n v="37"/>
    <n v="90.842490842490847"/>
  </r>
  <r>
    <x v="0"/>
    <x v="3"/>
    <x v="0"/>
    <x v="0"/>
    <x v="0"/>
    <n v="59"/>
    <n v="70"/>
    <n v="73"/>
    <n v="202"/>
    <n v="67.333333333333329"/>
    <s v="D"/>
    <x v="0"/>
    <x v="3"/>
    <n v="534"/>
    <n v="64.102564102564102"/>
  </r>
  <r>
    <x v="1"/>
    <x v="4"/>
    <x v="3"/>
    <x v="1"/>
    <x v="0"/>
    <n v="46"/>
    <n v="43"/>
    <n v="41"/>
    <n v="130"/>
    <n v="43.333333333333336"/>
    <s v="F"/>
    <x v="1"/>
    <x v="2"/>
    <n v="956"/>
    <n v="37.728937728937737"/>
  </r>
  <r>
    <x v="0"/>
    <x v="3"/>
    <x v="5"/>
    <x v="0"/>
    <x v="0"/>
    <n v="80"/>
    <n v="90"/>
    <n v="82"/>
    <n v="252"/>
    <n v="84"/>
    <s v="B"/>
    <x v="0"/>
    <x v="0"/>
    <n v="123"/>
    <n v="82.417582417582409"/>
  </r>
  <r>
    <x v="0"/>
    <x v="3"/>
    <x v="2"/>
    <x v="1"/>
    <x v="1"/>
    <n v="85"/>
    <n v="95"/>
    <n v="100"/>
    <n v="280"/>
    <n v="93.333333333333329"/>
    <s v="A"/>
    <x v="0"/>
    <x v="1"/>
    <n v="28"/>
    <n v="92.673992673992672"/>
  </r>
  <r>
    <x v="0"/>
    <x v="2"/>
    <x v="5"/>
    <x v="0"/>
    <x v="0"/>
    <n v="71"/>
    <n v="83"/>
    <n v="77"/>
    <n v="231"/>
    <n v="77"/>
    <s v="C"/>
    <x v="0"/>
    <x v="0"/>
    <n v="269"/>
    <n v="74.72527472527473"/>
  </r>
  <r>
    <x v="1"/>
    <x v="2"/>
    <x v="0"/>
    <x v="0"/>
    <x v="0"/>
    <n v="66"/>
    <n v="64"/>
    <n v="62"/>
    <n v="192"/>
    <n v="64"/>
    <s v="D"/>
    <x v="0"/>
    <x v="3"/>
    <n v="623"/>
    <n v="60.439560439560438"/>
  </r>
  <r>
    <x v="0"/>
    <x v="0"/>
    <x v="3"/>
    <x v="0"/>
    <x v="0"/>
    <n v="80"/>
    <n v="86"/>
    <n v="83"/>
    <n v="249"/>
    <n v="83"/>
    <s v="B"/>
    <x v="0"/>
    <x v="0"/>
    <n v="140"/>
    <n v="81.318681318681314"/>
  </r>
  <r>
    <x v="1"/>
    <x v="1"/>
    <x v="3"/>
    <x v="0"/>
    <x v="1"/>
    <n v="87"/>
    <n v="100"/>
    <n v="95"/>
    <n v="282"/>
    <n v="94"/>
    <s v="A"/>
    <x v="0"/>
    <x v="1"/>
    <n v="23"/>
    <n v="93.406593406593402"/>
  </r>
  <r>
    <x v="1"/>
    <x v="1"/>
    <x v="2"/>
    <x v="1"/>
    <x v="0"/>
    <n v="79"/>
    <n v="81"/>
    <n v="71"/>
    <n v="231"/>
    <n v="77"/>
    <s v="C"/>
    <x v="0"/>
    <x v="0"/>
    <n v="269"/>
    <n v="74.72527472527473"/>
  </r>
  <r>
    <x v="0"/>
    <x v="4"/>
    <x v="5"/>
    <x v="1"/>
    <x v="0"/>
    <n v="38"/>
    <n v="49"/>
    <n v="45"/>
    <n v="132"/>
    <n v="44"/>
    <s v="F"/>
    <x v="1"/>
    <x v="2"/>
    <n v="952"/>
    <n v="38.461538461538467"/>
  </r>
  <r>
    <x v="0"/>
    <x v="2"/>
    <x v="5"/>
    <x v="1"/>
    <x v="0"/>
    <n v="38"/>
    <n v="43"/>
    <n v="43"/>
    <n v="124"/>
    <n v="41.333333333333336"/>
    <s v="F"/>
    <x v="1"/>
    <x v="2"/>
    <n v="964"/>
    <n v="35.531135531135533"/>
  </r>
  <r>
    <x v="0"/>
    <x v="4"/>
    <x v="1"/>
    <x v="0"/>
    <x v="0"/>
    <n v="67"/>
    <n v="76"/>
    <n v="75"/>
    <n v="218"/>
    <n v="72.666666666666671"/>
    <s v="C"/>
    <x v="0"/>
    <x v="0"/>
    <n v="379"/>
    <n v="69.963369963369971"/>
  </r>
  <r>
    <x v="0"/>
    <x v="4"/>
    <x v="0"/>
    <x v="0"/>
    <x v="0"/>
    <n v="64"/>
    <n v="73"/>
    <n v="70"/>
    <n v="207"/>
    <n v="69"/>
    <s v="D"/>
    <x v="0"/>
    <x v="3"/>
    <n v="475"/>
    <n v="65.934065934065927"/>
  </r>
  <r>
    <x v="0"/>
    <x v="1"/>
    <x v="3"/>
    <x v="1"/>
    <x v="0"/>
    <n v="57"/>
    <n v="78"/>
    <n v="67"/>
    <n v="202"/>
    <n v="67.333333333333329"/>
    <s v="D"/>
    <x v="0"/>
    <x v="3"/>
    <n v="534"/>
    <n v="64.102564102564102"/>
  </r>
  <r>
    <x v="0"/>
    <x v="3"/>
    <x v="4"/>
    <x v="0"/>
    <x v="0"/>
    <n v="62"/>
    <n v="64"/>
    <n v="64"/>
    <n v="190"/>
    <n v="63.333333333333336"/>
    <s v="D"/>
    <x v="0"/>
    <x v="3"/>
    <n v="641"/>
    <n v="59.706959706959708"/>
  </r>
  <r>
    <x v="1"/>
    <x v="3"/>
    <x v="2"/>
    <x v="0"/>
    <x v="0"/>
    <n v="73"/>
    <n v="70"/>
    <n v="75"/>
    <n v="218"/>
    <n v="72.666666666666671"/>
    <s v="C"/>
    <x v="0"/>
    <x v="0"/>
    <n v="379"/>
    <n v="69.963369963369971"/>
  </r>
  <r>
    <x v="1"/>
    <x v="4"/>
    <x v="5"/>
    <x v="1"/>
    <x v="1"/>
    <n v="73"/>
    <n v="67"/>
    <n v="59"/>
    <n v="199"/>
    <n v="66.333333333333329"/>
    <s v="D"/>
    <x v="0"/>
    <x v="3"/>
    <n v="557"/>
    <n v="63.003663003663"/>
  </r>
  <r>
    <x v="0"/>
    <x v="3"/>
    <x v="1"/>
    <x v="0"/>
    <x v="0"/>
    <n v="77"/>
    <n v="68"/>
    <n v="77"/>
    <n v="222"/>
    <n v="74"/>
    <s v="C"/>
    <x v="0"/>
    <x v="0"/>
    <n v="345"/>
    <n v="71.428571428571431"/>
  </r>
  <r>
    <x v="1"/>
    <x v="4"/>
    <x v="1"/>
    <x v="0"/>
    <x v="0"/>
    <n v="76"/>
    <n v="67"/>
    <n v="67"/>
    <n v="210"/>
    <n v="70"/>
    <s v="C"/>
    <x v="0"/>
    <x v="0"/>
    <n v="448"/>
    <n v="67.032967032967022"/>
  </r>
  <r>
    <x v="1"/>
    <x v="1"/>
    <x v="3"/>
    <x v="0"/>
    <x v="1"/>
    <n v="57"/>
    <n v="54"/>
    <n v="56"/>
    <n v="167"/>
    <n v="55.666666666666664"/>
    <s v="F"/>
    <x v="1"/>
    <x v="2"/>
    <n v="796"/>
    <n v="51.282051282051277"/>
  </r>
  <r>
    <x v="0"/>
    <x v="1"/>
    <x v="5"/>
    <x v="0"/>
    <x v="1"/>
    <n v="65"/>
    <n v="74"/>
    <n v="77"/>
    <n v="216"/>
    <n v="72"/>
    <s v="C"/>
    <x v="0"/>
    <x v="0"/>
    <n v="395"/>
    <n v="69.230769230769226"/>
  </r>
  <r>
    <x v="1"/>
    <x v="2"/>
    <x v="4"/>
    <x v="1"/>
    <x v="0"/>
    <n v="48"/>
    <n v="45"/>
    <n v="41"/>
    <n v="134"/>
    <n v="44.666666666666664"/>
    <s v="F"/>
    <x v="1"/>
    <x v="2"/>
    <n v="947"/>
    <n v="39.194139194139197"/>
  </r>
  <r>
    <x v="0"/>
    <x v="0"/>
    <x v="4"/>
    <x v="1"/>
    <x v="0"/>
    <n v="50"/>
    <n v="67"/>
    <n v="63"/>
    <n v="180"/>
    <n v="60"/>
    <s v="D"/>
    <x v="0"/>
    <x v="3"/>
    <n v="708"/>
    <n v="56.043956043956044"/>
  </r>
  <r>
    <x v="0"/>
    <x v="1"/>
    <x v="3"/>
    <x v="0"/>
    <x v="0"/>
    <n v="85"/>
    <n v="89"/>
    <n v="95"/>
    <n v="269"/>
    <n v="89.666666666666671"/>
    <s v="B"/>
    <x v="0"/>
    <x v="1"/>
    <n v="53"/>
    <n v="88.644688644688657"/>
  </r>
  <r>
    <x v="1"/>
    <x v="0"/>
    <x v="5"/>
    <x v="0"/>
    <x v="0"/>
    <n v="74"/>
    <n v="63"/>
    <n v="57"/>
    <n v="194"/>
    <n v="64.666666666666671"/>
    <s v="D"/>
    <x v="0"/>
    <x v="3"/>
    <n v="602"/>
    <n v="61.172161172161175"/>
  </r>
  <r>
    <x v="1"/>
    <x v="3"/>
    <x v="5"/>
    <x v="0"/>
    <x v="0"/>
    <n v="60"/>
    <n v="59"/>
    <n v="54"/>
    <n v="173"/>
    <n v="57.666666666666664"/>
    <s v="F"/>
    <x v="1"/>
    <x v="2"/>
    <n v="756"/>
    <n v="53.479853479853482"/>
  </r>
  <r>
    <x v="0"/>
    <x v="1"/>
    <x v="5"/>
    <x v="0"/>
    <x v="1"/>
    <n v="59"/>
    <n v="54"/>
    <n v="67"/>
    <n v="180"/>
    <n v="60"/>
    <s v="D"/>
    <x v="0"/>
    <x v="3"/>
    <n v="708"/>
    <n v="56.043956043956044"/>
  </r>
  <r>
    <x v="1"/>
    <x v="2"/>
    <x v="1"/>
    <x v="0"/>
    <x v="0"/>
    <n v="53"/>
    <n v="43"/>
    <n v="43"/>
    <n v="139"/>
    <n v="46.333333333333336"/>
    <s v="F"/>
    <x v="1"/>
    <x v="2"/>
    <n v="934"/>
    <n v="41.025641025641029"/>
  </r>
  <r>
    <x v="0"/>
    <x v="2"/>
    <x v="1"/>
    <x v="1"/>
    <x v="0"/>
    <n v="49"/>
    <n v="65"/>
    <n v="55"/>
    <n v="169"/>
    <n v="56.333333333333336"/>
    <s v="F"/>
    <x v="1"/>
    <x v="2"/>
    <n v="780"/>
    <n v="52.014652014652022"/>
  </r>
  <r>
    <x v="0"/>
    <x v="3"/>
    <x v="4"/>
    <x v="0"/>
    <x v="1"/>
    <n v="88"/>
    <n v="99"/>
    <n v="100"/>
    <n v="287"/>
    <n v="95.666666666666671"/>
    <s v="A"/>
    <x v="0"/>
    <x v="1"/>
    <n v="21"/>
    <n v="95.238095238095241"/>
  </r>
  <r>
    <x v="0"/>
    <x v="1"/>
    <x v="4"/>
    <x v="0"/>
    <x v="0"/>
    <n v="54"/>
    <n v="59"/>
    <n v="62"/>
    <n v="175"/>
    <n v="58.333333333333336"/>
    <s v="F"/>
    <x v="1"/>
    <x v="2"/>
    <n v="745"/>
    <n v="54.212454212454219"/>
  </r>
  <r>
    <x v="0"/>
    <x v="1"/>
    <x v="5"/>
    <x v="0"/>
    <x v="0"/>
    <n v="63"/>
    <n v="73"/>
    <n v="68"/>
    <n v="204"/>
    <n v="68"/>
    <s v="D"/>
    <x v="0"/>
    <x v="3"/>
    <n v="512"/>
    <n v="64.835164835164832"/>
  </r>
  <r>
    <x v="1"/>
    <x v="0"/>
    <x v="3"/>
    <x v="0"/>
    <x v="1"/>
    <n v="65"/>
    <n v="65"/>
    <n v="63"/>
    <n v="193"/>
    <n v="64.333333333333329"/>
    <s v="D"/>
    <x v="0"/>
    <x v="3"/>
    <n v="613"/>
    <n v="60.805860805860803"/>
  </r>
  <r>
    <x v="0"/>
    <x v="0"/>
    <x v="3"/>
    <x v="0"/>
    <x v="0"/>
    <n v="82"/>
    <n v="80"/>
    <n v="77"/>
    <n v="239"/>
    <n v="79.666666666666671"/>
    <s v="C"/>
    <x v="0"/>
    <x v="0"/>
    <n v="199"/>
    <n v="77.655677655677664"/>
  </r>
  <r>
    <x v="0"/>
    <x v="3"/>
    <x v="4"/>
    <x v="1"/>
    <x v="1"/>
    <n v="52"/>
    <n v="57"/>
    <n v="56"/>
    <n v="165"/>
    <n v="55"/>
    <s v="F"/>
    <x v="1"/>
    <x v="2"/>
    <n v="808"/>
    <n v="50.549450549450547"/>
  </r>
  <r>
    <x v="1"/>
    <x v="3"/>
    <x v="3"/>
    <x v="0"/>
    <x v="1"/>
    <n v="87"/>
    <n v="84"/>
    <n v="85"/>
    <n v="256"/>
    <n v="85.333333333333329"/>
    <s v="B"/>
    <x v="0"/>
    <x v="1"/>
    <n v="109"/>
    <n v="83.882783882783869"/>
  </r>
  <r>
    <x v="0"/>
    <x v="3"/>
    <x v="2"/>
    <x v="0"/>
    <x v="1"/>
    <n v="70"/>
    <n v="71"/>
    <n v="74"/>
    <n v="215"/>
    <n v="71.666666666666671"/>
    <s v="C"/>
    <x v="0"/>
    <x v="0"/>
    <n v="404"/>
    <n v="68.864468864468876"/>
  </r>
  <r>
    <x v="1"/>
    <x v="4"/>
    <x v="1"/>
    <x v="0"/>
    <x v="1"/>
    <n v="84"/>
    <n v="83"/>
    <n v="78"/>
    <n v="245"/>
    <n v="81.666666666666671"/>
    <s v="B"/>
    <x v="0"/>
    <x v="0"/>
    <n v="169"/>
    <n v="79.853479853479854"/>
  </r>
  <r>
    <x v="1"/>
    <x v="3"/>
    <x v="3"/>
    <x v="0"/>
    <x v="0"/>
    <n v="71"/>
    <n v="66"/>
    <n v="60"/>
    <n v="197"/>
    <n v="65.666666666666671"/>
    <s v="D"/>
    <x v="0"/>
    <x v="3"/>
    <n v="576"/>
    <n v="62.27106227106227"/>
  </r>
  <r>
    <x v="1"/>
    <x v="0"/>
    <x v="5"/>
    <x v="0"/>
    <x v="1"/>
    <n v="63"/>
    <n v="67"/>
    <n v="67"/>
    <n v="197"/>
    <n v="65.666666666666671"/>
    <s v="D"/>
    <x v="0"/>
    <x v="3"/>
    <n v="576"/>
    <n v="62.27106227106227"/>
  </r>
  <r>
    <x v="0"/>
    <x v="1"/>
    <x v="0"/>
    <x v="1"/>
    <x v="1"/>
    <n v="51"/>
    <n v="72"/>
    <n v="79"/>
    <n v="202"/>
    <n v="67.333333333333329"/>
    <s v="D"/>
    <x v="0"/>
    <x v="3"/>
    <n v="534"/>
    <n v="64.102564102564102"/>
  </r>
  <r>
    <x v="1"/>
    <x v="4"/>
    <x v="4"/>
    <x v="0"/>
    <x v="0"/>
    <n v="84"/>
    <n v="73"/>
    <n v="69"/>
    <n v="226"/>
    <n v="75.333333333333329"/>
    <s v="C"/>
    <x v="0"/>
    <x v="0"/>
    <n v="307"/>
    <n v="72.893772893772891"/>
  </r>
  <r>
    <x v="1"/>
    <x v="1"/>
    <x v="0"/>
    <x v="0"/>
    <x v="1"/>
    <n v="71"/>
    <n v="74"/>
    <n v="68"/>
    <n v="213"/>
    <n v="71"/>
    <s v="C"/>
    <x v="0"/>
    <x v="0"/>
    <n v="424"/>
    <n v="68.131868131868131"/>
  </r>
  <r>
    <x v="1"/>
    <x v="1"/>
    <x v="3"/>
    <x v="0"/>
    <x v="0"/>
    <n v="74"/>
    <n v="73"/>
    <n v="67"/>
    <n v="214"/>
    <n v="71.333333333333329"/>
    <s v="C"/>
    <x v="0"/>
    <x v="0"/>
    <n v="412"/>
    <n v="68.498168498168482"/>
  </r>
  <r>
    <x v="1"/>
    <x v="3"/>
    <x v="1"/>
    <x v="0"/>
    <x v="0"/>
    <n v="68"/>
    <n v="59"/>
    <n v="62"/>
    <n v="189"/>
    <n v="63"/>
    <s v="D"/>
    <x v="0"/>
    <x v="3"/>
    <n v="646"/>
    <n v="59.340659340659343"/>
  </r>
  <r>
    <x v="1"/>
    <x v="4"/>
    <x v="4"/>
    <x v="1"/>
    <x v="1"/>
    <n v="57"/>
    <n v="56"/>
    <n v="54"/>
    <n v="167"/>
    <n v="55.666666666666664"/>
    <s v="F"/>
    <x v="1"/>
    <x v="2"/>
    <n v="796"/>
    <n v="51.282051282051277"/>
  </r>
  <r>
    <x v="0"/>
    <x v="1"/>
    <x v="3"/>
    <x v="1"/>
    <x v="1"/>
    <n v="82"/>
    <n v="93"/>
    <n v="93"/>
    <n v="268"/>
    <n v="89.333333333333329"/>
    <s v="B"/>
    <x v="0"/>
    <x v="1"/>
    <n v="55"/>
    <n v="88.278388278388277"/>
  </r>
  <r>
    <x v="0"/>
    <x v="3"/>
    <x v="4"/>
    <x v="0"/>
    <x v="1"/>
    <n v="57"/>
    <n v="58"/>
    <n v="64"/>
    <n v="179"/>
    <n v="59.666666666666664"/>
    <s v="F"/>
    <x v="1"/>
    <x v="2"/>
    <n v="716"/>
    <n v="55.677655677655679"/>
  </r>
  <r>
    <x v="0"/>
    <x v="3"/>
    <x v="2"/>
    <x v="1"/>
    <x v="1"/>
    <n v="47"/>
    <n v="58"/>
    <n v="67"/>
    <n v="172"/>
    <n v="57.333333333333336"/>
    <s v="F"/>
    <x v="1"/>
    <x v="2"/>
    <n v="764"/>
    <n v="53.113553113553117"/>
  </r>
  <r>
    <x v="0"/>
    <x v="2"/>
    <x v="5"/>
    <x v="0"/>
    <x v="1"/>
    <n v="59"/>
    <n v="85"/>
    <n v="80"/>
    <n v="224"/>
    <n v="74.666666666666671"/>
    <s v="C"/>
    <x v="0"/>
    <x v="0"/>
    <n v="325"/>
    <n v="72.161172161172175"/>
  </r>
  <r>
    <x v="1"/>
    <x v="0"/>
    <x v="1"/>
    <x v="1"/>
    <x v="0"/>
    <n v="41"/>
    <n v="39"/>
    <n v="34"/>
    <n v="114"/>
    <n v="38"/>
    <s v="F"/>
    <x v="1"/>
    <x v="2"/>
    <n v="980"/>
    <n v="31.868131868131865"/>
  </r>
  <r>
    <x v="0"/>
    <x v="1"/>
    <x v="1"/>
    <x v="1"/>
    <x v="0"/>
    <n v="62"/>
    <n v="67"/>
    <n v="62"/>
    <n v="191"/>
    <n v="63.666666666666664"/>
    <s v="D"/>
    <x v="0"/>
    <x v="3"/>
    <n v="632"/>
    <n v="60.073260073260073"/>
  </r>
  <r>
    <x v="1"/>
    <x v="1"/>
    <x v="0"/>
    <x v="0"/>
    <x v="0"/>
    <n v="86"/>
    <n v="83"/>
    <n v="86"/>
    <n v="255"/>
    <n v="85"/>
    <s v="B"/>
    <x v="0"/>
    <x v="1"/>
    <n v="113"/>
    <n v="83.516483516483518"/>
  </r>
  <r>
    <x v="1"/>
    <x v="1"/>
    <x v="5"/>
    <x v="1"/>
    <x v="0"/>
    <n v="69"/>
    <n v="71"/>
    <n v="65"/>
    <n v="205"/>
    <n v="68.333333333333329"/>
    <s v="D"/>
    <x v="0"/>
    <x v="3"/>
    <n v="499"/>
    <n v="65.201465201465197"/>
  </r>
  <r>
    <x v="1"/>
    <x v="2"/>
    <x v="5"/>
    <x v="1"/>
    <x v="0"/>
    <n v="65"/>
    <n v="59"/>
    <n v="53"/>
    <n v="177"/>
    <n v="59"/>
    <s v="F"/>
    <x v="1"/>
    <x v="2"/>
    <n v="727"/>
    <n v="54.945054945054949"/>
  </r>
  <r>
    <x v="1"/>
    <x v="1"/>
    <x v="5"/>
    <x v="1"/>
    <x v="0"/>
    <n v="68"/>
    <n v="63"/>
    <n v="54"/>
    <n v="185"/>
    <n v="61.666666666666664"/>
    <s v="D"/>
    <x v="0"/>
    <x v="3"/>
    <n v="671"/>
    <n v="57.875457875457869"/>
  </r>
  <r>
    <x v="1"/>
    <x v="1"/>
    <x v="3"/>
    <x v="1"/>
    <x v="0"/>
    <n v="64"/>
    <n v="66"/>
    <n v="59"/>
    <n v="189"/>
    <n v="63"/>
    <s v="D"/>
    <x v="0"/>
    <x v="3"/>
    <n v="646"/>
    <n v="59.340659340659343"/>
  </r>
  <r>
    <x v="0"/>
    <x v="1"/>
    <x v="4"/>
    <x v="0"/>
    <x v="0"/>
    <n v="61"/>
    <n v="72"/>
    <n v="70"/>
    <n v="203"/>
    <n v="67.666666666666671"/>
    <s v="D"/>
    <x v="0"/>
    <x v="3"/>
    <n v="527"/>
    <n v="64.468864468864467"/>
  </r>
  <r>
    <x v="1"/>
    <x v="1"/>
    <x v="4"/>
    <x v="0"/>
    <x v="0"/>
    <n v="61"/>
    <n v="56"/>
    <n v="55"/>
    <n v="172"/>
    <n v="57.333333333333336"/>
    <s v="F"/>
    <x v="1"/>
    <x v="2"/>
    <n v="764"/>
    <n v="53.113553113553117"/>
  </r>
  <r>
    <x v="0"/>
    <x v="2"/>
    <x v="5"/>
    <x v="1"/>
    <x v="0"/>
    <n v="47"/>
    <n v="59"/>
    <n v="50"/>
    <n v="156"/>
    <n v="52"/>
    <s v="F"/>
    <x v="1"/>
    <x v="2"/>
    <n v="855"/>
    <n v="47.252747252747248"/>
  </r>
  <r>
    <x v="1"/>
    <x v="1"/>
    <x v="5"/>
    <x v="0"/>
    <x v="0"/>
    <n v="73"/>
    <n v="66"/>
    <n v="66"/>
    <n v="205"/>
    <n v="68.333333333333329"/>
    <s v="D"/>
    <x v="0"/>
    <x v="3"/>
    <n v="499"/>
    <n v="65.201465201465197"/>
  </r>
  <r>
    <x v="1"/>
    <x v="1"/>
    <x v="1"/>
    <x v="1"/>
    <x v="1"/>
    <n v="50"/>
    <n v="48"/>
    <n v="53"/>
    <n v="151"/>
    <n v="50.333333333333336"/>
    <s v="F"/>
    <x v="1"/>
    <x v="2"/>
    <n v="884"/>
    <n v="45.421245421245423"/>
  </r>
  <r>
    <x v="1"/>
    <x v="3"/>
    <x v="3"/>
    <x v="0"/>
    <x v="0"/>
    <n v="75"/>
    <n v="68"/>
    <n v="64"/>
    <n v="207"/>
    <n v="69"/>
    <s v="D"/>
    <x v="0"/>
    <x v="3"/>
    <n v="475"/>
    <n v="65.934065934065927"/>
  </r>
  <r>
    <x v="1"/>
    <x v="3"/>
    <x v="3"/>
    <x v="1"/>
    <x v="0"/>
    <n v="75"/>
    <n v="66"/>
    <n v="73"/>
    <n v="214"/>
    <n v="71.333333333333329"/>
    <s v="C"/>
    <x v="0"/>
    <x v="0"/>
    <n v="412"/>
    <n v="68.498168498168482"/>
  </r>
  <r>
    <x v="1"/>
    <x v="1"/>
    <x v="4"/>
    <x v="0"/>
    <x v="0"/>
    <n v="70"/>
    <n v="56"/>
    <n v="51"/>
    <n v="177"/>
    <n v="59"/>
    <s v="F"/>
    <x v="1"/>
    <x v="2"/>
    <n v="727"/>
    <n v="54.945054945054949"/>
  </r>
  <r>
    <x v="1"/>
    <x v="3"/>
    <x v="5"/>
    <x v="0"/>
    <x v="1"/>
    <n v="89"/>
    <n v="88"/>
    <n v="82"/>
    <n v="259"/>
    <n v="86.333333333333329"/>
    <s v="B"/>
    <x v="0"/>
    <x v="1"/>
    <n v="93"/>
    <n v="84.981684981684978"/>
  </r>
  <r>
    <x v="0"/>
    <x v="1"/>
    <x v="1"/>
    <x v="0"/>
    <x v="1"/>
    <n v="67"/>
    <n v="81"/>
    <n v="79"/>
    <n v="227"/>
    <n v="75.666666666666671"/>
    <s v="C"/>
    <x v="0"/>
    <x v="0"/>
    <n v="297"/>
    <n v="73.26007326007327"/>
  </r>
  <r>
    <x v="0"/>
    <x v="3"/>
    <x v="4"/>
    <x v="0"/>
    <x v="0"/>
    <n v="78"/>
    <n v="81"/>
    <n v="80"/>
    <n v="239"/>
    <n v="79.666666666666671"/>
    <s v="C"/>
    <x v="0"/>
    <x v="0"/>
    <n v="199"/>
    <n v="77.655677655677664"/>
  </r>
  <r>
    <x v="0"/>
    <x v="2"/>
    <x v="5"/>
    <x v="1"/>
    <x v="0"/>
    <n v="59"/>
    <n v="73"/>
    <n v="69"/>
    <n v="201"/>
    <n v="67"/>
    <s v="D"/>
    <x v="0"/>
    <x v="3"/>
    <n v="540"/>
    <n v="63.73626373626373"/>
  </r>
  <r>
    <x v="0"/>
    <x v="0"/>
    <x v="3"/>
    <x v="0"/>
    <x v="0"/>
    <n v="73"/>
    <n v="83"/>
    <n v="76"/>
    <n v="232"/>
    <n v="77.333333333333329"/>
    <s v="C"/>
    <x v="0"/>
    <x v="0"/>
    <n v="255"/>
    <n v="75.091575091575095"/>
  </r>
  <r>
    <x v="1"/>
    <x v="2"/>
    <x v="5"/>
    <x v="1"/>
    <x v="0"/>
    <n v="79"/>
    <n v="82"/>
    <n v="73"/>
    <n v="234"/>
    <n v="78"/>
    <s v="C"/>
    <x v="0"/>
    <x v="0"/>
    <n v="240"/>
    <n v="75.824175824175825"/>
  </r>
  <r>
    <x v="0"/>
    <x v="1"/>
    <x v="5"/>
    <x v="0"/>
    <x v="1"/>
    <n v="67"/>
    <n v="74"/>
    <n v="77"/>
    <n v="218"/>
    <n v="72.666666666666671"/>
    <s v="C"/>
    <x v="0"/>
    <x v="0"/>
    <n v="379"/>
    <n v="69.963369963369971"/>
  </r>
  <r>
    <x v="1"/>
    <x v="3"/>
    <x v="1"/>
    <x v="1"/>
    <x v="0"/>
    <n v="69"/>
    <n v="66"/>
    <n v="60"/>
    <n v="195"/>
    <n v="65"/>
    <s v="D"/>
    <x v="0"/>
    <x v="3"/>
    <n v="593"/>
    <n v="61.53846153846154"/>
  </r>
  <r>
    <x v="1"/>
    <x v="1"/>
    <x v="4"/>
    <x v="0"/>
    <x v="1"/>
    <n v="86"/>
    <n v="81"/>
    <n v="80"/>
    <n v="247"/>
    <n v="82.333333333333329"/>
    <s v="B"/>
    <x v="0"/>
    <x v="0"/>
    <n v="155"/>
    <n v="80.586080586080584"/>
  </r>
  <r>
    <x v="1"/>
    <x v="0"/>
    <x v="4"/>
    <x v="0"/>
    <x v="0"/>
    <n v="47"/>
    <n v="46"/>
    <n v="42"/>
    <n v="135"/>
    <n v="45"/>
    <s v="F"/>
    <x v="1"/>
    <x v="2"/>
    <n v="945"/>
    <n v="39.560439560439562"/>
  </r>
  <r>
    <x v="1"/>
    <x v="0"/>
    <x v="3"/>
    <x v="0"/>
    <x v="0"/>
    <n v="81"/>
    <n v="73"/>
    <n v="72"/>
    <n v="226"/>
    <n v="75.333333333333329"/>
    <s v="C"/>
    <x v="0"/>
    <x v="0"/>
    <n v="307"/>
    <n v="72.893772893772891"/>
  </r>
  <r>
    <x v="0"/>
    <x v="1"/>
    <x v="1"/>
    <x v="1"/>
    <x v="1"/>
    <n v="64"/>
    <n v="85"/>
    <n v="85"/>
    <n v="234"/>
    <n v="78"/>
    <s v="C"/>
    <x v="0"/>
    <x v="0"/>
    <n v="240"/>
    <n v="75.824175824175825"/>
  </r>
  <r>
    <x v="0"/>
    <x v="4"/>
    <x v="1"/>
    <x v="0"/>
    <x v="0"/>
    <n v="100"/>
    <n v="92"/>
    <n v="97"/>
    <n v="289"/>
    <n v="96.333333333333329"/>
    <s v="A"/>
    <x v="0"/>
    <x v="1"/>
    <n v="17"/>
    <n v="95.970695970695957"/>
  </r>
  <r>
    <x v="0"/>
    <x v="1"/>
    <x v="3"/>
    <x v="1"/>
    <x v="0"/>
    <n v="65"/>
    <n v="77"/>
    <n v="74"/>
    <n v="216"/>
    <n v="72"/>
    <s v="C"/>
    <x v="0"/>
    <x v="0"/>
    <n v="395"/>
    <n v="69.230769230769226"/>
  </r>
  <r>
    <x v="1"/>
    <x v="1"/>
    <x v="1"/>
    <x v="1"/>
    <x v="0"/>
    <n v="65"/>
    <n v="58"/>
    <n v="49"/>
    <n v="172"/>
    <n v="57.333333333333336"/>
    <s v="F"/>
    <x v="1"/>
    <x v="2"/>
    <n v="764"/>
    <n v="53.113553113553117"/>
  </r>
  <r>
    <x v="0"/>
    <x v="1"/>
    <x v="3"/>
    <x v="1"/>
    <x v="0"/>
    <n v="53"/>
    <n v="61"/>
    <n v="62"/>
    <n v="176"/>
    <n v="58.666666666666664"/>
    <s v="F"/>
    <x v="1"/>
    <x v="2"/>
    <n v="736"/>
    <n v="54.578754578754577"/>
  </r>
  <r>
    <x v="1"/>
    <x v="1"/>
    <x v="0"/>
    <x v="1"/>
    <x v="0"/>
    <n v="37"/>
    <n v="56"/>
    <n v="47"/>
    <n v="140"/>
    <n v="46.666666666666664"/>
    <s v="F"/>
    <x v="1"/>
    <x v="2"/>
    <n v="930"/>
    <n v="41.391941391941387"/>
  </r>
  <r>
    <x v="0"/>
    <x v="3"/>
    <x v="0"/>
    <x v="0"/>
    <x v="0"/>
    <n v="79"/>
    <n v="89"/>
    <n v="89"/>
    <n v="257"/>
    <n v="85.666666666666671"/>
    <s v="B"/>
    <x v="0"/>
    <x v="1"/>
    <n v="103"/>
    <n v="84.249084249084248"/>
  </r>
  <r>
    <x v="1"/>
    <x v="3"/>
    <x v="3"/>
    <x v="1"/>
    <x v="0"/>
    <n v="53"/>
    <n v="54"/>
    <n v="48"/>
    <n v="155"/>
    <n v="51.666666666666664"/>
    <s v="F"/>
    <x v="1"/>
    <x v="2"/>
    <n v="860"/>
    <n v="46.886446886446883"/>
  </r>
  <r>
    <x v="0"/>
    <x v="4"/>
    <x v="0"/>
    <x v="0"/>
    <x v="0"/>
    <n v="100"/>
    <n v="100"/>
    <n v="100"/>
    <n v="300"/>
    <n v="100"/>
    <s v="A"/>
    <x v="0"/>
    <x v="1"/>
    <n v="1"/>
    <n v="100"/>
  </r>
  <r>
    <x v="1"/>
    <x v="0"/>
    <x v="4"/>
    <x v="0"/>
    <x v="1"/>
    <n v="72"/>
    <n v="65"/>
    <n v="68"/>
    <n v="205"/>
    <n v="68.333333333333329"/>
    <s v="D"/>
    <x v="0"/>
    <x v="3"/>
    <n v="499"/>
    <n v="65.201465201465197"/>
  </r>
  <r>
    <x v="1"/>
    <x v="1"/>
    <x v="0"/>
    <x v="1"/>
    <x v="0"/>
    <n v="53"/>
    <n v="58"/>
    <n v="55"/>
    <n v="166"/>
    <n v="55.333333333333336"/>
    <s v="F"/>
    <x v="1"/>
    <x v="2"/>
    <n v="803"/>
    <n v="50.915750915750927"/>
  </r>
  <r>
    <x v="1"/>
    <x v="0"/>
    <x v="1"/>
    <x v="1"/>
    <x v="0"/>
    <n v="54"/>
    <n v="54"/>
    <n v="45"/>
    <n v="153"/>
    <n v="51"/>
    <s v="F"/>
    <x v="1"/>
    <x v="2"/>
    <n v="876"/>
    <n v="46.153846153846153"/>
  </r>
  <r>
    <x v="0"/>
    <x v="4"/>
    <x v="1"/>
    <x v="0"/>
    <x v="0"/>
    <n v="71"/>
    <n v="70"/>
    <n v="76"/>
    <n v="217"/>
    <n v="72.333333333333329"/>
    <s v="C"/>
    <x v="0"/>
    <x v="0"/>
    <n v="389"/>
    <n v="69.597069597069591"/>
  </r>
  <r>
    <x v="0"/>
    <x v="1"/>
    <x v="1"/>
    <x v="1"/>
    <x v="0"/>
    <n v="77"/>
    <n v="90"/>
    <n v="91"/>
    <n v="258"/>
    <n v="86"/>
    <s v="B"/>
    <x v="0"/>
    <x v="1"/>
    <n v="99"/>
    <n v="84.615384615384613"/>
  </r>
  <r>
    <x v="1"/>
    <x v="2"/>
    <x v="0"/>
    <x v="0"/>
    <x v="1"/>
    <n v="75"/>
    <n v="58"/>
    <n v="62"/>
    <n v="195"/>
    <n v="65"/>
    <s v="D"/>
    <x v="0"/>
    <x v="3"/>
    <n v="593"/>
    <n v="61.53846153846154"/>
  </r>
  <r>
    <x v="0"/>
    <x v="1"/>
    <x v="1"/>
    <x v="0"/>
    <x v="0"/>
    <n v="84"/>
    <n v="87"/>
    <n v="91"/>
    <n v="262"/>
    <n v="87.333333333333329"/>
    <s v="B"/>
    <x v="0"/>
    <x v="1"/>
    <n v="78"/>
    <n v="86.080586080586073"/>
  </r>
  <r>
    <x v="0"/>
    <x v="3"/>
    <x v="3"/>
    <x v="1"/>
    <x v="0"/>
    <n v="26"/>
    <n v="31"/>
    <n v="38"/>
    <n v="95"/>
    <n v="31.666666666666668"/>
    <s v="F"/>
    <x v="1"/>
    <x v="2"/>
    <n v="987"/>
    <n v="24.908424908424909"/>
  </r>
  <r>
    <x v="1"/>
    <x v="2"/>
    <x v="4"/>
    <x v="1"/>
    <x v="1"/>
    <n v="72"/>
    <n v="67"/>
    <n v="65"/>
    <n v="204"/>
    <n v="68"/>
    <s v="D"/>
    <x v="0"/>
    <x v="3"/>
    <n v="512"/>
    <n v="64.835164835164832"/>
  </r>
  <r>
    <x v="0"/>
    <x v="2"/>
    <x v="4"/>
    <x v="1"/>
    <x v="1"/>
    <n v="77"/>
    <n v="88"/>
    <n v="85"/>
    <n v="250"/>
    <n v="83.333333333333329"/>
    <s v="B"/>
    <x v="0"/>
    <x v="0"/>
    <n v="135"/>
    <n v="81.684981684981679"/>
  </r>
  <r>
    <x v="1"/>
    <x v="1"/>
    <x v="1"/>
    <x v="0"/>
    <x v="0"/>
    <n v="91"/>
    <n v="74"/>
    <n v="76"/>
    <n v="241"/>
    <n v="80.333333333333329"/>
    <s v="B"/>
    <x v="0"/>
    <x v="0"/>
    <n v="187"/>
    <n v="78.388278388278394"/>
  </r>
  <r>
    <x v="0"/>
    <x v="1"/>
    <x v="3"/>
    <x v="0"/>
    <x v="1"/>
    <n v="83"/>
    <n v="85"/>
    <n v="90"/>
    <n v="258"/>
    <n v="86"/>
    <s v="B"/>
    <x v="0"/>
    <x v="1"/>
    <n v="99"/>
    <n v="84.615384615384613"/>
  </r>
  <r>
    <x v="0"/>
    <x v="1"/>
    <x v="4"/>
    <x v="0"/>
    <x v="0"/>
    <n v="63"/>
    <n v="69"/>
    <n v="74"/>
    <n v="206"/>
    <n v="68.666666666666671"/>
    <s v="D"/>
    <x v="0"/>
    <x v="3"/>
    <n v="487"/>
    <n v="65.567765567765562"/>
  </r>
  <r>
    <x v="0"/>
    <x v="1"/>
    <x v="3"/>
    <x v="0"/>
    <x v="1"/>
    <n v="68"/>
    <n v="86"/>
    <n v="84"/>
    <n v="238"/>
    <n v="79.333333333333329"/>
    <s v="C"/>
    <x v="0"/>
    <x v="0"/>
    <n v="207"/>
    <n v="77.289377289377285"/>
  </r>
  <r>
    <x v="0"/>
    <x v="3"/>
    <x v="5"/>
    <x v="0"/>
    <x v="0"/>
    <n v="59"/>
    <n v="67"/>
    <n v="61"/>
    <n v="187"/>
    <n v="62.333333333333336"/>
    <s v="D"/>
    <x v="0"/>
    <x v="3"/>
    <n v="657"/>
    <n v="58.608058608058613"/>
  </r>
  <r>
    <x v="0"/>
    <x v="0"/>
    <x v="3"/>
    <x v="0"/>
    <x v="1"/>
    <n v="90"/>
    <n v="90"/>
    <n v="91"/>
    <n v="271"/>
    <n v="90.333333333333329"/>
    <s v="A"/>
    <x v="0"/>
    <x v="1"/>
    <n v="48"/>
    <n v="89.377289377289372"/>
  </r>
  <r>
    <x v="0"/>
    <x v="3"/>
    <x v="0"/>
    <x v="0"/>
    <x v="1"/>
    <n v="71"/>
    <n v="76"/>
    <n v="83"/>
    <n v="230"/>
    <n v="76.666666666666671"/>
    <s v="C"/>
    <x v="0"/>
    <x v="0"/>
    <n v="277"/>
    <n v="74.358974358974365"/>
  </r>
  <r>
    <x v="1"/>
    <x v="4"/>
    <x v="0"/>
    <x v="0"/>
    <x v="1"/>
    <n v="76"/>
    <n v="62"/>
    <n v="66"/>
    <n v="204"/>
    <n v="68"/>
    <s v="D"/>
    <x v="0"/>
    <x v="3"/>
    <n v="512"/>
    <n v="64.835164835164832"/>
  </r>
  <r>
    <x v="1"/>
    <x v="3"/>
    <x v="3"/>
    <x v="0"/>
    <x v="0"/>
    <n v="80"/>
    <n v="68"/>
    <n v="72"/>
    <n v="220"/>
    <n v="73.333333333333329"/>
    <s v="C"/>
    <x v="0"/>
    <x v="0"/>
    <n v="356"/>
    <n v="70.695970695970686"/>
  </r>
  <r>
    <x v="0"/>
    <x v="3"/>
    <x v="2"/>
    <x v="0"/>
    <x v="0"/>
    <n v="55"/>
    <n v="64"/>
    <n v="70"/>
    <n v="189"/>
    <n v="63"/>
    <s v="D"/>
    <x v="0"/>
    <x v="3"/>
    <n v="646"/>
    <n v="59.340659340659343"/>
  </r>
  <r>
    <x v="1"/>
    <x v="4"/>
    <x v="3"/>
    <x v="0"/>
    <x v="0"/>
    <n v="76"/>
    <n v="71"/>
    <n v="67"/>
    <n v="214"/>
    <n v="71.333333333333329"/>
    <s v="C"/>
    <x v="0"/>
    <x v="0"/>
    <n v="412"/>
    <n v="68.498168498168482"/>
  </r>
  <r>
    <x v="1"/>
    <x v="0"/>
    <x v="4"/>
    <x v="0"/>
    <x v="1"/>
    <n v="73"/>
    <n v="71"/>
    <n v="68"/>
    <n v="212"/>
    <n v="70.666666666666671"/>
    <s v="C"/>
    <x v="0"/>
    <x v="0"/>
    <n v="435"/>
    <n v="67.765567765567766"/>
  </r>
  <r>
    <x v="0"/>
    <x v="3"/>
    <x v="3"/>
    <x v="1"/>
    <x v="0"/>
    <n v="52"/>
    <n v="59"/>
    <n v="56"/>
    <n v="167"/>
    <n v="55.666666666666664"/>
    <s v="F"/>
    <x v="1"/>
    <x v="2"/>
    <n v="796"/>
    <n v="51.282051282051277"/>
  </r>
  <r>
    <x v="1"/>
    <x v="1"/>
    <x v="1"/>
    <x v="1"/>
    <x v="0"/>
    <n v="68"/>
    <n v="68"/>
    <n v="61"/>
    <n v="197"/>
    <n v="65.666666666666671"/>
    <s v="D"/>
    <x v="0"/>
    <x v="3"/>
    <n v="576"/>
    <n v="62.27106227106227"/>
  </r>
  <r>
    <x v="1"/>
    <x v="2"/>
    <x v="4"/>
    <x v="0"/>
    <x v="0"/>
    <n v="59"/>
    <n v="52"/>
    <n v="46"/>
    <n v="157"/>
    <n v="52.333333333333336"/>
    <s v="F"/>
    <x v="1"/>
    <x v="2"/>
    <n v="850"/>
    <n v="47.61904761904762"/>
  </r>
  <r>
    <x v="0"/>
    <x v="0"/>
    <x v="3"/>
    <x v="0"/>
    <x v="0"/>
    <n v="49"/>
    <n v="52"/>
    <n v="54"/>
    <n v="155"/>
    <n v="51.666666666666664"/>
    <s v="F"/>
    <x v="1"/>
    <x v="2"/>
    <n v="860"/>
    <n v="46.886446886446883"/>
  </r>
  <r>
    <x v="1"/>
    <x v="1"/>
    <x v="4"/>
    <x v="0"/>
    <x v="0"/>
    <n v="70"/>
    <n v="74"/>
    <n v="71"/>
    <n v="215"/>
    <n v="71.666666666666671"/>
    <s v="C"/>
    <x v="0"/>
    <x v="0"/>
    <n v="404"/>
    <n v="68.864468864468876"/>
  </r>
  <r>
    <x v="1"/>
    <x v="3"/>
    <x v="1"/>
    <x v="1"/>
    <x v="0"/>
    <n v="61"/>
    <n v="47"/>
    <n v="56"/>
    <n v="164"/>
    <n v="54.666666666666664"/>
    <s v="F"/>
    <x v="1"/>
    <x v="2"/>
    <n v="810"/>
    <n v="50.183150183150182"/>
  </r>
  <r>
    <x v="0"/>
    <x v="1"/>
    <x v="3"/>
    <x v="1"/>
    <x v="0"/>
    <n v="60"/>
    <n v="75"/>
    <n v="74"/>
    <n v="209"/>
    <n v="69.666666666666671"/>
    <s v="D"/>
    <x v="0"/>
    <x v="3"/>
    <n v="460"/>
    <n v="66.666666666666671"/>
  </r>
  <r>
    <x v="1"/>
    <x v="0"/>
    <x v="5"/>
    <x v="0"/>
    <x v="1"/>
    <n v="64"/>
    <n v="53"/>
    <n v="57"/>
    <n v="174"/>
    <n v="58"/>
    <s v="F"/>
    <x v="1"/>
    <x v="2"/>
    <n v="754"/>
    <n v="53.846153846153847"/>
  </r>
  <r>
    <x v="1"/>
    <x v="2"/>
    <x v="3"/>
    <x v="1"/>
    <x v="1"/>
    <n v="79"/>
    <n v="82"/>
    <n v="82"/>
    <n v="243"/>
    <n v="81"/>
    <s v="B"/>
    <x v="0"/>
    <x v="0"/>
    <n v="178"/>
    <n v="79.120879120879124"/>
  </r>
  <r>
    <x v="0"/>
    <x v="2"/>
    <x v="3"/>
    <x v="1"/>
    <x v="0"/>
    <n v="65"/>
    <n v="85"/>
    <n v="76"/>
    <n v="226"/>
    <n v="75.333333333333329"/>
    <s v="C"/>
    <x v="0"/>
    <x v="0"/>
    <n v="307"/>
    <n v="72.893772893772891"/>
  </r>
  <r>
    <x v="0"/>
    <x v="1"/>
    <x v="3"/>
    <x v="0"/>
    <x v="0"/>
    <n v="64"/>
    <n v="64"/>
    <n v="70"/>
    <n v="198"/>
    <n v="66"/>
    <s v="D"/>
    <x v="0"/>
    <x v="3"/>
    <n v="562"/>
    <n v="62.637362637362635"/>
  </r>
  <r>
    <x v="0"/>
    <x v="1"/>
    <x v="1"/>
    <x v="0"/>
    <x v="0"/>
    <n v="83"/>
    <n v="83"/>
    <n v="90"/>
    <n v="256"/>
    <n v="85.333333333333329"/>
    <s v="B"/>
    <x v="0"/>
    <x v="1"/>
    <n v="109"/>
    <n v="83.882783882783869"/>
  </r>
  <r>
    <x v="0"/>
    <x v="1"/>
    <x v="0"/>
    <x v="0"/>
    <x v="0"/>
    <n v="81"/>
    <n v="88"/>
    <n v="90"/>
    <n v="259"/>
    <n v="86.333333333333329"/>
    <s v="B"/>
    <x v="0"/>
    <x v="1"/>
    <n v="93"/>
    <n v="84.981684981684978"/>
  </r>
  <r>
    <x v="0"/>
    <x v="0"/>
    <x v="4"/>
    <x v="0"/>
    <x v="0"/>
    <n v="54"/>
    <n v="64"/>
    <n v="68"/>
    <n v="186"/>
    <n v="62"/>
    <s v="D"/>
    <x v="0"/>
    <x v="3"/>
    <n v="665"/>
    <n v="58.241758241758248"/>
  </r>
  <r>
    <x v="1"/>
    <x v="3"/>
    <x v="4"/>
    <x v="0"/>
    <x v="1"/>
    <n v="68"/>
    <n v="64"/>
    <n v="66"/>
    <n v="198"/>
    <n v="66"/>
    <s v="D"/>
    <x v="0"/>
    <x v="3"/>
    <n v="562"/>
    <n v="62.637362637362635"/>
  </r>
  <r>
    <x v="0"/>
    <x v="1"/>
    <x v="1"/>
    <x v="0"/>
    <x v="0"/>
    <n v="54"/>
    <n v="48"/>
    <n v="52"/>
    <n v="154"/>
    <n v="51.333333333333336"/>
    <s v="F"/>
    <x v="1"/>
    <x v="2"/>
    <n v="870"/>
    <n v="46.520146520146518"/>
  </r>
  <r>
    <x v="0"/>
    <x v="3"/>
    <x v="1"/>
    <x v="1"/>
    <x v="1"/>
    <n v="59"/>
    <n v="78"/>
    <n v="76"/>
    <n v="213"/>
    <n v="71"/>
    <s v="C"/>
    <x v="0"/>
    <x v="0"/>
    <n v="424"/>
    <n v="68.131868131868131"/>
  </r>
  <r>
    <x v="0"/>
    <x v="0"/>
    <x v="5"/>
    <x v="0"/>
    <x v="0"/>
    <n v="66"/>
    <n v="69"/>
    <n v="68"/>
    <n v="203"/>
    <n v="67.666666666666671"/>
    <s v="D"/>
    <x v="0"/>
    <x v="3"/>
    <n v="527"/>
    <n v="64.468864468864467"/>
  </r>
  <r>
    <x v="1"/>
    <x v="4"/>
    <x v="1"/>
    <x v="0"/>
    <x v="0"/>
    <n v="76"/>
    <n v="71"/>
    <n v="72"/>
    <n v="219"/>
    <n v="73"/>
    <s v="C"/>
    <x v="0"/>
    <x v="0"/>
    <n v="367"/>
    <n v="70.329670329670336"/>
  </r>
  <r>
    <x v="0"/>
    <x v="3"/>
    <x v="2"/>
    <x v="0"/>
    <x v="0"/>
    <n v="74"/>
    <n v="79"/>
    <n v="82"/>
    <n v="235"/>
    <n v="78.333333333333329"/>
    <s v="C"/>
    <x v="0"/>
    <x v="0"/>
    <n v="231"/>
    <n v="76.19047619047619"/>
  </r>
  <r>
    <x v="0"/>
    <x v="0"/>
    <x v="3"/>
    <x v="0"/>
    <x v="1"/>
    <n v="94"/>
    <n v="87"/>
    <n v="92"/>
    <n v="273"/>
    <n v="91"/>
    <s v="A"/>
    <x v="0"/>
    <x v="1"/>
    <n v="46"/>
    <n v="90.109890109890117"/>
  </r>
  <r>
    <x v="1"/>
    <x v="1"/>
    <x v="1"/>
    <x v="1"/>
    <x v="0"/>
    <n v="63"/>
    <n v="61"/>
    <n v="54"/>
    <n v="178"/>
    <n v="59.333333333333336"/>
    <s v="F"/>
    <x v="1"/>
    <x v="2"/>
    <n v="721"/>
    <n v="55.311355311355314"/>
  </r>
  <r>
    <x v="0"/>
    <x v="4"/>
    <x v="3"/>
    <x v="0"/>
    <x v="1"/>
    <n v="95"/>
    <n v="89"/>
    <n v="92"/>
    <n v="276"/>
    <n v="92"/>
    <s v="A"/>
    <x v="0"/>
    <x v="1"/>
    <n v="35"/>
    <n v="91.208791208791212"/>
  </r>
  <r>
    <x v="0"/>
    <x v="3"/>
    <x v="2"/>
    <x v="1"/>
    <x v="0"/>
    <n v="40"/>
    <n v="59"/>
    <n v="54"/>
    <n v="153"/>
    <n v="51"/>
    <s v="F"/>
    <x v="1"/>
    <x v="2"/>
    <n v="876"/>
    <n v="46.153846153846153"/>
  </r>
  <r>
    <x v="0"/>
    <x v="0"/>
    <x v="5"/>
    <x v="0"/>
    <x v="0"/>
    <n v="82"/>
    <n v="82"/>
    <n v="80"/>
    <n v="244"/>
    <n v="81.333333333333329"/>
    <s v="B"/>
    <x v="0"/>
    <x v="0"/>
    <n v="173"/>
    <n v="79.487179487179489"/>
  </r>
  <r>
    <x v="1"/>
    <x v="2"/>
    <x v="4"/>
    <x v="0"/>
    <x v="0"/>
    <n v="68"/>
    <n v="70"/>
    <n v="66"/>
    <n v="204"/>
    <n v="68"/>
    <s v="D"/>
    <x v="0"/>
    <x v="3"/>
    <n v="512"/>
    <n v="64.835164835164832"/>
  </r>
  <r>
    <x v="1"/>
    <x v="0"/>
    <x v="0"/>
    <x v="1"/>
    <x v="0"/>
    <n v="55"/>
    <n v="59"/>
    <n v="54"/>
    <n v="168"/>
    <n v="56"/>
    <s v="F"/>
    <x v="1"/>
    <x v="2"/>
    <n v="786"/>
    <n v="51.648351648351657"/>
  </r>
  <r>
    <x v="1"/>
    <x v="1"/>
    <x v="2"/>
    <x v="0"/>
    <x v="0"/>
    <n v="79"/>
    <n v="78"/>
    <n v="77"/>
    <n v="234"/>
    <n v="78"/>
    <s v="C"/>
    <x v="0"/>
    <x v="0"/>
    <n v="240"/>
    <n v="75.824175824175825"/>
  </r>
  <r>
    <x v="0"/>
    <x v="1"/>
    <x v="0"/>
    <x v="0"/>
    <x v="0"/>
    <n v="86"/>
    <n v="92"/>
    <n v="87"/>
    <n v="265"/>
    <n v="88.333333333333329"/>
    <s v="B"/>
    <x v="0"/>
    <x v="1"/>
    <n v="69"/>
    <n v="87.179487179487168"/>
  </r>
  <r>
    <x v="1"/>
    <x v="3"/>
    <x v="1"/>
    <x v="0"/>
    <x v="0"/>
    <n v="76"/>
    <n v="71"/>
    <n v="73"/>
    <n v="220"/>
    <n v="73.333333333333329"/>
    <s v="C"/>
    <x v="0"/>
    <x v="0"/>
    <n v="356"/>
    <n v="70.695970695970686"/>
  </r>
  <r>
    <x v="1"/>
    <x v="2"/>
    <x v="5"/>
    <x v="0"/>
    <x v="0"/>
    <n v="64"/>
    <n v="50"/>
    <n v="43"/>
    <n v="157"/>
    <n v="52.333333333333336"/>
    <s v="F"/>
    <x v="1"/>
    <x v="2"/>
    <n v="850"/>
    <n v="47.61904761904762"/>
  </r>
  <r>
    <x v="1"/>
    <x v="3"/>
    <x v="5"/>
    <x v="1"/>
    <x v="0"/>
    <n v="62"/>
    <n v="49"/>
    <n v="52"/>
    <n v="163"/>
    <n v="54.333333333333336"/>
    <s v="F"/>
    <x v="1"/>
    <x v="2"/>
    <n v="819"/>
    <n v="49.816849816849818"/>
  </r>
  <r>
    <x v="0"/>
    <x v="0"/>
    <x v="5"/>
    <x v="0"/>
    <x v="1"/>
    <n v="54"/>
    <n v="61"/>
    <n v="62"/>
    <n v="177"/>
    <n v="59"/>
    <s v="F"/>
    <x v="1"/>
    <x v="2"/>
    <n v="727"/>
    <n v="54.945054945054949"/>
  </r>
  <r>
    <x v="0"/>
    <x v="0"/>
    <x v="2"/>
    <x v="1"/>
    <x v="1"/>
    <n v="77"/>
    <n v="97"/>
    <n v="94"/>
    <n v="268"/>
    <n v="89.333333333333329"/>
    <s v="B"/>
    <x v="0"/>
    <x v="1"/>
    <n v="55"/>
    <n v="88.278388278388277"/>
  </r>
  <r>
    <x v="0"/>
    <x v="1"/>
    <x v="5"/>
    <x v="0"/>
    <x v="1"/>
    <n v="76"/>
    <n v="87"/>
    <n v="85"/>
    <n v="248"/>
    <n v="82.666666666666671"/>
    <s v="B"/>
    <x v="0"/>
    <x v="0"/>
    <n v="149"/>
    <n v="80.952380952380949"/>
  </r>
  <r>
    <x v="0"/>
    <x v="3"/>
    <x v="1"/>
    <x v="0"/>
    <x v="0"/>
    <n v="74"/>
    <n v="89"/>
    <n v="84"/>
    <n v="247"/>
    <n v="82.333333333333329"/>
    <s v="B"/>
    <x v="0"/>
    <x v="0"/>
    <n v="155"/>
    <n v="80.586080586080584"/>
  </r>
  <r>
    <x v="0"/>
    <x v="4"/>
    <x v="1"/>
    <x v="0"/>
    <x v="1"/>
    <n v="66"/>
    <n v="74"/>
    <n v="73"/>
    <n v="213"/>
    <n v="71"/>
    <s v="C"/>
    <x v="0"/>
    <x v="0"/>
    <n v="424"/>
    <n v="68.131868131868131"/>
  </r>
  <r>
    <x v="0"/>
    <x v="3"/>
    <x v="5"/>
    <x v="0"/>
    <x v="1"/>
    <n v="66"/>
    <n v="78"/>
    <n v="78"/>
    <n v="222"/>
    <n v="74"/>
    <s v="C"/>
    <x v="0"/>
    <x v="0"/>
    <n v="345"/>
    <n v="71.428571428571431"/>
  </r>
  <r>
    <x v="0"/>
    <x v="0"/>
    <x v="4"/>
    <x v="1"/>
    <x v="1"/>
    <n v="67"/>
    <n v="78"/>
    <n v="79"/>
    <n v="224"/>
    <n v="74.666666666666671"/>
    <s v="C"/>
    <x v="0"/>
    <x v="0"/>
    <n v="325"/>
    <n v="72.161172161172175"/>
  </r>
  <r>
    <x v="1"/>
    <x v="3"/>
    <x v="1"/>
    <x v="0"/>
    <x v="0"/>
    <n v="71"/>
    <n v="49"/>
    <n v="52"/>
    <n v="172"/>
    <n v="57.333333333333336"/>
    <s v="F"/>
    <x v="1"/>
    <x v="2"/>
    <n v="764"/>
    <n v="53.113553113553117"/>
  </r>
  <r>
    <x v="0"/>
    <x v="1"/>
    <x v="3"/>
    <x v="0"/>
    <x v="0"/>
    <n v="91"/>
    <n v="86"/>
    <n v="84"/>
    <n v="261"/>
    <n v="87"/>
    <s v="B"/>
    <x v="0"/>
    <x v="1"/>
    <n v="83"/>
    <n v="85.714285714285708"/>
  </r>
  <r>
    <x v="1"/>
    <x v="3"/>
    <x v="0"/>
    <x v="0"/>
    <x v="0"/>
    <n v="69"/>
    <n v="58"/>
    <n v="57"/>
    <n v="184"/>
    <n v="61.333333333333336"/>
    <s v="D"/>
    <x v="0"/>
    <x v="3"/>
    <n v="678"/>
    <n v="57.509157509157518"/>
  </r>
  <r>
    <x v="1"/>
    <x v="1"/>
    <x v="2"/>
    <x v="1"/>
    <x v="0"/>
    <n v="54"/>
    <n v="59"/>
    <n v="50"/>
    <n v="163"/>
    <n v="54.333333333333336"/>
    <s v="F"/>
    <x v="1"/>
    <x v="2"/>
    <n v="819"/>
    <n v="49.816849816849818"/>
  </r>
  <r>
    <x v="1"/>
    <x v="1"/>
    <x v="4"/>
    <x v="0"/>
    <x v="1"/>
    <n v="53"/>
    <n v="52"/>
    <n v="49"/>
    <n v="154"/>
    <n v="51.333333333333336"/>
    <s v="F"/>
    <x v="1"/>
    <x v="2"/>
    <n v="870"/>
    <n v="46.520146520146518"/>
  </r>
  <r>
    <x v="1"/>
    <x v="4"/>
    <x v="1"/>
    <x v="0"/>
    <x v="0"/>
    <n v="68"/>
    <n v="60"/>
    <n v="59"/>
    <n v="187"/>
    <n v="62.333333333333336"/>
    <s v="D"/>
    <x v="0"/>
    <x v="3"/>
    <n v="657"/>
    <n v="58.608058608058613"/>
  </r>
  <r>
    <x v="1"/>
    <x v="1"/>
    <x v="5"/>
    <x v="1"/>
    <x v="1"/>
    <n v="56"/>
    <n v="61"/>
    <n v="60"/>
    <n v="177"/>
    <n v="59"/>
    <s v="F"/>
    <x v="1"/>
    <x v="2"/>
    <n v="727"/>
    <n v="54.945054945054949"/>
  </r>
  <r>
    <x v="0"/>
    <x v="1"/>
    <x v="4"/>
    <x v="1"/>
    <x v="0"/>
    <n v="36"/>
    <n v="53"/>
    <n v="43"/>
    <n v="132"/>
    <n v="44"/>
    <s v="F"/>
    <x v="1"/>
    <x v="2"/>
    <n v="952"/>
    <n v="38.461538461538467"/>
  </r>
  <r>
    <x v="0"/>
    <x v="3"/>
    <x v="0"/>
    <x v="1"/>
    <x v="0"/>
    <n v="29"/>
    <n v="41"/>
    <n v="47"/>
    <n v="117"/>
    <n v="39"/>
    <s v="F"/>
    <x v="1"/>
    <x v="2"/>
    <n v="975"/>
    <n v="32.967032967032964"/>
  </r>
  <r>
    <x v="0"/>
    <x v="1"/>
    <x v="3"/>
    <x v="0"/>
    <x v="0"/>
    <n v="62"/>
    <n v="74"/>
    <n v="70"/>
    <n v="206"/>
    <n v="68.666666666666671"/>
    <s v="D"/>
    <x v="0"/>
    <x v="3"/>
    <n v="487"/>
    <n v="65.567765567765562"/>
  </r>
  <r>
    <x v="0"/>
    <x v="1"/>
    <x v="3"/>
    <x v="0"/>
    <x v="1"/>
    <n v="68"/>
    <n v="67"/>
    <n v="73"/>
    <n v="208"/>
    <n v="69.333333333333329"/>
    <s v="D"/>
    <x v="0"/>
    <x v="3"/>
    <n v="465"/>
    <n v="66.300366300366292"/>
  </r>
  <r>
    <x v="0"/>
    <x v="1"/>
    <x v="5"/>
    <x v="0"/>
    <x v="0"/>
    <n v="47"/>
    <n v="54"/>
    <n v="53"/>
    <n v="154"/>
    <n v="51.333333333333336"/>
    <s v="F"/>
    <x v="1"/>
    <x v="2"/>
    <n v="870"/>
    <n v="46.520146520146518"/>
  </r>
  <r>
    <x v="1"/>
    <x v="4"/>
    <x v="3"/>
    <x v="0"/>
    <x v="1"/>
    <n v="62"/>
    <n v="61"/>
    <n v="58"/>
    <n v="181"/>
    <n v="60.333333333333336"/>
    <s v="D"/>
    <x v="0"/>
    <x v="3"/>
    <n v="700"/>
    <n v="56.410256410256409"/>
  </r>
  <r>
    <x v="0"/>
    <x v="4"/>
    <x v="3"/>
    <x v="0"/>
    <x v="1"/>
    <n v="79"/>
    <n v="88"/>
    <n v="94"/>
    <n v="261"/>
    <n v="87"/>
    <s v="B"/>
    <x v="0"/>
    <x v="1"/>
    <n v="83"/>
    <n v="85.714285714285708"/>
  </r>
  <r>
    <x v="1"/>
    <x v="0"/>
    <x v="4"/>
    <x v="0"/>
    <x v="1"/>
    <n v="73"/>
    <n v="69"/>
    <n v="68"/>
    <n v="210"/>
    <n v="70"/>
    <s v="C"/>
    <x v="0"/>
    <x v="0"/>
    <n v="448"/>
    <n v="67.032967032967022"/>
  </r>
  <r>
    <x v="0"/>
    <x v="1"/>
    <x v="0"/>
    <x v="1"/>
    <x v="1"/>
    <n v="66"/>
    <n v="83"/>
    <n v="83"/>
    <n v="232"/>
    <n v="77.333333333333329"/>
    <s v="C"/>
    <x v="0"/>
    <x v="0"/>
    <n v="255"/>
    <n v="75.091575091575095"/>
  </r>
  <r>
    <x v="1"/>
    <x v="1"/>
    <x v="3"/>
    <x v="0"/>
    <x v="1"/>
    <n v="51"/>
    <n v="60"/>
    <n v="58"/>
    <n v="169"/>
    <n v="56.333333333333336"/>
    <s v="F"/>
    <x v="1"/>
    <x v="2"/>
    <n v="780"/>
    <n v="52.014652014652022"/>
  </r>
  <r>
    <x v="0"/>
    <x v="3"/>
    <x v="4"/>
    <x v="0"/>
    <x v="0"/>
    <n v="51"/>
    <n v="66"/>
    <n v="62"/>
    <n v="179"/>
    <n v="59.666666666666664"/>
    <s v="F"/>
    <x v="1"/>
    <x v="2"/>
    <n v="716"/>
    <n v="55.677655677655679"/>
  </r>
  <r>
    <x v="1"/>
    <x v="4"/>
    <x v="0"/>
    <x v="0"/>
    <x v="1"/>
    <n v="85"/>
    <n v="66"/>
    <n v="71"/>
    <n v="222"/>
    <n v="74"/>
    <s v="C"/>
    <x v="0"/>
    <x v="0"/>
    <n v="345"/>
    <n v="71.428571428571431"/>
  </r>
  <r>
    <x v="1"/>
    <x v="2"/>
    <x v="3"/>
    <x v="0"/>
    <x v="1"/>
    <n v="97"/>
    <n v="92"/>
    <n v="86"/>
    <n v="275"/>
    <n v="91.666666666666671"/>
    <s v="A"/>
    <x v="0"/>
    <x v="1"/>
    <n v="37"/>
    <n v="90.842490842490847"/>
  </r>
  <r>
    <x v="1"/>
    <x v="1"/>
    <x v="4"/>
    <x v="0"/>
    <x v="1"/>
    <n v="75"/>
    <n v="69"/>
    <n v="68"/>
    <n v="212"/>
    <n v="70.666666666666671"/>
    <s v="C"/>
    <x v="0"/>
    <x v="0"/>
    <n v="435"/>
    <n v="67.765567765567766"/>
  </r>
  <r>
    <x v="1"/>
    <x v="3"/>
    <x v="3"/>
    <x v="1"/>
    <x v="1"/>
    <n v="79"/>
    <n v="82"/>
    <n v="80"/>
    <n v="241"/>
    <n v="80.333333333333329"/>
    <s v="B"/>
    <x v="0"/>
    <x v="0"/>
    <n v="187"/>
    <n v="78.388278388278394"/>
  </r>
  <r>
    <x v="0"/>
    <x v="1"/>
    <x v="3"/>
    <x v="0"/>
    <x v="0"/>
    <n v="81"/>
    <n v="77"/>
    <n v="79"/>
    <n v="237"/>
    <n v="79"/>
    <s v="C"/>
    <x v="0"/>
    <x v="0"/>
    <n v="215"/>
    <n v="76.923076923076934"/>
  </r>
  <r>
    <x v="0"/>
    <x v="3"/>
    <x v="3"/>
    <x v="0"/>
    <x v="0"/>
    <n v="82"/>
    <n v="95"/>
    <n v="89"/>
    <n v="266"/>
    <n v="88.666666666666671"/>
    <s v="B"/>
    <x v="0"/>
    <x v="1"/>
    <n v="64"/>
    <n v="87.545787545787547"/>
  </r>
  <r>
    <x v="0"/>
    <x v="3"/>
    <x v="2"/>
    <x v="0"/>
    <x v="0"/>
    <n v="64"/>
    <n v="63"/>
    <n v="66"/>
    <n v="193"/>
    <n v="64.333333333333329"/>
    <s v="D"/>
    <x v="0"/>
    <x v="3"/>
    <n v="613"/>
    <n v="60.805860805860803"/>
  </r>
  <r>
    <x v="1"/>
    <x v="4"/>
    <x v="5"/>
    <x v="1"/>
    <x v="1"/>
    <n v="78"/>
    <n v="83"/>
    <n v="80"/>
    <n v="241"/>
    <n v="80.333333333333329"/>
    <s v="B"/>
    <x v="0"/>
    <x v="0"/>
    <n v="187"/>
    <n v="78.388278388278394"/>
  </r>
  <r>
    <x v="0"/>
    <x v="2"/>
    <x v="5"/>
    <x v="0"/>
    <x v="1"/>
    <n v="92"/>
    <n v="100"/>
    <n v="97"/>
    <n v="289"/>
    <n v="96.333333333333329"/>
    <s v="A"/>
    <x v="0"/>
    <x v="1"/>
    <n v="17"/>
    <n v="95.970695970695957"/>
  </r>
  <r>
    <x v="1"/>
    <x v="1"/>
    <x v="4"/>
    <x v="0"/>
    <x v="1"/>
    <n v="72"/>
    <n v="67"/>
    <n v="64"/>
    <n v="203"/>
    <n v="67.666666666666671"/>
    <s v="D"/>
    <x v="0"/>
    <x v="3"/>
    <n v="527"/>
    <n v="64.468864468864467"/>
  </r>
  <r>
    <x v="0"/>
    <x v="1"/>
    <x v="4"/>
    <x v="1"/>
    <x v="0"/>
    <n v="62"/>
    <n v="67"/>
    <n v="64"/>
    <n v="193"/>
    <n v="64.333333333333329"/>
    <s v="D"/>
    <x v="0"/>
    <x v="3"/>
    <n v="613"/>
    <n v="60.805860805860803"/>
  </r>
  <r>
    <x v="1"/>
    <x v="1"/>
    <x v="2"/>
    <x v="0"/>
    <x v="0"/>
    <n v="79"/>
    <n v="72"/>
    <n v="69"/>
    <n v="220"/>
    <n v="73.333333333333329"/>
    <s v="C"/>
    <x v="0"/>
    <x v="0"/>
    <n v="356"/>
    <n v="70.695970695970686"/>
  </r>
  <r>
    <x v="1"/>
    <x v="1"/>
    <x v="5"/>
    <x v="1"/>
    <x v="0"/>
    <n v="79"/>
    <n v="76"/>
    <n v="65"/>
    <n v="220"/>
    <n v="73.333333333333329"/>
    <s v="C"/>
    <x v="0"/>
    <x v="0"/>
    <n v="356"/>
    <n v="70.695970695970686"/>
  </r>
  <r>
    <x v="1"/>
    <x v="0"/>
    <x v="0"/>
    <x v="1"/>
    <x v="1"/>
    <n v="87"/>
    <n v="90"/>
    <n v="88"/>
    <n v="265"/>
    <n v="88.333333333333329"/>
    <s v="B"/>
    <x v="0"/>
    <x v="1"/>
    <n v="69"/>
    <n v="87.179487179487168"/>
  </r>
  <r>
    <x v="0"/>
    <x v="0"/>
    <x v="3"/>
    <x v="0"/>
    <x v="0"/>
    <n v="40"/>
    <n v="48"/>
    <n v="50"/>
    <n v="138"/>
    <n v="46"/>
    <s v="F"/>
    <x v="1"/>
    <x v="2"/>
    <n v="939"/>
    <n v="40.659340659340657"/>
  </r>
  <r>
    <x v="1"/>
    <x v="3"/>
    <x v="1"/>
    <x v="1"/>
    <x v="0"/>
    <n v="77"/>
    <n v="62"/>
    <n v="64"/>
    <n v="203"/>
    <n v="67.666666666666671"/>
    <s v="D"/>
    <x v="0"/>
    <x v="3"/>
    <n v="527"/>
    <n v="64.468864468864467"/>
  </r>
  <r>
    <x v="1"/>
    <x v="4"/>
    <x v="3"/>
    <x v="0"/>
    <x v="0"/>
    <n v="53"/>
    <n v="45"/>
    <n v="40"/>
    <n v="138"/>
    <n v="46"/>
    <s v="F"/>
    <x v="1"/>
    <x v="2"/>
    <n v="939"/>
    <n v="40.659340659340657"/>
  </r>
  <r>
    <x v="0"/>
    <x v="1"/>
    <x v="1"/>
    <x v="1"/>
    <x v="0"/>
    <n v="32"/>
    <n v="39"/>
    <n v="33"/>
    <n v="104"/>
    <n v="34.666666666666664"/>
    <s v="F"/>
    <x v="1"/>
    <x v="2"/>
    <n v="983"/>
    <n v="28.205128205128204"/>
  </r>
  <r>
    <x v="0"/>
    <x v="1"/>
    <x v="3"/>
    <x v="0"/>
    <x v="1"/>
    <n v="55"/>
    <n v="72"/>
    <n v="79"/>
    <n v="206"/>
    <n v="68.666666666666671"/>
    <s v="D"/>
    <x v="0"/>
    <x v="3"/>
    <n v="487"/>
    <n v="65.567765567765562"/>
  </r>
  <r>
    <x v="1"/>
    <x v="1"/>
    <x v="2"/>
    <x v="1"/>
    <x v="0"/>
    <n v="61"/>
    <n v="67"/>
    <n v="66"/>
    <n v="194"/>
    <n v="64.666666666666671"/>
    <s v="D"/>
    <x v="0"/>
    <x v="3"/>
    <n v="602"/>
    <n v="61.172161172161175"/>
  </r>
  <r>
    <x v="0"/>
    <x v="0"/>
    <x v="3"/>
    <x v="1"/>
    <x v="0"/>
    <n v="53"/>
    <n v="70"/>
    <n v="70"/>
    <n v="193"/>
    <n v="64.333333333333329"/>
    <s v="D"/>
    <x v="0"/>
    <x v="3"/>
    <n v="613"/>
    <n v="60.805860805860803"/>
  </r>
  <r>
    <x v="1"/>
    <x v="3"/>
    <x v="5"/>
    <x v="0"/>
    <x v="0"/>
    <n v="73"/>
    <n v="66"/>
    <n v="62"/>
    <n v="201"/>
    <n v="67"/>
    <s v="D"/>
    <x v="0"/>
    <x v="3"/>
    <n v="540"/>
    <n v="63.73626373626373"/>
  </r>
  <r>
    <x v="0"/>
    <x v="3"/>
    <x v="1"/>
    <x v="0"/>
    <x v="1"/>
    <n v="74"/>
    <n v="75"/>
    <n v="79"/>
    <n v="228"/>
    <n v="76"/>
    <s v="C"/>
    <x v="0"/>
    <x v="0"/>
    <n v="288"/>
    <n v="73.626373626373635"/>
  </r>
  <r>
    <x v="0"/>
    <x v="1"/>
    <x v="1"/>
    <x v="0"/>
    <x v="0"/>
    <n v="63"/>
    <n v="74"/>
    <n v="74"/>
    <n v="211"/>
    <n v="70.333333333333329"/>
    <s v="C"/>
    <x v="0"/>
    <x v="0"/>
    <n v="440"/>
    <n v="67.399267399267387"/>
  </r>
  <r>
    <x v="1"/>
    <x v="1"/>
    <x v="0"/>
    <x v="0"/>
    <x v="1"/>
    <n v="96"/>
    <n v="90"/>
    <n v="92"/>
    <n v="278"/>
    <n v="92.666666666666671"/>
    <s v="A"/>
    <x v="0"/>
    <x v="1"/>
    <n v="31"/>
    <n v="91.941391941391942"/>
  </r>
  <r>
    <x v="0"/>
    <x v="3"/>
    <x v="1"/>
    <x v="1"/>
    <x v="1"/>
    <n v="63"/>
    <n v="80"/>
    <n v="80"/>
    <n v="223"/>
    <n v="74.333333333333329"/>
    <s v="C"/>
    <x v="0"/>
    <x v="0"/>
    <n v="333"/>
    <n v="71.794871794871796"/>
  </r>
  <r>
    <x v="1"/>
    <x v="0"/>
    <x v="0"/>
    <x v="1"/>
    <x v="0"/>
    <n v="48"/>
    <n v="51"/>
    <n v="46"/>
    <n v="145"/>
    <n v="48.333333333333336"/>
    <s v="F"/>
    <x v="1"/>
    <x v="2"/>
    <n v="915"/>
    <n v="43.223443223443226"/>
  </r>
  <r>
    <x v="1"/>
    <x v="0"/>
    <x v="3"/>
    <x v="0"/>
    <x v="0"/>
    <n v="48"/>
    <n v="43"/>
    <n v="45"/>
    <n v="136"/>
    <n v="45.333333333333336"/>
    <s v="F"/>
    <x v="1"/>
    <x v="2"/>
    <n v="943"/>
    <n v="39.926739926739927"/>
  </r>
  <r>
    <x v="0"/>
    <x v="4"/>
    <x v="0"/>
    <x v="1"/>
    <x v="1"/>
    <n v="92"/>
    <n v="100"/>
    <n v="100"/>
    <n v="292"/>
    <n v="97.333333333333329"/>
    <s v="A"/>
    <x v="0"/>
    <x v="1"/>
    <n v="12"/>
    <n v="97.069597069597066"/>
  </r>
  <r>
    <x v="0"/>
    <x v="3"/>
    <x v="2"/>
    <x v="1"/>
    <x v="1"/>
    <n v="61"/>
    <n v="71"/>
    <n v="78"/>
    <n v="210"/>
    <n v="70"/>
    <s v="C"/>
    <x v="0"/>
    <x v="0"/>
    <n v="448"/>
    <n v="67.032967032967022"/>
  </r>
  <r>
    <x v="1"/>
    <x v="0"/>
    <x v="4"/>
    <x v="1"/>
    <x v="0"/>
    <n v="63"/>
    <n v="48"/>
    <n v="47"/>
    <n v="158"/>
    <n v="52.666666666666664"/>
    <s v="F"/>
    <x v="1"/>
    <x v="2"/>
    <n v="843"/>
    <n v="47.985347985347978"/>
  </r>
  <r>
    <x v="1"/>
    <x v="3"/>
    <x v="0"/>
    <x v="1"/>
    <x v="0"/>
    <n v="68"/>
    <n v="68"/>
    <n v="67"/>
    <n v="203"/>
    <n v="67.666666666666671"/>
    <s v="D"/>
    <x v="0"/>
    <x v="3"/>
    <n v="527"/>
    <n v="64.468864468864467"/>
  </r>
  <r>
    <x v="1"/>
    <x v="0"/>
    <x v="1"/>
    <x v="0"/>
    <x v="1"/>
    <n v="71"/>
    <n v="75"/>
    <n v="70"/>
    <n v="216"/>
    <n v="72"/>
    <s v="C"/>
    <x v="0"/>
    <x v="0"/>
    <n v="395"/>
    <n v="69.230769230769226"/>
  </r>
  <r>
    <x v="1"/>
    <x v="2"/>
    <x v="0"/>
    <x v="0"/>
    <x v="0"/>
    <n v="91"/>
    <n v="96"/>
    <n v="92"/>
    <n v="279"/>
    <n v="93"/>
    <s v="A"/>
    <x v="0"/>
    <x v="1"/>
    <n v="30"/>
    <n v="92.307692307692307"/>
  </r>
  <r>
    <x v="0"/>
    <x v="1"/>
    <x v="1"/>
    <x v="0"/>
    <x v="0"/>
    <n v="53"/>
    <n v="62"/>
    <n v="56"/>
    <n v="171"/>
    <n v="57"/>
    <s v="F"/>
    <x v="1"/>
    <x v="2"/>
    <n v="772"/>
    <n v="52.747252747252752"/>
  </r>
  <r>
    <x v="0"/>
    <x v="1"/>
    <x v="4"/>
    <x v="1"/>
    <x v="1"/>
    <n v="50"/>
    <n v="66"/>
    <n v="64"/>
    <n v="180"/>
    <n v="60"/>
    <s v="D"/>
    <x v="0"/>
    <x v="3"/>
    <n v="708"/>
    <n v="56.043956043956044"/>
  </r>
  <r>
    <x v="0"/>
    <x v="4"/>
    <x v="4"/>
    <x v="0"/>
    <x v="0"/>
    <n v="74"/>
    <n v="81"/>
    <n v="71"/>
    <n v="226"/>
    <n v="75.333333333333329"/>
    <s v="C"/>
    <x v="0"/>
    <x v="0"/>
    <n v="307"/>
    <n v="72.893772893772891"/>
  </r>
  <r>
    <x v="1"/>
    <x v="2"/>
    <x v="3"/>
    <x v="1"/>
    <x v="1"/>
    <n v="40"/>
    <n v="55"/>
    <n v="53"/>
    <n v="148"/>
    <n v="49.333333333333336"/>
    <s v="F"/>
    <x v="1"/>
    <x v="2"/>
    <n v="901"/>
    <n v="44.322344322344328"/>
  </r>
  <r>
    <x v="1"/>
    <x v="2"/>
    <x v="1"/>
    <x v="0"/>
    <x v="1"/>
    <n v="61"/>
    <n v="51"/>
    <n v="52"/>
    <n v="164"/>
    <n v="54.666666666666664"/>
    <s v="F"/>
    <x v="1"/>
    <x v="2"/>
    <n v="810"/>
    <n v="50.183150183150182"/>
  </r>
  <r>
    <x v="0"/>
    <x v="0"/>
    <x v="4"/>
    <x v="0"/>
    <x v="0"/>
    <n v="81"/>
    <n v="91"/>
    <n v="89"/>
    <n v="261"/>
    <n v="87"/>
    <s v="B"/>
    <x v="0"/>
    <x v="1"/>
    <n v="83"/>
    <n v="85.714285714285708"/>
  </r>
  <r>
    <x v="0"/>
    <x v="0"/>
    <x v="1"/>
    <x v="1"/>
    <x v="1"/>
    <n v="48"/>
    <n v="56"/>
    <n v="58"/>
    <n v="162"/>
    <n v="54"/>
    <s v="F"/>
    <x v="1"/>
    <x v="2"/>
    <n v="824"/>
    <n v="49.450549450549453"/>
  </r>
  <r>
    <x v="0"/>
    <x v="3"/>
    <x v="2"/>
    <x v="0"/>
    <x v="0"/>
    <n v="53"/>
    <n v="61"/>
    <n v="68"/>
    <n v="182"/>
    <n v="60.666666666666664"/>
    <s v="D"/>
    <x v="0"/>
    <x v="3"/>
    <n v="693"/>
    <n v="56.776556776556774"/>
  </r>
  <r>
    <x v="0"/>
    <x v="3"/>
    <x v="5"/>
    <x v="0"/>
    <x v="0"/>
    <n v="81"/>
    <n v="97"/>
    <n v="96"/>
    <n v="274"/>
    <n v="91.333333333333329"/>
    <s v="A"/>
    <x v="0"/>
    <x v="1"/>
    <n v="43"/>
    <n v="90.476190476190467"/>
  </r>
  <r>
    <x v="0"/>
    <x v="4"/>
    <x v="5"/>
    <x v="0"/>
    <x v="0"/>
    <n v="77"/>
    <n v="79"/>
    <n v="80"/>
    <n v="236"/>
    <n v="78.666666666666671"/>
    <s v="C"/>
    <x v="0"/>
    <x v="0"/>
    <n v="222"/>
    <n v="76.556776556776569"/>
  </r>
  <r>
    <x v="0"/>
    <x v="3"/>
    <x v="0"/>
    <x v="1"/>
    <x v="0"/>
    <n v="63"/>
    <n v="73"/>
    <n v="78"/>
    <n v="214"/>
    <n v="71.333333333333329"/>
    <s v="C"/>
    <x v="0"/>
    <x v="0"/>
    <n v="412"/>
    <n v="68.498168498168482"/>
  </r>
  <r>
    <x v="0"/>
    <x v="3"/>
    <x v="3"/>
    <x v="0"/>
    <x v="1"/>
    <n v="73"/>
    <n v="75"/>
    <n v="80"/>
    <n v="228"/>
    <n v="76"/>
    <s v="C"/>
    <x v="0"/>
    <x v="0"/>
    <n v="288"/>
    <n v="73.626373626373635"/>
  </r>
  <r>
    <x v="0"/>
    <x v="3"/>
    <x v="1"/>
    <x v="0"/>
    <x v="0"/>
    <n v="69"/>
    <n v="77"/>
    <n v="77"/>
    <n v="223"/>
    <n v="74.333333333333329"/>
    <s v="C"/>
    <x v="0"/>
    <x v="0"/>
    <n v="333"/>
    <n v="71.794871794871796"/>
  </r>
  <r>
    <x v="0"/>
    <x v="1"/>
    <x v="3"/>
    <x v="0"/>
    <x v="0"/>
    <n v="65"/>
    <n v="76"/>
    <n v="76"/>
    <n v="217"/>
    <n v="72.333333333333329"/>
    <s v="C"/>
    <x v="0"/>
    <x v="0"/>
    <n v="389"/>
    <n v="69.597069597069591"/>
  </r>
  <r>
    <x v="0"/>
    <x v="2"/>
    <x v="4"/>
    <x v="0"/>
    <x v="0"/>
    <n v="55"/>
    <n v="73"/>
    <n v="73"/>
    <n v="201"/>
    <n v="67"/>
    <s v="D"/>
    <x v="0"/>
    <x v="3"/>
    <n v="540"/>
    <n v="63.73626373626373"/>
  </r>
  <r>
    <x v="0"/>
    <x v="1"/>
    <x v="0"/>
    <x v="1"/>
    <x v="0"/>
    <n v="44"/>
    <n v="63"/>
    <n v="62"/>
    <n v="169"/>
    <n v="56.333333333333336"/>
    <s v="F"/>
    <x v="1"/>
    <x v="2"/>
    <n v="780"/>
    <n v="52.014652014652022"/>
  </r>
  <r>
    <x v="0"/>
    <x v="1"/>
    <x v="1"/>
    <x v="0"/>
    <x v="0"/>
    <n v="54"/>
    <n v="64"/>
    <n v="65"/>
    <n v="183"/>
    <n v="61"/>
    <s v="D"/>
    <x v="0"/>
    <x v="3"/>
    <n v="687"/>
    <n v="57.142857142857139"/>
  </r>
  <r>
    <x v="0"/>
    <x v="2"/>
    <x v="5"/>
    <x v="0"/>
    <x v="0"/>
    <n v="48"/>
    <n v="66"/>
    <n v="65"/>
    <n v="179"/>
    <n v="59.666666666666664"/>
    <s v="F"/>
    <x v="1"/>
    <x v="2"/>
    <n v="716"/>
    <n v="55.677655677655679"/>
  </r>
  <r>
    <x v="1"/>
    <x v="1"/>
    <x v="1"/>
    <x v="1"/>
    <x v="0"/>
    <n v="58"/>
    <n v="57"/>
    <n v="54"/>
    <n v="169"/>
    <n v="56.333333333333336"/>
    <s v="F"/>
    <x v="1"/>
    <x v="2"/>
    <n v="780"/>
    <n v="52.014652014652022"/>
  </r>
  <r>
    <x v="1"/>
    <x v="2"/>
    <x v="5"/>
    <x v="0"/>
    <x v="0"/>
    <n v="71"/>
    <n v="62"/>
    <n v="50"/>
    <n v="183"/>
    <n v="61"/>
    <s v="D"/>
    <x v="0"/>
    <x v="3"/>
    <n v="687"/>
    <n v="57.142857142857139"/>
  </r>
  <r>
    <x v="1"/>
    <x v="4"/>
    <x v="0"/>
    <x v="0"/>
    <x v="0"/>
    <n v="68"/>
    <n v="68"/>
    <n v="64"/>
    <n v="200"/>
    <n v="66.666666666666671"/>
    <s v="D"/>
    <x v="0"/>
    <x v="3"/>
    <n v="549"/>
    <n v="63.369963369963379"/>
  </r>
  <r>
    <x v="0"/>
    <x v="4"/>
    <x v="4"/>
    <x v="0"/>
    <x v="0"/>
    <n v="74"/>
    <n v="76"/>
    <n v="73"/>
    <n v="223"/>
    <n v="74.333333333333329"/>
    <s v="C"/>
    <x v="0"/>
    <x v="0"/>
    <n v="333"/>
    <n v="71.794871794871796"/>
  </r>
  <r>
    <x v="0"/>
    <x v="1"/>
    <x v="0"/>
    <x v="0"/>
    <x v="1"/>
    <n v="92"/>
    <n v="100"/>
    <n v="99"/>
    <n v="291"/>
    <n v="97"/>
    <s v="A"/>
    <x v="0"/>
    <x v="1"/>
    <n v="14"/>
    <n v="96.703296703296701"/>
  </r>
  <r>
    <x v="0"/>
    <x v="1"/>
    <x v="0"/>
    <x v="0"/>
    <x v="1"/>
    <n v="56"/>
    <n v="79"/>
    <n v="72"/>
    <n v="207"/>
    <n v="69"/>
    <s v="D"/>
    <x v="0"/>
    <x v="3"/>
    <n v="475"/>
    <n v="65.934065934065927"/>
  </r>
  <r>
    <x v="1"/>
    <x v="0"/>
    <x v="4"/>
    <x v="1"/>
    <x v="0"/>
    <n v="30"/>
    <n v="24"/>
    <n v="15"/>
    <n v="69"/>
    <n v="23"/>
    <s v="F"/>
    <x v="1"/>
    <x v="2"/>
    <n v="998"/>
    <n v="15.384615384615385"/>
  </r>
  <r>
    <x v="1"/>
    <x v="2"/>
    <x v="5"/>
    <x v="0"/>
    <x v="0"/>
    <n v="53"/>
    <n v="54"/>
    <n v="48"/>
    <n v="155"/>
    <n v="51.666666666666664"/>
    <s v="F"/>
    <x v="1"/>
    <x v="2"/>
    <n v="860"/>
    <n v="46.886446886446883"/>
  </r>
  <r>
    <x v="0"/>
    <x v="3"/>
    <x v="4"/>
    <x v="0"/>
    <x v="0"/>
    <n v="69"/>
    <n v="77"/>
    <n v="73"/>
    <n v="219"/>
    <n v="73"/>
    <s v="C"/>
    <x v="0"/>
    <x v="0"/>
    <n v="367"/>
    <n v="70.329670329670336"/>
  </r>
  <r>
    <x v="0"/>
    <x v="3"/>
    <x v="5"/>
    <x v="0"/>
    <x v="0"/>
    <n v="65"/>
    <n v="82"/>
    <n v="81"/>
    <n v="228"/>
    <n v="76"/>
    <s v="C"/>
    <x v="0"/>
    <x v="0"/>
    <n v="288"/>
    <n v="73.626373626373635"/>
  </r>
  <r>
    <x v="0"/>
    <x v="3"/>
    <x v="2"/>
    <x v="0"/>
    <x v="0"/>
    <n v="54"/>
    <n v="60"/>
    <n v="63"/>
    <n v="177"/>
    <n v="59"/>
    <s v="F"/>
    <x v="1"/>
    <x v="2"/>
    <n v="727"/>
    <n v="54.945054945054949"/>
  </r>
  <r>
    <x v="0"/>
    <x v="1"/>
    <x v="4"/>
    <x v="0"/>
    <x v="0"/>
    <n v="29"/>
    <n v="29"/>
    <n v="30"/>
    <n v="88"/>
    <n v="29.333333333333332"/>
    <s v="F"/>
    <x v="1"/>
    <x v="2"/>
    <n v="994"/>
    <n v="22.344322344322343"/>
  </r>
  <r>
    <x v="0"/>
    <x v="4"/>
    <x v="1"/>
    <x v="0"/>
    <x v="0"/>
    <n v="76"/>
    <n v="78"/>
    <n v="80"/>
    <n v="234"/>
    <n v="78"/>
    <s v="C"/>
    <x v="0"/>
    <x v="0"/>
    <n v="240"/>
    <n v="75.824175824175825"/>
  </r>
  <r>
    <x v="1"/>
    <x v="3"/>
    <x v="4"/>
    <x v="1"/>
    <x v="0"/>
    <n v="60"/>
    <n v="57"/>
    <n v="51"/>
    <n v="168"/>
    <n v="56"/>
    <s v="F"/>
    <x v="1"/>
    <x v="2"/>
    <n v="786"/>
    <n v="51.648351648351657"/>
  </r>
  <r>
    <x v="1"/>
    <x v="3"/>
    <x v="2"/>
    <x v="1"/>
    <x v="1"/>
    <n v="84"/>
    <n v="89"/>
    <n v="90"/>
    <n v="263"/>
    <n v="87.666666666666671"/>
    <s v="B"/>
    <x v="0"/>
    <x v="1"/>
    <n v="76"/>
    <n v="86.446886446886452"/>
  </r>
  <r>
    <x v="1"/>
    <x v="1"/>
    <x v="5"/>
    <x v="0"/>
    <x v="0"/>
    <n v="75"/>
    <n v="72"/>
    <n v="62"/>
    <n v="209"/>
    <n v="69.666666666666671"/>
    <s v="D"/>
    <x v="0"/>
    <x v="3"/>
    <n v="460"/>
    <n v="66.666666666666671"/>
  </r>
  <r>
    <x v="0"/>
    <x v="1"/>
    <x v="3"/>
    <x v="0"/>
    <x v="0"/>
    <n v="85"/>
    <n v="84"/>
    <n v="82"/>
    <n v="251"/>
    <n v="83.666666666666671"/>
    <s v="B"/>
    <x v="0"/>
    <x v="0"/>
    <n v="131"/>
    <n v="82.051282051282058"/>
  </r>
  <r>
    <x v="0"/>
    <x v="1"/>
    <x v="2"/>
    <x v="1"/>
    <x v="0"/>
    <n v="40"/>
    <n v="58"/>
    <n v="54"/>
    <n v="152"/>
    <n v="50.666666666666664"/>
    <s v="F"/>
    <x v="1"/>
    <x v="2"/>
    <n v="881"/>
    <n v="45.787545787545788"/>
  </r>
  <r>
    <x v="0"/>
    <x v="4"/>
    <x v="1"/>
    <x v="0"/>
    <x v="0"/>
    <n v="61"/>
    <n v="64"/>
    <n v="62"/>
    <n v="187"/>
    <n v="62.333333333333336"/>
    <s v="D"/>
    <x v="0"/>
    <x v="3"/>
    <n v="657"/>
    <n v="58.608058608058613"/>
  </r>
  <r>
    <x v="0"/>
    <x v="0"/>
    <x v="3"/>
    <x v="0"/>
    <x v="0"/>
    <n v="58"/>
    <n v="63"/>
    <n v="65"/>
    <n v="186"/>
    <n v="62"/>
    <s v="D"/>
    <x v="0"/>
    <x v="3"/>
    <n v="665"/>
    <n v="58.241758241758248"/>
  </r>
  <r>
    <x v="1"/>
    <x v="3"/>
    <x v="1"/>
    <x v="1"/>
    <x v="1"/>
    <n v="69"/>
    <n v="60"/>
    <n v="63"/>
    <n v="192"/>
    <n v="64"/>
    <s v="D"/>
    <x v="0"/>
    <x v="3"/>
    <n v="623"/>
    <n v="60.439560439560438"/>
  </r>
  <r>
    <x v="0"/>
    <x v="1"/>
    <x v="1"/>
    <x v="0"/>
    <x v="0"/>
    <n v="58"/>
    <n v="59"/>
    <n v="66"/>
    <n v="183"/>
    <n v="61"/>
    <s v="D"/>
    <x v="0"/>
    <x v="3"/>
    <n v="687"/>
    <n v="57.142857142857139"/>
  </r>
  <r>
    <x v="1"/>
    <x v="1"/>
    <x v="0"/>
    <x v="0"/>
    <x v="1"/>
    <n v="94"/>
    <n v="90"/>
    <n v="91"/>
    <n v="275"/>
    <n v="91.666666666666671"/>
    <s v="A"/>
    <x v="0"/>
    <x v="1"/>
    <n v="37"/>
    <n v="90.842490842490847"/>
  </r>
  <r>
    <x v="0"/>
    <x v="1"/>
    <x v="3"/>
    <x v="0"/>
    <x v="0"/>
    <n v="65"/>
    <n v="77"/>
    <n v="74"/>
    <n v="216"/>
    <n v="72"/>
    <s v="C"/>
    <x v="0"/>
    <x v="0"/>
    <n v="395"/>
    <n v="69.230769230769226"/>
  </r>
  <r>
    <x v="0"/>
    <x v="2"/>
    <x v="3"/>
    <x v="0"/>
    <x v="0"/>
    <n v="82"/>
    <n v="93"/>
    <n v="93"/>
    <n v="268"/>
    <n v="89.333333333333329"/>
    <s v="B"/>
    <x v="0"/>
    <x v="1"/>
    <n v="55"/>
    <n v="88.278388278388277"/>
  </r>
  <r>
    <x v="0"/>
    <x v="1"/>
    <x v="4"/>
    <x v="0"/>
    <x v="0"/>
    <n v="60"/>
    <n v="68"/>
    <n v="72"/>
    <n v="200"/>
    <n v="66.666666666666671"/>
    <s v="D"/>
    <x v="0"/>
    <x v="3"/>
    <n v="549"/>
    <n v="63.369963369963379"/>
  </r>
  <r>
    <x v="0"/>
    <x v="4"/>
    <x v="0"/>
    <x v="0"/>
    <x v="0"/>
    <n v="37"/>
    <n v="45"/>
    <n v="38"/>
    <n v="120"/>
    <n v="40"/>
    <s v="F"/>
    <x v="1"/>
    <x v="2"/>
    <n v="969"/>
    <n v="34.065934065934066"/>
  </r>
  <r>
    <x v="1"/>
    <x v="3"/>
    <x v="0"/>
    <x v="0"/>
    <x v="0"/>
    <n v="88"/>
    <n v="78"/>
    <n v="83"/>
    <n v="249"/>
    <n v="83"/>
    <s v="B"/>
    <x v="0"/>
    <x v="0"/>
    <n v="140"/>
    <n v="81.318681318681314"/>
  </r>
  <r>
    <x v="1"/>
    <x v="3"/>
    <x v="2"/>
    <x v="0"/>
    <x v="0"/>
    <n v="95"/>
    <n v="81"/>
    <n v="84"/>
    <n v="260"/>
    <n v="86.666666666666671"/>
    <s v="B"/>
    <x v="0"/>
    <x v="1"/>
    <n v="89"/>
    <n v="85.347985347985357"/>
  </r>
  <r>
    <x v="1"/>
    <x v="1"/>
    <x v="3"/>
    <x v="1"/>
    <x v="1"/>
    <n v="65"/>
    <n v="73"/>
    <n v="68"/>
    <n v="206"/>
    <n v="68.666666666666671"/>
    <s v="D"/>
    <x v="0"/>
    <x v="3"/>
    <n v="487"/>
    <n v="65.567765567765562"/>
  </r>
  <r>
    <x v="0"/>
    <x v="1"/>
    <x v="4"/>
    <x v="1"/>
    <x v="0"/>
    <n v="35"/>
    <n v="61"/>
    <n v="54"/>
    <n v="150"/>
    <n v="50"/>
    <s v="F"/>
    <x v="1"/>
    <x v="2"/>
    <n v="892"/>
    <n v="45.054945054945058"/>
  </r>
  <r>
    <x v="1"/>
    <x v="0"/>
    <x v="0"/>
    <x v="1"/>
    <x v="0"/>
    <n v="62"/>
    <n v="63"/>
    <n v="56"/>
    <n v="181"/>
    <n v="60.333333333333336"/>
    <s v="D"/>
    <x v="0"/>
    <x v="3"/>
    <n v="700"/>
    <n v="56.410256410256409"/>
  </r>
  <r>
    <x v="1"/>
    <x v="1"/>
    <x v="4"/>
    <x v="1"/>
    <x v="1"/>
    <n v="58"/>
    <n v="51"/>
    <n v="52"/>
    <n v="161"/>
    <n v="53.666666666666664"/>
    <s v="F"/>
    <x v="1"/>
    <x v="2"/>
    <n v="830"/>
    <n v="49.08424908424908"/>
  </r>
  <r>
    <x v="1"/>
    <x v="2"/>
    <x v="1"/>
    <x v="0"/>
    <x v="1"/>
    <n v="100"/>
    <n v="96"/>
    <n v="86"/>
    <n v="282"/>
    <n v="94"/>
    <s v="A"/>
    <x v="0"/>
    <x v="1"/>
    <n v="23"/>
    <n v="93.406593406593402"/>
  </r>
  <r>
    <x v="0"/>
    <x v="4"/>
    <x v="0"/>
    <x v="1"/>
    <x v="0"/>
    <n v="61"/>
    <n v="58"/>
    <n v="62"/>
    <n v="181"/>
    <n v="60.333333333333336"/>
    <s v="D"/>
    <x v="0"/>
    <x v="3"/>
    <n v="700"/>
    <n v="56.410256410256409"/>
  </r>
  <r>
    <x v="1"/>
    <x v="3"/>
    <x v="1"/>
    <x v="0"/>
    <x v="1"/>
    <n v="100"/>
    <n v="97"/>
    <n v="99"/>
    <n v="296"/>
    <n v="98.666666666666671"/>
    <s v="A"/>
    <x v="0"/>
    <x v="1"/>
    <n v="7"/>
    <n v="98.53479853479854"/>
  </r>
  <r>
    <x v="1"/>
    <x v="0"/>
    <x v="3"/>
    <x v="1"/>
    <x v="1"/>
    <n v="69"/>
    <n v="70"/>
    <n v="63"/>
    <n v="202"/>
    <n v="67.333333333333329"/>
    <s v="D"/>
    <x v="0"/>
    <x v="3"/>
    <n v="534"/>
    <n v="64.102564102564102"/>
  </r>
  <r>
    <x v="1"/>
    <x v="3"/>
    <x v="3"/>
    <x v="0"/>
    <x v="0"/>
    <n v="61"/>
    <n v="48"/>
    <n v="46"/>
    <n v="155"/>
    <n v="51.666666666666664"/>
    <s v="F"/>
    <x v="1"/>
    <x v="2"/>
    <n v="860"/>
    <n v="46.886446886446883"/>
  </r>
  <r>
    <x v="1"/>
    <x v="3"/>
    <x v="1"/>
    <x v="1"/>
    <x v="0"/>
    <n v="49"/>
    <n v="57"/>
    <n v="46"/>
    <n v="152"/>
    <n v="50.666666666666664"/>
    <s v="F"/>
    <x v="1"/>
    <x v="2"/>
    <n v="881"/>
    <n v="45.787545787545788"/>
  </r>
  <r>
    <x v="0"/>
    <x v="1"/>
    <x v="5"/>
    <x v="0"/>
    <x v="1"/>
    <n v="44"/>
    <n v="51"/>
    <n v="55"/>
    <n v="150"/>
    <n v="50"/>
    <s v="F"/>
    <x v="1"/>
    <x v="2"/>
    <n v="892"/>
    <n v="45.054945054945058"/>
  </r>
  <r>
    <x v="1"/>
    <x v="3"/>
    <x v="1"/>
    <x v="0"/>
    <x v="0"/>
    <n v="67"/>
    <n v="64"/>
    <n v="70"/>
    <n v="201"/>
    <n v="67"/>
    <s v="D"/>
    <x v="0"/>
    <x v="3"/>
    <n v="540"/>
    <n v="63.73626373626373"/>
  </r>
  <r>
    <x v="1"/>
    <x v="0"/>
    <x v="4"/>
    <x v="0"/>
    <x v="0"/>
    <n v="79"/>
    <n v="60"/>
    <n v="65"/>
    <n v="204"/>
    <n v="68"/>
    <s v="D"/>
    <x v="0"/>
    <x v="3"/>
    <n v="512"/>
    <n v="64.835164835164832"/>
  </r>
  <r>
    <x v="0"/>
    <x v="0"/>
    <x v="0"/>
    <x v="0"/>
    <x v="1"/>
    <n v="66"/>
    <n v="74"/>
    <n v="81"/>
    <n v="221"/>
    <n v="73.666666666666671"/>
    <s v="C"/>
    <x v="0"/>
    <x v="0"/>
    <n v="351"/>
    <n v="71.062271062271066"/>
  </r>
  <r>
    <x v="0"/>
    <x v="1"/>
    <x v="4"/>
    <x v="0"/>
    <x v="0"/>
    <n v="75"/>
    <n v="88"/>
    <n v="85"/>
    <n v="248"/>
    <n v="82.666666666666671"/>
    <s v="B"/>
    <x v="0"/>
    <x v="0"/>
    <n v="149"/>
    <n v="80.952380952380949"/>
  </r>
  <r>
    <x v="1"/>
    <x v="3"/>
    <x v="5"/>
    <x v="0"/>
    <x v="0"/>
    <n v="84"/>
    <n v="84"/>
    <n v="80"/>
    <n v="248"/>
    <n v="82.666666666666671"/>
    <s v="B"/>
    <x v="0"/>
    <x v="0"/>
    <n v="149"/>
    <n v="80.952380952380949"/>
  </r>
  <r>
    <x v="1"/>
    <x v="2"/>
    <x v="4"/>
    <x v="0"/>
    <x v="0"/>
    <n v="71"/>
    <n v="74"/>
    <n v="64"/>
    <n v="209"/>
    <n v="69.666666666666671"/>
    <s v="D"/>
    <x v="0"/>
    <x v="3"/>
    <n v="460"/>
    <n v="66.666666666666671"/>
  </r>
  <r>
    <x v="0"/>
    <x v="0"/>
    <x v="4"/>
    <x v="1"/>
    <x v="1"/>
    <n v="67"/>
    <n v="80"/>
    <n v="81"/>
    <n v="228"/>
    <n v="76"/>
    <s v="C"/>
    <x v="0"/>
    <x v="0"/>
    <n v="288"/>
    <n v="73.626373626373635"/>
  </r>
  <r>
    <x v="0"/>
    <x v="3"/>
    <x v="5"/>
    <x v="0"/>
    <x v="1"/>
    <n v="80"/>
    <n v="92"/>
    <n v="88"/>
    <n v="260"/>
    <n v="86.666666666666671"/>
    <s v="B"/>
    <x v="0"/>
    <x v="1"/>
    <n v="89"/>
    <n v="85.347985347985357"/>
  </r>
  <r>
    <x v="1"/>
    <x v="4"/>
    <x v="1"/>
    <x v="0"/>
    <x v="0"/>
    <n v="86"/>
    <n v="76"/>
    <n v="74"/>
    <n v="236"/>
    <n v="78.666666666666671"/>
    <s v="C"/>
    <x v="0"/>
    <x v="0"/>
    <n v="222"/>
    <n v="76.556776556776569"/>
  </r>
  <r>
    <x v="0"/>
    <x v="3"/>
    <x v="3"/>
    <x v="0"/>
    <x v="0"/>
    <n v="76"/>
    <n v="74"/>
    <n v="73"/>
    <n v="223"/>
    <n v="74.333333333333329"/>
    <s v="C"/>
    <x v="0"/>
    <x v="0"/>
    <n v="333"/>
    <n v="71.794871794871796"/>
  </r>
  <r>
    <x v="1"/>
    <x v="3"/>
    <x v="4"/>
    <x v="0"/>
    <x v="0"/>
    <n v="41"/>
    <n v="52"/>
    <n v="51"/>
    <n v="144"/>
    <n v="48"/>
    <s v="F"/>
    <x v="1"/>
    <x v="2"/>
    <n v="921"/>
    <n v="42.857142857142854"/>
  </r>
  <r>
    <x v="0"/>
    <x v="3"/>
    <x v="3"/>
    <x v="1"/>
    <x v="1"/>
    <n v="74"/>
    <n v="88"/>
    <n v="90"/>
    <n v="252"/>
    <n v="84"/>
    <s v="B"/>
    <x v="0"/>
    <x v="0"/>
    <n v="123"/>
    <n v="82.417582417582409"/>
  </r>
  <r>
    <x v="0"/>
    <x v="0"/>
    <x v="5"/>
    <x v="1"/>
    <x v="0"/>
    <n v="72"/>
    <n v="81"/>
    <n v="79"/>
    <n v="232"/>
    <n v="77.333333333333329"/>
    <s v="C"/>
    <x v="0"/>
    <x v="0"/>
    <n v="255"/>
    <n v="75.091575091575095"/>
  </r>
  <r>
    <x v="0"/>
    <x v="4"/>
    <x v="4"/>
    <x v="0"/>
    <x v="1"/>
    <n v="74"/>
    <n v="79"/>
    <n v="80"/>
    <n v="233"/>
    <n v="77.666666666666671"/>
    <s v="C"/>
    <x v="0"/>
    <x v="0"/>
    <n v="250"/>
    <n v="75.457875457875474"/>
  </r>
  <r>
    <x v="1"/>
    <x v="0"/>
    <x v="4"/>
    <x v="0"/>
    <x v="0"/>
    <n v="70"/>
    <n v="65"/>
    <n v="60"/>
    <n v="195"/>
    <n v="65"/>
    <s v="D"/>
    <x v="0"/>
    <x v="3"/>
    <n v="593"/>
    <n v="61.53846153846154"/>
  </r>
  <r>
    <x v="0"/>
    <x v="0"/>
    <x v="0"/>
    <x v="0"/>
    <x v="1"/>
    <n v="65"/>
    <n v="81"/>
    <n v="81"/>
    <n v="227"/>
    <n v="75.666666666666671"/>
    <s v="C"/>
    <x v="0"/>
    <x v="0"/>
    <n v="297"/>
    <n v="73.26007326007327"/>
  </r>
  <r>
    <x v="0"/>
    <x v="3"/>
    <x v="3"/>
    <x v="0"/>
    <x v="0"/>
    <n v="59"/>
    <n v="70"/>
    <n v="65"/>
    <n v="194"/>
    <n v="64.666666666666671"/>
    <s v="D"/>
    <x v="0"/>
    <x v="3"/>
    <n v="602"/>
    <n v="61.172161172161175"/>
  </r>
  <r>
    <x v="0"/>
    <x v="4"/>
    <x v="4"/>
    <x v="1"/>
    <x v="0"/>
    <n v="64"/>
    <n v="62"/>
    <n v="68"/>
    <n v="194"/>
    <n v="64.666666666666671"/>
    <s v="D"/>
    <x v="0"/>
    <x v="3"/>
    <n v="602"/>
    <n v="61.172161172161175"/>
  </r>
  <r>
    <x v="0"/>
    <x v="0"/>
    <x v="4"/>
    <x v="0"/>
    <x v="0"/>
    <n v="50"/>
    <n v="53"/>
    <n v="55"/>
    <n v="158"/>
    <n v="52.666666666666664"/>
    <s v="F"/>
    <x v="1"/>
    <x v="2"/>
    <n v="843"/>
    <n v="47.985347985347978"/>
  </r>
  <r>
    <x v="0"/>
    <x v="3"/>
    <x v="1"/>
    <x v="0"/>
    <x v="1"/>
    <n v="69"/>
    <n v="79"/>
    <n v="81"/>
    <n v="229"/>
    <n v="76.333333333333329"/>
    <s v="C"/>
    <x v="0"/>
    <x v="0"/>
    <n v="282"/>
    <n v="73.992673992673986"/>
  </r>
  <r>
    <x v="1"/>
    <x v="1"/>
    <x v="5"/>
    <x v="1"/>
    <x v="1"/>
    <n v="51"/>
    <n v="56"/>
    <n v="53"/>
    <n v="160"/>
    <n v="53.333333333333336"/>
    <s v="F"/>
    <x v="1"/>
    <x v="2"/>
    <n v="837"/>
    <n v="48.717948717948723"/>
  </r>
  <r>
    <x v="0"/>
    <x v="2"/>
    <x v="4"/>
    <x v="0"/>
    <x v="1"/>
    <n v="68"/>
    <n v="80"/>
    <n v="76"/>
    <n v="224"/>
    <n v="74.666666666666671"/>
    <s v="C"/>
    <x v="0"/>
    <x v="0"/>
    <n v="325"/>
    <n v="72.161172161172175"/>
  </r>
  <r>
    <x v="0"/>
    <x v="3"/>
    <x v="1"/>
    <x v="0"/>
    <x v="1"/>
    <n v="85"/>
    <n v="86"/>
    <n v="98"/>
    <n v="269"/>
    <n v="89.666666666666671"/>
    <s v="B"/>
    <x v="0"/>
    <x v="1"/>
    <n v="53"/>
    <n v="88.644688644688657"/>
  </r>
  <r>
    <x v="0"/>
    <x v="2"/>
    <x v="3"/>
    <x v="0"/>
    <x v="1"/>
    <n v="65"/>
    <n v="70"/>
    <n v="74"/>
    <n v="209"/>
    <n v="69.666666666666671"/>
    <s v="D"/>
    <x v="0"/>
    <x v="3"/>
    <n v="460"/>
    <n v="66.666666666666671"/>
  </r>
  <r>
    <x v="0"/>
    <x v="0"/>
    <x v="5"/>
    <x v="0"/>
    <x v="0"/>
    <n v="73"/>
    <n v="79"/>
    <n v="79"/>
    <n v="231"/>
    <n v="77"/>
    <s v="C"/>
    <x v="0"/>
    <x v="0"/>
    <n v="269"/>
    <n v="74.72527472527473"/>
  </r>
  <r>
    <x v="0"/>
    <x v="0"/>
    <x v="1"/>
    <x v="0"/>
    <x v="0"/>
    <n v="62"/>
    <n v="67"/>
    <n v="67"/>
    <n v="196"/>
    <n v="65.333333333333329"/>
    <s v="D"/>
    <x v="0"/>
    <x v="3"/>
    <n v="584"/>
    <n v="61.904761904761898"/>
  </r>
  <r>
    <x v="1"/>
    <x v="1"/>
    <x v="3"/>
    <x v="1"/>
    <x v="0"/>
    <n v="77"/>
    <n v="67"/>
    <n v="64"/>
    <n v="208"/>
    <n v="69.333333333333329"/>
    <s v="D"/>
    <x v="0"/>
    <x v="3"/>
    <n v="465"/>
    <n v="66.300366300366292"/>
  </r>
  <r>
    <x v="1"/>
    <x v="3"/>
    <x v="5"/>
    <x v="0"/>
    <x v="0"/>
    <n v="69"/>
    <n v="66"/>
    <n v="61"/>
    <n v="196"/>
    <n v="65.333333333333329"/>
    <s v="D"/>
    <x v="0"/>
    <x v="3"/>
    <n v="584"/>
    <n v="61.904761904761898"/>
  </r>
  <r>
    <x v="0"/>
    <x v="3"/>
    <x v="3"/>
    <x v="1"/>
    <x v="0"/>
    <n v="43"/>
    <n v="60"/>
    <n v="58"/>
    <n v="161"/>
    <n v="53.666666666666664"/>
    <s v="F"/>
    <x v="1"/>
    <x v="2"/>
    <n v="830"/>
    <n v="49.08424908424908"/>
  </r>
  <r>
    <x v="1"/>
    <x v="3"/>
    <x v="3"/>
    <x v="0"/>
    <x v="0"/>
    <n v="90"/>
    <n v="87"/>
    <n v="85"/>
    <n v="262"/>
    <n v="87.333333333333329"/>
    <s v="B"/>
    <x v="0"/>
    <x v="1"/>
    <n v="78"/>
    <n v="86.080586080586073"/>
  </r>
  <r>
    <x v="1"/>
    <x v="1"/>
    <x v="1"/>
    <x v="1"/>
    <x v="0"/>
    <n v="74"/>
    <n v="77"/>
    <n v="73"/>
    <n v="224"/>
    <n v="74.666666666666671"/>
    <s v="C"/>
    <x v="0"/>
    <x v="0"/>
    <n v="325"/>
    <n v="72.161172161172175"/>
  </r>
  <r>
    <x v="1"/>
    <x v="1"/>
    <x v="5"/>
    <x v="0"/>
    <x v="0"/>
    <n v="73"/>
    <n v="66"/>
    <n v="63"/>
    <n v="202"/>
    <n v="67.333333333333329"/>
    <s v="D"/>
    <x v="0"/>
    <x v="3"/>
    <n v="534"/>
    <n v="64.102564102564102"/>
  </r>
  <r>
    <x v="0"/>
    <x v="3"/>
    <x v="1"/>
    <x v="1"/>
    <x v="0"/>
    <n v="55"/>
    <n v="71"/>
    <n v="69"/>
    <n v="195"/>
    <n v="65"/>
    <s v="D"/>
    <x v="0"/>
    <x v="3"/>
    <n v="593"/>
    <n v="61.53846153846154"/>
  </r>
  <r>
    <x v="0"/>
    <x v="1"/>
    <x v="4"/>
    <x v="0"/>
    <x v="0"/>
    <n v="65"/>
    <n v="69"/>
    <n v="67"/>
    <n v="201"/>
    <n v="67"/>
    <s v="D"/>
    <x v="0"/>
    <x v="3"/>
    <n v="540"/>
    <n v="63.73626373626373"/>
  </r>
  <r>
    <x v="1"/>
    <x v="3"/>
    <x v="3"/>
    <x v="0"/>
    <x v="0"/>
    <n v="80"/>
    <n v="63"/>
    <n v="63"/>
    <n v="206"/>
    <n v="68.666666666666671"/>
    <s v="D"/>
    <x v="0"/>
    <x v="3"/>
    <n v="487"/>
    <n v="65.567765567765562"/>
  </r>
  <r>
    <x v="0"/>
    <x v="1"/>
    <x v="5"/>
    <x v="1"/>
    <x v="1"/>
    <n v="50"/>
    <n v="60"/>
    <n v="60"/>
    <n v="170"/>
    <n v="56.666666666666664"/>
    <s v="F"/>
    <x v="1"/>
    <x v="2"/>
    <n v="776"/>
    <n v="52.380952380952387"/>
  </r>
  <r>
    <x v="0"/>
    <x v="1"/>
    <x v="1"/>
    <x v="1"/>
    <x v="1"/>
    <n v="63"/>
    <n v="73"/>
    <n v="71"/>
    <n v="207"/>
    <n v="69"/>
    <s v="D"/>
    <x v="0"/>
    <x v="3"/>
    <n v="475"/>
    <n v="65.934065934065927"/>
  </r>
  <r>
    <x v="0"/>
    <x v="0"/>
    <x v="0"/>
    <x v="1"/>
    <x v="0"/>
    <n v="77"/>
    <n v="85"/>
    <n v="87"/>
    <n v="249"/>
    <n v="83"/>
    <s v="B"/>
    <x v="0"/>
    <x v="0"/>
    <n v="140"/>
    <n v="81.318681318681314"/>
  </r>
  <r>
    <x v="1"/>
    <x v="1"/>
    <x v="1"/>
    <x v="0"/>
    <x v="0"/>
    <n v="73"/>
    <n v="74"/>
    <n v="61"/>
    <n v="208"/>
    <n v="69.333333333333329"/>
    <s v="D"/>
    <x v="0"/>
    <x v="3"/>
    <n v="465"/>
    <n v="66.300366300366292"/>
  </r>
  <r>
    <x v="1"/>
    <x v="3"/>
    <x v="3"/>
    <x v="0"/>
    <x v="1"/>
    <n v="81"/>
    <n v="72"/>
    <n v="77"/>
    <n v="230"/>
    <n v="76.666666666666671"/>
    <s v="C"/>
    <x v="0"/>
    <x v="0"/>
    <n v="277"/>
    <n v="74.358974358974365"/>
  </r>
  <r>
    <x v="0"/>
    <x v="1"/>
    <x v="4"/>
    <x v="1"/>
    <x v="0"/>
    <n v="66"/>
    <n v="76"/>
    <n v="68"/>
    <n v="210"/>
    <n v="70"/>
    <s v="C"/>
    <x v="0"/>
    <x v="0"/>
    <n v="448"/>
    <n v="67.032967032967022"/>
  </r>
  <r>
    <x v="1"/>
    <x v="3"/>
    <x v="3"/>
    <x v="1"/>
    <x v="0"/>
    <n v="52"/>
    <n v="57"/>
    <n v="50"/>
    <n v="159"/>
    <n v="53"/>
    <s v="F"/>
    <x v="1"/>
    <x v="2"/>
    <n v="841"/>
    <n v="48.35164835164835"/>
  </r>
  <r>
    <x v="0"/>
    <x v="1"/>
    <x v="1"/>
    <x v="0"/>
    <x v="0"/>
    <n v="69"/>
    <n v="78"/>
    <n v="76"/>
    <n v="223"/>
    <n v="74.333333333333329"/>
    <s v="C"/>
    <x v="0"/>
    <x v="0"/>
    <n v="333"/>
    <n v="71.794871794871796"/>
  </r>
  <r>
    <x v="0"/>
    <x v="1"/>
    <x v="3"/>
    <x v="0"/>
    <x v="1"/>
    <n v="65"/>
    <n v="84"/>
    <n v="84"/>
    <n v="233"/>
    <n v="77.666666666666671"/>
    <s v="C"/>
    <x v="0"/>
    <x v="0"/>
    <n v="250"/>
    <n v="75.457875457875474"/>
  </r>
  <r>
    <x v="0"/>
    <x v="3"/>
    <x v="4"/>
    <x v="0"/>
    <x v="1"/>
    <n v="69"/>
    <n v="77"/>
    <n v="78"/>
    <n v="224"/>
    <n v="74.666666666666671"/>
    <s v="C"/>
    <x v="0"/>
    <x v="0"/>
    <n v="325"/>
    <n v="72.161172161172175"/>
  </r>
  <r>
    <x v="0"/>
    <x v="0"/>
    <x v="1"/>
    <x v="0"/>
    <x v="1"/>
    <n v="50"/>
    <n v="64"/>
    <n v="66"/>
    <n v="180"/>
    <n v="60"/>
    <s v="D"/>
    <x v="0"/>
    <x v="3"/>
    <n v="708"/>
    <n v="56.043956043956044"/>
  </r>
  <r>
    <x v="0"/>
    <x v="4"/>
    <x v="1"/>
    <x v="0"/>
    <x v="1"/>
    <n v="73"/>
    <n v="78"/>
    <n v="76"/>
    <n v="227"/>
    <n v="75.666666666666671"/>
    <s v="C"/>
    <x v="0"/>
    <x v="0"/>
    <n v="297"/>
    <n v="73.26007326007327"/>
  </r>
  <r>
    <x v="0"/>
    <x v="1"/>
    <x v="5"/>
    <x v="0"/>
    <x v="1"/>
    <n v="70"/>
    <n v="82"/>
    <n v="76"/>
    <n v="228"/>
    <n v="76"/>
    <s v="C"/>
    <x v="0"/>
    <x v="0"/>
    <n v="288"/>
    <n v="73.626373626373635"/>
  </r>
  <r>
    <x v="1"/>
    <x v="3"/>
    <x v="3"/>
    <x v="1"/>
    <x v="0"/>
    <n v="81"/>
    <n v="75"/>
    <n v="78"/>
    <n v="234"/>
    <n v="78"/>
    <s v="C"/>
    <x v="0"/>
    <x v="0"/>
    <n v="240"/>
    <n v="75.824175824175825"/>
  </r>
  <r>
    <x v="1"/>
    <x v="3"/>
    <x v="1"/>
    <x v="1"/>
    <x v="0"/>
    <n v="63"/>
    <n v="61"/>
    <n v="60"/>
    <n v="184"/>
    <n v="61.333333333333336"/>
    <s v="D"/>
    <x v="0"/>
    <x v="3"/>
    <n v="678"/>
    <n v="57.509157509157518"/>
  </r>
  <r>
    <x v="0"/>
    <x v="3"/>
    <x v="4"/>
    <x v="0"/>
    <x v="0"/>
    <n v="67"/>
    <n v="72"/>
    <n v="74"/>
    <n v="213"/>
    <n v="71"/>
    <s v="C"/>
    <x v="0"/>
    <x v="0"/>
    <n v="424"/>
    <n v="68.131868131868131"/>
  </r>
  <r>
    <x v="1"/>
    <x v="0"/>
    <x v="4"/>
    <x v="0"/>
    <x v="0"/>
    <n v="60"/>
    <n v="68"/>
    <n v="60"/>
    <n v="188"/>
    <n v="62.666666666666664"/>
    <s v="D"/>
    <x v="0"/>
    <x v="3"/>
    <n v="653"/>
    <n v="58.974358974358978"/>
  </r>
  <r>
    <x v="1"/>
    <x v="0"/>
    <x v="4"/>
    <x v="0"/>
    <x v="0"/>
    <n v="62"/>
    <n v="55"/>
    <n v="54"/>
    <n v="171"/>
    <n v="57"/>
    <s v="F"/>
    <x v="1"/>
    <x v="2"/>
    <n v="772"/>
    <n v="52.747252747252752"/>
  </r>
  <r>
    <x v="0"/>
    <x v="1"/>
    <x v="5"/>
    <x v="1"/>
    <x v="1"/>
    <n v="29"/>
    <n v="40"/>
    <n v="44"/>
    <n v="113"/>
    <n v="37.666666666666664"/>
    <s v="F"/>
    <x v="1"/>
    <x v="2"/>
    <n v="981"/>
    <n v="31.5018315018315"/>
  </r>
  <r>
    <x v="1"/>
    <x v="0"/>
    <x v="1"/>
    <x v="0"/>
    <x v="1"/>
    <n v="62"/>
    <n v="66"/>
    <n v="68"/>
    <n v="196"/>
    <n v="65.333333333333329"/>
    <s v="D"/>
    <x v="0"/>
    <x v="3"/>
    <n v="584"/>
    <n v="61.904761904761898"/>
  </r>
  <r>
    <x v="0"/>
    <x v="4"/>
    <x v="2"/>
    <x v="0"/>
    <x v="1"/>
    <n v="94"/>
    <n v="99"/>
    <n v="100"/>
    <n v="293"/>
    <n v="97.666666666666671"/>
    <s v="A"/>
    <x v="0"/>
    <x v="1"/>
    <n v="9"/>
    <n v="97.435897435897445"/>
  </r>
  <r>
    <x v="1"/>
    <x v="4"/>
    <x v="1"/>
    <x v="0"/>
    <x v="1"/>
    <n v="85"/>
    <n v="75"/>
    <n v="68"/>
    <n v="228"/>
    <n v="76"/>
    <s v="C"/>
    <x v="0"/>
    <x v="0"/>
    <n v="288"/>
    <n v="73.626373626373635"/>
  </r>
  <r>
    <x v="1"/>
    <x v="3"/>
    <x v="3"/>
    <x v="1"/>
    <x v="0"/>
    <n v="77"/>
    <n v="78"/>
    <n v="73"/>
    <n v="228"/>
    <n v="76"/>
    <s v="C"/>
    <x v="0"/>
    <x v="0"/>
    <n v="288"/>
    <n v="73.626373626373635"/>
  </r>
  <r>
    <x v="1"/>
    <x v="2"/>
    <x v="4"/>
    <x v="1"/>
    <x v="0"/>
    <n v="53"/>
    <n v="58"/>
    <n v="44"/>
    <n v="155"/>
    <n v="51.666666666666664"/>
    <s v="F"/>
    <x v="1"/>
    <x v="2"/>
    <n v="860"/>
    <n v="46.886446886446883"/>
  </r>
  <r>
    <x v="1"/>
    <x v="4"/>
    <x v="1"/>
    <x v="1"/>
    <x v="0"/>
    <n v="93"/>
    <n v="90"/>
    <n v="83"/>
    <n v="266"/>
    <n v="88.666666666666671"/>
    <s v="B"/>
    <x v="0"/>
    <x v="1"/>
    <n v="64"/>
    <n v="87.545787545787547"/>
  </r>
  <r>
    <x v="0"/>
    <x v="1"/>
    <x v="3"/>
    <x v="0"/>
    <x v="0"/>
    <n v="49"/>
    <n v="53"/>
    <n v="53"/>
    <n v="155"/>
    <n v="51.666666666666664"/>
    <s v="F"/>
    <x v="1"/>
    <x v="2"/>
    <n v="860"/>
    <n v="46.886446886446883"/>
  </r>
  <r>
    <x v="0"/>
    <x v="4"/>
    <x v="3"/>
    <x v="1"/>
    <x v="0"/>
    <n v="73"/>
    <n v="76"/>
    <n v="78"/>
    <n v="227"/>
    <n v="75.666666666666671"/>
    <s v="C"/>
    <x v="0"/>
    <x v="0"/>
    <n v="297"/>
    <n v="73.26007326007327"/>
  </r>
  <r>
    <x v="0"/>
    <x v="1"/>
    <x v="0"/>
    <x v="1"/>
    <x v="1"/>
    <n v="66"/>
    <n v="74"/>
    <n v="81"/>
    <n v="221"/>
    <n v="73.666666666666671"/>
    <s v="C"/>
    <x v="0"/>
    <x v="0"/>
    <n v="351"/>
    <n v="71.062271062271066"/>
  </r>
  <r>
    <x v="0"/>
    <x v="3"/>
    <x v="3"/>
    <x v="0"/>
    <x v="0"/>
    <n v="77"/>
    <n v="77"/>
    <n v="73"/>
    <n v="227"/>
    <n v="75.666666666666671"/>
    <s v="C"/>
    <x v="0"/>
    <x v="0"/>
    <n v="297"/>
    <n v="73.26007326007327"/>
  </r>
  <r>
    <x v="0"/>
    <x v="1"/>
    <x v="5"/>
    <x v="0"/>
    <x v="0"/>
    <n v="49"/>
    <n v="63"/>
    <n v="56"/>
    <n v="168"/>
    <n v="56"/>
    <s v="F"/>
    <x v="1"/>
    <x v="2"/>
    <n v="786"/>
    <n v="51.648351648351657"/>
  </r>
  <r>
    <x v="0"/>
    <x v="3"/>
    <x v="1"/>
    <x v="1"/>
    <x v="0"/>
    <n v="79"/>
    <n v="89"/>
    <n v="86"/>
    <n v="254"/>
    <n v="84.666666666666671"/>
    <s v="B"/>
    <x v="0"/>
    <x v="0"/>
    <n v="117"/>
    <n v="83.150183150183153"/>
  </r>
  <r>
    <x v="0"/>
    <x v="1"/>
    <x v="3"/>
    <x v="0"/>
    <x v="1"/>
    <n v="75"/>
    <n v="82"/>
    <n v="90"/>
    <n v="247"/>
    <n v="82.333333333333329"/>
    <s v="B"/>
    <x v="0"/>
    <x v="0"/>
    <n v="155"/>
    <n v="80.586080586080584"/>
  </r>
  <r>
    <x v="0"/>
    <x v="2"/>
    <x v="0"/>
    <x v="0"/>
    <x v="0"/>
    <n v="59"/>
    <n v="72"/>
    <n v="70"/>
    <n v="201"/>
    <n v="67"/>
    <s v="D"/>
    <x v="0"/>
    <x v="3"/>
    <n v="540"/>
    <n v="63.73626373626373"/>
  </r>
  <r>
    <x v="0"/>
    <x v="3"/>
    <x v="3"/>
    <x v="0"/>
    <x v="1"/>
    <n v="57"/>
    <n v="78"/>
    <n v="79"/>
    <n v="214"/>
    <n v="71.333333333333329"/>
    <s v="C"/>
    <x v="0"/>
    <x v="0"/>
    <n v="412"/>
    <n v="68.498168498168482"/>
  </r>
  <r>
    <x v="1"/>
    <x v="1"/>
    <x v="4"/>
    <x v="1"/>
    <x v="0"/>
    <n v="66"/>
    <n v="66"/>
    <n v="59"/>
    <n v="191"/>
    <n v="63.666666666666664"/>
    <s v="D"/>
    <x v="0"/>
    <x v="3"/>
    <n v="632"/>
    <n v="60.073260073260073"/>
  </r>
  <r>
    <x v="0"/>
    <x v="4"/>
    <x v="0"/>
    <x v="0"/>
    <x v="1"/>
    <n v="79"/>
    <n v="81"/>
    <n v="82"/>
    <n v="242"/>
    <n v="80.666666666666671"/>
    <s v="B"/>
    <x v="0"/>
    <x v="0"/>
    <n v="180"/>
    <n v="78.754578754578759"/>
  </r>
  <r>
    <x v="0"/>
    <x v="0"/>
    <x v="5"/>
    <x v="0"/>
    <x v="0"/>
    <n v="57"/>
    <n v="67"/>
    <n v="72"/>
    <n v="196"/>
    <n v="65.333333333333329"/>
    <s v="D"/>
    <x v="0"/>
    <x v="3"/>
    <n v="584"/>
    <n v="61.904761904761898"/>
  </r>
  <r>
    <x v="1"/>
    <x v="2"/>
    <x v="0"/>
    <x v="0"/>
    <x v="1"/>
    <n v="87"/>
    <n v="84"/>
    <n v="87"/>
    <n v="258"/>
    <n v="86"/>
    <s v="B"/>
    <x v="0"/>
    <x v="1"/>
    <n v="99"/>
    <n v="84.615384615384613"/>
  </r>
  <r>
    <x v="0"/>
    <x v="3"/>
    <x v="1"/>
    <x v="0"/>
    <x v="0"/>
    <n v="63"/>
    <n v="64"/>
    <n v="67"/>
    <n v="194"/>
    <n v="64.666666666666671"/>
    <s v="D"/>
    <x v="0"/>
    <x v="3"/>
    <n v="602"/>
    <n v="61.172161172161175"/>
  </r>
  <r>
    <x v="0"/>
    <x v="0"/>
    <x v="5"/>
    <x v="1"/>
    <x v="1"/>
    <n v="59"/>
    <n v="63"/>
    <n v="64"/>
    <n v="186"/>
    <n v="62"/>
    <s v="D"/>
    <x v="0"/>
    <x v="3"/>
    <n v="665"/>
    <n v="58.241758241758248"/>
  </r>
  <r>
    <x v="1"/>
    <x v="2"/>
    <x v="0"/>
    <x v="1"/>
    <x v="0"/>
    <n v="62"/>
    <n v="72"/>
    <n v="65"/>
    <n v="199"/>
    <n v="66.333333333333329"/>
    <s v="D"/>
    <x v="0"/>
    <x v="3"/>
    <n v="557"/>
    <n v="63.003663003663"/>
  </r>
  <r>
    <x v="1"/>
    <x v="3"/>
    <x v="4"/>
    <x v="0"/>
    <x v="0"/>
    <n v="46"/>
    <n v="34"/>
    <n v="36"/>
    <n v="116"/>
    <n v="38.666666666666664"/>
    <s v="F"/>
    <x v="1"/>
    <x v="2"/>
    <n v="977"/>
    <n v="32.600732600732599"/>
  </r>
  <r>
    <x v="1"/>
    <x v="1"/>
    <x v="1"/>
    <x v="0"/>
    <x v="0"/>
    <n v="66"/>
    <n v="59"/>
    <n v="52"/>
    <n v="177"/>
    <n v="59"/>
    <s v="F"/>
    <x v="1"/>
    <x v="2"/>
    <n v="727"/>
    <n v="54.945054945054949"/>
  </r>
  <r>
    <x v="1"/>
    <x v="3"/>
    <x v="4"/>
    <x v="0"/>
    <x v="0"/>
    <n v="89"/>
    <n v="87"/>
    <n v="79"/>
    <n v="255"/>
    <n v="85"/>
    <s v="B"/>
    <x v="0"/>
    <x v="1"/>
    <n v="113"/>
    <n v="83.516483516483518"/>
  </r>
  <r>
    <x v="0"/>
    <x v="3"/>
    <x v="3"/>
    <x v="1"/>
    <x v="1"/>
    <n v="42"/>
    <n v="61"/>
    <n v="58"/>
    <n v="161"/>
    <n v="53.666666666666664"/>
    <s v="F"/>
    <x v="1"/>
    <x v="2"/>
    <n v="830"/>
    <n v="49.08424908424908"/>
  </r>
  <r>
    <x v="1"/>
    <x v="1"/>
    <x v="1"/>
    <x v="0"/>
    <x v="1"/>
    <n v="93"/>
    <n v="84"/>
    <n v="90"/>
    <n v="267"/>
    <n v="89"/>
    <s v="B"/>
    <x v="0"/>
    <x v="1"/>
    <n v="59"/>
    <n v="87.912087912087912"/>
  </r>
  <r>
    <x v="0"/>
    <x v="4"/>
    <x v="5"/>
    <x v="0"/>
    <x v="1"/>
    <n v="80"/>
    <n v="85"/>
    <n v="85"/>
    <n v="250"/>
    <n v="83.333333333333329"/>
    <s v="B"/>
    <x v="0"/>
    <x v="0"/>
    <n v="135"/>
    <n v="81.684981684981679"/>
  </r>
  <r>
    <x v="0"/>
    <x v="3"/>
    <x v="1"/>
    <x v="0"/>
    <x v="0"/>
    <n v="98"/>
    <n v="100"/>
    <n v="99"/>
    <n v="297"/>
    <n v="99"/>
    <s v="A"/>
    <x v="0"/>
    <x v="1"/>
    <n v="5"/>
    <n v="98.901098901098905"/>
  </r>
  <r>
    <x v="1"/>
    <x v="3"/>
    <x v="2"/>
    <x v="0"/>
    <x v="0"/>
    <n v="81"/>
    <n v="81"/>
    <n v="84"/>
    <n v="246"/>
    <n v="82"/>
    <s v="B"/>
    <x v="0"/>
    <x v="0"/>
    <n v="166"/>
    <n v="80.219780219780219"/>
  </r>
  <r>
    <x v="0"/>
    <x v="0"/>
    <x v="5"/>
    <x v="0"/>
    <x v="1"/>
    <n v="60"/>
    <n v="70"/>
    <n v="74"/>
    <n v="204"/>
    <n v="68"/>
    <s v="D"/>
    <x v="0"/>
    <x v="3"/>
    <n v="512"/>
    <n v="64.835164835164832"/>
  </r>
  <r>
    <x v="0"/>
    <x v="0"/>
    <x v="3"/>
    <x v="1"/>
    <x v="1"/>
    <n v="76"/>
    <n v="94"/>
    <n v="87"/>
    <n v="257"/>
    <n v="85.666666666666671"/>
    <s v="B"/>
    <x v="0"/>
    <x v="1"/>
    <n v="103"/>
    <n v="84.249084249084248"/>
  </r>
  <r>
    <x v="1"/>
    <x v="1"/>
    <x v="3"/>
    <x v="0"/>
    <x v="1"/>
    <n v="73"/>
    <n v="78"/>
    <n v="72"/>
    <n v="223"/>
    <n v="74.333333333333329"/>
    <s v="C"/>
    <x v="0"/>
    <x v="0"/>
    <n v="333"/>
    <n v="71.794871794871796"/>
  </r>
  <r>
    <x v="0"/>
    <x v="1"/>
    <x v="3"/>
    <x v="0"/>
    <x v="1"/>
    <n v="96"/>
    <n v="96"/>
    <n v="99"/>
    <n v="291"/>
    <n v="97"/>
    <s v="A"/>
    <x v="0"/>
    <x v="1"/>
    <n v="14"/>
    <n v="96.703296703296701"/>
  </r>
  <r>
    <x v="0"/>
    <x v="1"/>
    <x v="4"/>
    <x v="0"/>
    <x v="0"/>
    <n v="76"/>
    <n v="76"/>
    <n v="74"/>
    <n v="226"/>
    <n v="75.333333333333329"/>
    <s v="C"/>
    <x v="0"/>
    <x v="0"/>
    <n v="307"/>
    <n v="72.893772893772891"/>
  </r>
  <r>
    <x v="1"/>
    <x v="4"/>
    <x v="3"/>
    <x v="1"/>
    <x v="1"/>
    <n v="91"/>
    <n v="73"/>
    <n v="80"/>
    <n v="244"/>
    <n v="81.333333333333329"/>
    <s v="B"/>
    <x v="0"/>
    <x v="0"/>
    <n v="173"/>
    <n v="79.487179487179489"/>
  </r>
  <r>
    <x v="0"/>
    <x v="1"/>
    <x v="1"/>
    <x v="1"/>
    <x v="0"/>
    <n v="62"/>
    <n v="72"/>
    <n v="70"/>
    <n v="204"/>
    <n v="68"/>
    <s v="D"/>
    <x v="0"/>
    <x v="3"/>
    <n v="512"/>
    <n v="64.835164835164832"/>
  </r>
  <r>
    <x v="1"/>
    <x v="3"/>
    <x v="5"/>
    <x v="1"/>
    <x v="1"/>
    <n v="55"/>
    <n v="59"/>
    <n v="59"/>
    <n v="173"/>
    <n v="57.666666666666664"/>
    <s v="F"/>
    <x v="1"/>
    <x v="2"/>
    <n v="756"/>
    <n v="53.479853479853482"/>
  </r>
  <r>
    <x v="0"/>
    <x v="0"/>
    <x v="5"/>
    <x v="1"/>
    <x v="1"/>
    <n v="74"/>
    <n v="90"/>
    <n v="88"/>
    <n v="252"/>
    <n v="84"/>
    <s v="B"/>
    <x v="0"/>
    <x v="0"/>
    <n v="123"/>
    <n v="82.417582417582409"/>
  </r>
  <r>
    <x v="1"/>
    <x v="1"/>
    <x v="4"/>
    <x v="0"/>
    <x v="0"/>
    <n v="50"/>
    <n v="48"/>
    <n v="42"/>
    <n v="140"/>
    <n v="46.666666666666664"/>
    <s v="F"/>
    <x v="1"/>
    <x v="2"/>
    <n v="930"/>
    <n v="41.391941391941387"/>
  </r>
  <r>
    <x v="1"/>
    <x v="0"/>
    <x v="1"/>
    <x v="0"/>
    <x v="0"/>
    <n v="47"/>
    <n v="43"/>
    <n v="41"/>
    <n v="131"/>
    <n v="43.666666666666664"/>
    <s v="F"/>
    <x v="1"/>
    <x v="2"/>
    <n v="954"/>
    <n v="38.095238095238095"/>
  </r>
  <r>
    <x v="1"/>
    <x v="4"/>
    <x v="1"/>
    <x v="0"/>
    <x v="1"/>
    <n v="81"/>
    <n v="74"/>
    <n v="71"/>
    <n v="226"/>
    <n v="75.333333333333329"/>
    <s v="C"/>
    <x v="0"/>
    <x v="0"/>
    <n v="307"/>
    <n v="72.893772893772891"/>
  </r>
  <r>
    <x v="0"/>
    <x v="4"/>
    <x v="3"/>
    <x v="0"/>
    <x v="1"/>
    <n v="65"/>
    <n v="75"/>
    <n v="77"/>
    <n v="217"/>
    <n v="72.333333333333329"/>
    <s v="C"/>
    <x v="0"/>
    <x v="0"/>
    <n v="389"/>
    <n v="69.597069597069591"/>
  </r>
  <r>
    <x v="1"/>
    <x v="4"/>
    <x v="5"/>
    <x v="0"/>
    <x v="1"/>
    <n v="68"/>
    <n v="51"/>
    <n v="57"/>
    <n v="176"/>
    <n v="58.666666666666664"/>
    <s v="F"/>
    <x v="1"/>
    <x v="2"/>
    <n v="736"/>
    <n v="54.578754578754577"/>
  </r>
  <r>
    <x v="0"/>
    <x v="3"/>
    <x v="4"/>
    <x v="1"/>
    <x v="0"/>
    <n v="73"/>
    <n v="92"/>
    <n v="84"/>
    <n v="249"/>
    <n v="83"/>
    <s v="B"/>
    <x v="0"/>
    <x v="0"/>
    <n v="140"/>
    <n v="81.318681318681314"/>
  </r>
  <r>
    <x v="1"/>
    <x v="1"/>
    <x v="1"/>
    <x v="0"/>
    <x v="0"/>
    <n v="53"/>
    <n v="39"/>
    <n v="37"/>
    <n v="129"/>
    <n v="43"/>
    <s v="F"/>
    <x v="1"/>
    <x v="2"/>
    <n v="960"/>
    <n v="37.362637362637365"/>
  </r>
  <r>
    <x v="0"/>
    <x v="0"/>
    <x v="3"/>
    <x v="1"/>
    <x v="1"/>
    <n v="68"/>
    <n v="77"/>
    <n v="80"/>
    <n v="225"/>
    <n v="75"/>
    <s v="C"/>
    <x v="0"/>
    <x v="0"/>
    <n v="314"/>
    <n v="72.527472527472526"/>
  </r>
  <r>
    <x v="1"/>
    <x v="2"/>
    <x v="5"/>
    <x v="1"/>
    <x v="0"/>
    <n v="55"/>
    <n v="46"/>
    <n v="43"/>
    <n v="144"/>
    <n v="48"/>
    <s v="F"/>
    <x v="1"/>
    <x v="2"/>
    <n v="921"/>
    <n v="42.857142857142854"/>
  </r>
  <r>
    <x v="0"/>
    <x v="1"/>
    <x v="1"/>
    <x v="0"/>
    <x v="1"/>
    <n v="87"/>
    <n v="89"/>
    <n v="94"/>
    <n v="270"/>
    <n v="90"/>
    <s v="A"/>
    <x v="0"/>
    <x v="1"/>
    <n v="51"/>
    <n v="89.010989010989007"/>
  </r>
  <r>
    <x v="1"/>
    <x v="3"/>
    <x v="5"/>
    <x v="0"/>
    <x v="0"/>
    <n v="55"/>
    <n v="47"/>
    <n v="44"/>
    <n v="146"/>
    <n v="48.666666666666664"/>
    <s v="F"/>
    <x v="1"/>
    <x v="2"/>
    <n v="911"/>
    <n v="43.589743589743584"/>
  </r>
  <r>
    <x v="0"/>
    <x v="4"/>
    <x v="1"/>
    <x v="1"/>
    <x v="0"/>
    <n v="53"/>
    <n v="58"/>
    <n v="57"/>
    <n v="168"/>
    <n v="56"/>
    <s v="F"/>
    <x v="1"/>
    <x v="2"/>
    <n v="786"/>
    <n v="51.648351648351657"/>
  </r>
  <r>
    <x v="1"/>
    <x v="1"/>
    <x v="2"/>
    <x v="0"/>
    <x v="0"/>
    <n v="67"/>
    <n v="57"/>
    <n v="59"/>
    <n v="183"/>
    <n v="61"/>
    <s v="D"/>
    <x v="0"/>
    <x v="3"/>
    <n v="687"/>
    <n v="57.142857142857139"/>
  </r>
  <r>
    <x v="1"/>
    <x v="1"/>
    <x v="3"/>
    <x v="0"/>
    <x v="0"/>
    <n v="92"/>
    <n v="79"/>
    <n v="84"/>
    <n v="255"/>
    <n v="85"/>
    <s v="B"/>
    <x v="0"/>
    <x v="1"/>
    <n v="113"/>
    <n v="83.516483516483518"/>
  </r>
  <r>
    <x v="0"/>
    <x v="0"/>
    <x v="1"/>
    <x v="1"/>
    <x v="1"/>
    <n v="53"/>
    <n v="66"/>
    <n v="73"/>
    <n v="192"/>
    <n v="64"/>
    <s v="D"/>
    <x v="0"/>
    <x v="3"/>
    <n v="623"/>
    <n v="60.439560439560438"/>
  </r>
  <r>
    <x v="1"/>
    <x v="3"/>
    <x v="3"/>
    <x v="0"/>
    <x v="0"/>
    <n v="81"/>
    <n v="71"/>
    <n v="73"/>
    <n v="225"/>
    <n v="75"/>
    <s v="C"/>
    <x v="0"/>
    <x v="0"/>
    <n v="314"/>
    <n v="72.527472527472526"/>
  </r>
  <r>
    <x v="1"/>
    <x v="1"/>
    <x v="4"/>
    <x v="1"/>
    <x v="0"/>
    <n v="61"/>
    <n v="60"/>
    <n v="55"/>
    <n v="176"/>
    <n v="58.666666666666664"/>
    <s v="F"/>
    <x v="1"/>
    <x v="2"/>
    <n v="736"/>
    <n v="54.578754578754577"/>
  </r>
  <r>
    <x v="1"/>
    <x v="3"/>
    <x v="0"/>
    <x v="0"/>
    <x v="0"/>
    <n v="80"/>
    <n v="73"/>
    <n v="72"/>
    <n v="225"/>
    <n v="75"/>
    <s v="C"/>
    <x v="0"/>
    <x v="0"/>
    <n v="314"/>
    <n v="72.527472527472526"/>
  </r>
  <r>
    <x v="0"/>
    <x v="2"/>
    <x v="3"/>
    <x v="1"/>
    <x v="0"/>
    <n v="37"/>
    <n v="57"/>
    <n v="56"/>
    <n v="150"/>
    <n v="50"/>
    <s v="F"/>
    <x v="1"/>
    <x v="2"/>
    <n v="892"/>
    <n v="45.054945054945058"/>
  </r>
  <r>
    <x v="0"/>
    <x v="1"/>
    <x v="4"/>
    <x v="0"/>
    <x v="0"/>
    <n v="81"/>
    <n v="84"/>
    <n v="82"/>
    <n v="247"/>
    <n v="82.333333333333329"/>
    <s v="B"/>
    <x v="0"/>
    <x v="0"/>
    <n v="155"/>
    <n v="80.586080586080584"/>
  </r>
  <r>
    <x v="0"/>
    <x v="1"/>
    <x v="3"/>
    <x v="0"/>
    <x v="1"/>
    <n v="59"/>
    <n v="73"/>
    <n v="72"/>
    <n v="204"/>
    <n v="68"/>
    <s v="D"/>
    <x v="0"/>
    <x v="3"/>
    <n v="512"/>
    <n v="64.835164835164832"/>
  </r>
  <r>
    <x v="1"/>
    <x v="0"/>
    <x v="1"/>
    <x v="1"/>
    <x v="0"/>
    <n v="55"/>
    <n v="55"/>
    <n v="47"/>
    <n v="157"/>
    <n v="52.333333333333336"/>
    <s v="F"/>
    <x v="1"/>
    <x v="2"/>
    <n v="850"/>
    <n v="47.61904761904762"/>
  </r>
  <r>
    <x v="1"/>
    <x v="3"/>
    <x v="3"/>
    <x v="0"/>
    <x v="0"/>
    <n v="72"/>
    <n v="79"/>
    <n v="74"/>
    <n v="225"/>
    <n v="75"/>
    <s v="C"/>
    <x v="0"/>
    <x v="0"/>
    <n v="314"/>
    <n v="72.527472527472526"/>
  </r>
  <r>
    <x v="1"/>
    <x v="3"/>
    <x v="4"/>
    <x v="0"/>
    <x v="0"/>
    <n v="69"/>
    <n v="75"/>
    <n v="71"/>
    <n v="215"/>
    <n v="71.666666666666671"/>
    <s v="C"/>
    <x v="0"/>
    <x v="0"/>
    <n v="404"/>
    <n v="68.864468864468876"/>
  </r>
  <r>
    <x v="1"/>
    <x v="1"/>
    <x v="1"/>
    <x v="0"/>
    <x v="0"/>
    <n v="69"/>
    <n v="64"/>
    <n v="68"/>
    <n v="201"/>
    <n v="67"/>
    <s v="D"/>
    <x v="0"/>
    <x v="3"/>
    <n v="540"/>
    <n v="63.73626373626373"/>
  </r>
  <r>
    <x v="0"/>
    <x v="1"/>
    <x v="0"/>
    <x v="1"/>
    <x v="0"/>
    <n v="50"/>
    <n v="60"/>
    <n v="59"/>
    <n v="169"/>
    <n v="56.333333333333336"/>
    <s v="F"/>
    <x v="1"/>
    <x v="2"/>
    <n v="780"/>
    <n v="52.014652014652022"/>
  </r>
  <r>
    <x v="1"/>
    <x v="0"/>
    <x v="1"/>
    <x v="0"/>
    <x v="1"/>
    <n v="87"/>
    <n v="84"/>
    <n v="86"/>
    <n v="257"/>
    <n v="85.666666666666671"/>
    <s v="B"/>
    <x v="0"/>
    <x v="1"/>
    <n v="103"/>
    <n v="84.249084249084248"/>
  </r>
  <r>
    <x v="1"/>
    <x v="3"/>
    <x v="5"/>
    <x v="0"/>
    <x v="1"/>
    <n v="71"/>
    <n v="69"/>
    <n v="68"/>
    <n v="208"/>
    <n v="69.333333333333329"/>
    <s v="D"/>
    <x v="0"/>
    <x v="3"/>
    <n v="465"/>
    <n v="66.300366300366292"/>
  </r>
  <r>
    <x v="1"/>
    <x v="4"/>
    <x v="1"/>
    <x v="0"/>
    <x v="0"/>
    <n v="68"/>
    <n v="72"/>
    <n v="65"/>
    <n v="205"/>
    <n v="68.333333333333329"/>
    <s v="D"/>
    <x v="0"/>
    <x v="3"/>
    <n v="499"/>
    <n v="65.201465201465197"/>
  </r>
  <r>
    <x v="1"/>
    <x v="1"/>
    <x v="2"/>
    <x v="1"/>
    <x v="1"/>
    <n v="79"/>
    <n v="77"/>
    <n v="75"/>
    <n v="231"/>
    <n v="77"/>
    <s v="C"/>
    <x v="0"/>
    <x v="0"/>
    <n v="269"/>
    <n v="74.72527472527473"/>
  </r>
  <r>
    <x v="0"/>
    <x v="1"/>
    <x v="5"/>
    <x v="0"/>
    <x v="1"/>
    <n v="77"/>
    <n v="90"/>
    <n v="85"/>
    <n v="252"/>
    <n v="84"/>
    <s v="B"/>
    <x v="0"/>
    <x v="0"/>
    <n v="123"/>
    <n v="82.417582417582409"/>
  </r>
  <r>
    <x v="1"/>
    <x v="1"/>
    <x v="3"/>
    <x v="1"/>
    <x v="0"/>
    <n v="58"/>
    <n v="55"/>
    <n v="53"/>
    <n v="166"/>
    <n v="55.333333333333336"/>
    <s v="F"/>
    <x v="1"/>
    <x v="2"/>
    <n v="803"/>
    <n v="50.915750915750927"/>
  </r>
  <r>
    <x v="0"/>
    <x v="4"/>
    <x v="3"/>
    <x v="0"/>
    <x v="0"/>
    <n v="84"/>
    <n v="95"/>
    <n v="92"/>
    <n v="271"/>
    <n v="90.333333333333329"/>
    <s v="A"/>
    <x v="0"/>
    <x v="1"/>
    <n v="48"/>
    <n v="89.377289377289372"/>
  </r>
  <r>
    <x v="1"/>
    <x v="3"/>
    <x v="1"/>
    <x v="0"/>
    <x v="0"/>
    <n v="55"/>
    <n v="58"/>
    <n v="52"/>
    <n v="165"/>
    <n v="55"/>
    <s v="F"/>
    <x v="1"/>
    <x v="2"/>
    <n v="808"/>
    <n v="50.549450549450547"/>
  </r>
  <r>
    <x v="1"/>
    <x v="4"/>
    <x v="0"/>
    <x v="1"/>
    <x v="1"/>
    <n v="70"/>
    <n v="68"/>
    <n v="72"/>
    <n v="210"/>
    <n v="70"/>
    <s v="C"/>
    <x v="0"/>
    <x v="0"/>
    <n v="448"/>
    <n v="67.032967032967022"/>
  </r>
  <r>
    <x v="0"/>
    <x v="3"/>
    <x v="1"/>
    <x v="1"/>
    <x v="1"/>
    <n v="52"/>
    <n v="59"/>
    <n v="65"/>
    <n v="176"/>
    <n v="58.666666666666664"/>
    <s v="F"/>
    <x v="1"/>
    <x v="2"/>
    <n v="736"/>
    <n v="54.578754578754577"/>
  </r>
  <r>
    <x v="1"/>
    <x v="0"/>
    <x v="1"/>
    <x v="0"/>
    <x v="1"/>
    <n v="69"/>
    <n v="77"/>
    <n v="77"/>
    <n v="223"/>
    <n v="74.333333333333329"/>
    <s v="C"/>
    <x v="0"/>
    <x v="0"/>
    <n v="333"/>
    <n v="71.794871794871796"/>
  </r>
  <r>
    <x v="0"/>
    <x v="1"/>
    <x v="4"/>
    <x v="1"/>
    <x v="0"/>
    <n v="53"/>
    <n v="72"/>
    <n v="64"/>
    <n v="189"/>
    <n v="63"/>
    <s v="D"/>
    <x v="0"/>
    <x v="3"/>
    <n v="646"/>
    <n v="59.340659340659343"/>
  </r>
  <r>
    <x v="0"/>
    <x v="3"/>
    <x v="5"/>
    <x v="0"/>
    <x v="0"/>
    <n v="48"/>
    <n v="58"/>
    <n v="54"/>
    <n v="160"/>
    <n v="53.333333333333336"/>
    <s v="F"/>
    <x v="1"/>
    <x v="2"/>
    <n v="837"/>
    <n v="48.717948717948723"/>
  </r>
  <r>
    <x v="1"/>
    <x v="3"/>
    <x v="5"/>
    <x v="0"/>
    <x v="1"/>
    <n v="78"/>
    <n v="81"/>
    <n v="86"/>
    <n v="245"/>
    <n v="81.666666666666671"/>
    <s v="B"/>
    <x v="0"/>
    <x v="0"/>
    <n v="169"/>
    <n v="79.853479853479854"/>
  </r>
  <r>
    <x v="0"/>
    <x v="0"/>
    <x v="4"/>
    <x v="0"/>
    <x v="0"/>
    <n v="62"/>
    <n v="62"/>
    <n v="63"/>
    <n v="187"/>
    <n v="62.333333333333336"/>
    <s v="D"/>
    <x v="0"/>
    <x v="3"/>
    <n v="657"/>
    <n v="58.608058608058613"/>
  </r>
  <r>
    <x v="1"/>
    <x v="3"/>
    <x v="1"/>
    <x v="0"/>
    <x v="0"/>
    <n v="60"/>
    <n v="63"/>
    <n v="59"/>
    <n v="182"/>
    <n v="60.666666666666664"/>
    <s v="D"/>
    <x v="0"/>
    <x v="3"/>
    <n v="693"/>
    <n v="56.776556776556774"/>
  </r>
  <r>
    <x v="0"/>
    <x v="0"/>
    <x v="4"/>
    <x v="0"/>
    <x v="0"/>
    <n v="74"/>
    <n v="72"/>
    <n v="72"/>
    <n v="218"/>
    <n v="72.666666666666671"/>
    <s v="C"/>
    <x v="0"/>
    <x v="0"/>
    <n v="379"/>
    <n v="69.963369963369971"/>
  </r>
  <r>
    <x v="0"/>
    <x v="1"/>
    <x v="4"/>
    <x v="0"/>
    <x v="1"/>
    <n v="58"/>
    <n v="75"/>
    <n v="77"/>
    <n v="210"/>
    <n v="70"/>
    <s v="C"/>
    <x v="0"/>
    <x v="0"/>
    <n v="448"/>
    <n v="67.032967032967022"/>
  </r>
  <r>
    <x v="1"/>
    <x v="0"/>
    <x v="4"/>
    <x v="0"/>
    <x v="1"/>
    <n v="76"/>
    <n v="62"/>
    <n v="60"/>
    <n v="198"/>
    <n v="66"/>
    <s v="D"/>
    <x v="0"/>
    <x v="3"/>
    <n v="562"/>
    <n v="62.637362637362635"/>
  </r>
  <r>
    <x v="0"/>
    <x v="3"/>
    <x v="5"/>
    <x v="0"/>
    <x v="0"/>
    <n v="68"/>
    <n v="71"/>
    <n v="75"/>
    <n v="214"/>
    <n v="71.333333333333329"/>
    <s v="C"/>
    <x v="0"/>
    <x v="0"/>
    <n v="412"/>
    <n v="68.498168498168482"/>
  </r>
  <r>
    <x v="1"/>
    <x v="2"/>
    <x v="1"/>
    <x v="1"/>
    <x v="0"/>
    <n v="58"/>
    <n v="60"/>
    <n v="57"/>
    <n v="175"/>
    <n v="58.333333333333336"/>
    <s v="F"/>
    <x v="1"/>
    <x v="2"/>
    <n v="745"/>
    <n v="54.212454212454219"/>
  </r>
  <r>
    <x v="1"/>
    <x v="0"/>
    <x v="4"/>
    <x v="0"/>
    <x v="0"/>
    <n v="52"/>
    <n v="48"/>
    <n v="49"/>
    <n v="149"/>
    <n v="49.666666666666664"/>
    <s v="F"/>
    <x v="1"/>
    <x v="2"/>
    <n v="898"/>
    <n v="44.688644688644686"/>
  </r>
  <r>
    <x v="1"/>
    <x v="3"/>
    <x v="0"/>
    <x v="0"/>
    <x v="0"/>
    <n v="75"/>
    <n v="73"/>
    <n v="74"/>
    <n v="222"/>
    <n v="74"/>
    <s v="C"/>
    <x v="0"/>
    <x v="0"/>
    <n v="345"/>
    <n v="71.428571428571431"/>
  </r>
  <r>
    <x v="0"/>
    <x v="0"/>
    <x v="5"/>
    <x v="1"/>
    <x v="1"/>
    <n v="52"/>
    <n v="67"/>
    <n v="72"/>
    <n v="191"/>
    <n v="63.666666666666664"/>
    <s v="D"/>
    <x v="0"/>
    <x v="3"/>
    <n v="632"/>
    <n v="60.073260073260073"/>
  </r>
  <r>
    <x v="0"/>
    <x v="1"/>
    <x v="0"/>
    <x v="1"/>
    <x v="0"/>
    <n v="62"/>
    <n v="78"/>
    <n v="79"/>
    <n v="219"/>
    <n v="73"/>
    <s v="C"/>
    <x v="0"/>
    <x v="0"/>
    <n v="367"/>
    <n v="70.329670329670336"/>
  </r>
  <r>
    <x v="1"/>
    <x v="0"/>
    <x v="1"/>
    <x v="0"/>
    <x v="0"/>
    <n v="66"/>
    <n v="65"/>
    <n v="60"/>
    <n v="191"/>
    <n v="63.666666666666664"/>
    <s v="D"/>
    <x v="0"/>
    <x v="3"/>
    <n v="632"/>
    <n v="60.073260073260073"/>
  </r>
  <r>
    <x v="0"/>
    <x v="0"/>
    <x v="5"/>
    <x v="1"/>
    <x v="0"/>
    <n v="49"/>
    <n v="58"/>
    <n v="55"/>
    <n v="162"/>
    <n v="54"/>
    <s v="F"/>
    <x v="1"/>
    <x v="2"/>
    <n v="824"/>
    <n v="49.450549450549453"/>
  </r>
  <r>
    <x v="0"/>
    <x v="0"/>
    <x v="4"/>
    <x v="0"/>
    <x v="0"/>
    <n v="66"/>
    <n v="72"/>
    <n v="70"/>
    <n v="208"/>
    <n v="69.333333333333329"/>
    <s v="D"/>
    <x v="0"/>
    <x v="3"/>
    <n v="465"/>
    <n v="66.300366300366292"/>
  </r>
  <r>
    <x v="0"/>
    <x v="1"/>
    <x v="1"/>
    <x v="1"/>
    <x v="0"/>
    <n v="35"/>
    <n v="44"/>
    <n v="43"/>
    <n v="122"/>
    <n v="40.666666666666664"/>
    <s v="F"/>
    <x v="1"/>
    <x v="2"/>
    <n v="967"/>
    <n v="34.798534798534796"/>
  </r>
  <r>
    <x v="0"/>
    <x v="2"/>
    <x v="1"/>
    <x v="0"/>
    <x v="1"/>
    <n v="72"/>
    <n v="79"/>
    <n v="82"/>
    <n v="233"/>
    <n v="77.666666666666671"/>
    <s v="C"/>
    <x v="0"/>
    <x v="0"/>
    <n v="250"/>
    <n v="75.457875457875474"/>
  </r>
  <r>
    <x v="1"/>
    <x v="4"/>
    <x v="3"/>
    <x v="0"/>
    <x v="1"/>
    <n v="94"/>
    <n v="85"/>
    <n v="82"/>
    <n v="261"/>
    <n v="87"/>
    <s v="B"/>
    <x v="0"/>
    <x v="1"/>
    <n v="83"/>
    <n v="85.714285714285708"/>
  </r>
  <r>
    <x v="0"/>
    <x v="3"/>
    <x v="3"/>
    <x v="1"/>
    <x v="0"/>
    <n v="46"/>
    <n v="56"/>
    <n v="57"/>
    <n v="159"/>
    <n v="53"/>
    <s v="F"/>
    <x v="1"/>
    <x v="2"/>
    <n v="841"/>
    <n v="48.35164835164835"/>
  </r>
  <r>
    <x v="0"/>
    <x v="0"/>
    <x v="2"/>
    <x v="0"/>
    <x v="0"/>
    <n v="77"/>
    <n v="90"/>
    <n v="84"/>
    <n v="251"/>
    <n v="83.666666666666671"/>
    <s v="B"/>
    <x v="0"/>
    <x v="0"/>
    <n v="131"/>
    <n v="82.051282051282058"/>
  </r>
  <r>
    <x v="0"/>
    <x v="0"/>
    <x v="4"/>
    <x v="1"/>
    <x v="1"/>
    <n v="76"/>
    <n v="85"/>
    <n v="82"/>
    <n v="243"/>
    <n v="81"/>
    <s v="B"/>
    <x v="0"/>
    <x v="0"/>
    <n v="178"/>
    <n v="79.120879120879124"/>
  </r>
  <r>
    <x v="0"/>
    <x v="1"/>
    <x v="3"/>
    <x v="0"/>
    <x v="1"/>
    <n v="52"/>
    <n v="59"/>
    <n v="62"/>
    <n v="173"/>
    <n v="57.666666666666664"/>
    <s v="F"/>
    <x v="1"/>
    <x v="2"/>
    <n v="756"/>
    <n v="53.479853479853482"/>
  </r>
  <r>
    <x v="1"/>
    <x v="1"/>
    <x v="0"/>
    <x v="0"/>
    <x v="1"/>
    <n v="91"/>
    <n v="81"/>
    <n v="79"/>
    <n v="251"/>
    <n v="83.666666666666671"/>
    <s v="B"/>
    <x v="0"/>
    <x v="0"/>
    <n v="131"/>
    <n v="82.051282051282058"/>
  </r>
  <r>
    <x v="0"/>
    <x v="0"/>
    <x v="5"/>
    <x v="0"/>
    <x v="1"/>
    <n v="32"/>
    <n v="51"/>
    <n v="44"/>
    <n v="127"/>
    <n v="42.333333333333336"/>
    <s v="F"/>
    <x v="1"/>
    <x v="2"/>
    <n v="962"/>
    <n v="36.630036630036635"/>
  </r>
  <r>
    <x v="0"/>
    <x v="4"/>
    <x v="5"/>
    <x v="1"/>
    <x v="0"/>
    <n v="72"/>
    <n v="79"/>
    <n v="77"/>
    <n v="228"/>
    <n v="76"/>
    <s v="C"/>
    <x v="0"/>
    <x v="0"/>
    <n v="288"/>
    <n v="73.626373626373635"/>
  </r>
  <r>
    <x v="0"/>
    <x v="0"/>
    <x v="1"/>
    <x v="0"/>
    <x v="0"/>
    <n v="19"/>
    <n v="38"/>
    <n v="32"/>
    <n v="89"/>
    <n v="29.666666666666668"/>
    <s v="F"/>
    <x v="1"/>
    <x v="2"/>
    <n v="992"/>
    <n v="22.710622710622712"/>
  </r>
  <r>
    <x v="1"/>
    <x v="1"/>
    <x v="3"/>
    <x v="1"/>
    <x v="0"/>
    <n v="68"/>
    <n v="65"/>
    <n v="61"/>
    <n v="194"/>
    <n v="64.666666666666671"/>
    <s v="D"/>
    <x v="0"/>
    <x v="3"/>
    <n v="602"/>
    <n v="61.172161172161175"/>
  </r>
  <r>
    <x v="0"/>
    <x v="1"/>
    <x v="2"/>
    <x v="1"/>
    <x v="0"/>
    <n v="52"/>
    <n v="65"/>
    <n v="61"/>
    <n v="178"/>
    <n v="59.333333333333336"/>
    <s v="F"/>
    <x v="1"/>
    <x v="2"/>
    <n v="721"/>
    <n v="55.311355311355314"/>
  </r>
  <r>
    <x v="0"/>
    <x v="0"/>
    <x v="4"/>
    <x v="0"/>
    <x v="0"/>
    <n v="48"/>
    <n v="62"/>
    <n v="60"/>
    <n v="170"/>
    <n v="56.666666666666664"/>
    <s v="F"/>
    <x v="1"/>
    <x v="2"/>
    <n v="776"/>
    <n v="52.380952380952387"/>
  </r>
  <r>
    <x v="0"/>
    <x v="3"/>
    <x v="1"/>
    <x v="1"/>
    <x v="0"/>
    <n v="60"/>
    <n v="66"/>
    <n v="70"/>
    <n v="196"/>
    <n v="65.333333333333329"/>
    <s v="D"/>
    <x v="0"/>
    <x v="3"/>
    <n v="584"/>
    <n v="61.904761904761898"/>
  </r>
  <r>
    <x v="1"/>
    <x v="3"/>
    <x v="4"/>
    <x v="1"/>
    <x v="0"/>
    <n v="66"/>
    <n v="74"/>
    <n v="69"/>
    <n v="209"/>
    <n v="69.666666666666671"/>
    <s v="D"/>
    <x v="0"/>
    <x v="3"/>
    <n v="460"/>
    <n v="66.666666666666671"/>
  </r>
  <r>
    <x v="1"/>
    <x v="4"/>
    <x v="5"/>
    <x v="0"/>
    <x v="1"/>
    <n v="89"/>
    <n v="84"/>
    <n v="77"/>
    <n v="250"/>
    <n v="83.333333333333329"/>
    <s v="B"/>
    <x v="0"/>
    <x v="0"/>
    <n v="135"/>
    <n v="81.684981684981679"/>
  </r>
  <r>
    <x v="0"/>
    <x v="0"/>
    <x v="4"/>
    <x v="0"/>
    <x v="0"/>
    <n v="42"/>
    <n v="52"/>
    <n v="51"/>
    <n v="145"/>
    <n v="48.333333333333336"/>
    <s v="F"/>
    <x v="1"/>
    <x v="2"/>
    <n v="915"/>
    <n v="43.223443223443226"/>
  </r>
  <r>
    <x v="0"/>
    <x v="4"/>
    <x v="3"/>
    <x v="1"/>
    <x v="1"/>
    <n v="57"/>
    <n v="68"/>
    <n v="73"/>
    <n v="198"/>
    <n v="66"/>
    <s v="D"/>
    <x v="0"/>
    <x v="3"/>
    <n v="562"/>
    <n v="62.637362637362635"/>
  </r>
  <r>
    <x v="1"/>
    <x v="3"/>
    <x v="4"/>
    <x v="0"/>
    <x v="0"/>
    <n v="70"/>
    <n v="70"/>
    <n v="70"/>
    <n v="210"/>
    <n v="70"/>
    <s v="C"/>
    <x v="0"/>
    <x v="0"/>
    <n v="448"/>
    <n v="67.032967032967022"/>
  </r>
  <r>
    <x v="0"/>
    <x v="4"/>
    <x v="3"/>
    <x v="1"/>
    <x v="0"/>
    <n v="70"/>
    <n v="84"/>
    <n v="81"/>
    <n v="235"/>
    <n v="78.333333333333329"/>
    <s v="C"/>
    <x v="0"/>
    <x v="0"/>
    <n v="231"/>
    <n v="76.19047619047619"/>
  </r>
  <r>
    <x v="1"/>
    <x v="4"/>
    <x v="1"/>
    <x v="0"/>
    <x v="0"/>
    <n v="69"/>
    <n v="60"/>
    <n v="54"/>
    <n v="183"/>
    <n v="61"/>
    <s v="D"/>
    <x v="0"/>
    <x v="3"/>
    <n v="687"/>
    <n v="57.142857142857139"/>
  </r>
  <r>
    <x v="0"/>
    <x v="1"/>
    <x v="3"/>
    <x v="0"/>
    <x v="0"/>
    <n v="52"/>
    <n v="55"/>
    <n v="57"/>
    <n v="164"/>
    <n v="54.666666666666664"/>
    <s v="F"/>
    <x v="1"/>
    <x v="2"/>
    <n v="810"/>
    <n v="50.183150183150182"/>
  </r>
  <r>
    <x v="1"/>
    <x v="1"/>
    <x v="5"/>
    <x v="0"/>
    <x v="1"/>
    <n v="67"/>
    <n v="73"/>
    <n v="68"/>
    <n v="208"/>
    <n v="69.333333333333329"/>
    <s v="D"/>
    <x v="0"/>
    <x v="3"/>
    <n v="465"/>
    <n v="66.300366300366292"/>
  </r>
  <r>
    <x v="1"/>
    <x v="1"/>
    <x v="5"/>
    <x v="0"/>
    <x v="1"/>
    <n v="76"/>
    <n v="80"/>
    <n v="73"/>
    <n v="229"/>
    <n v="76.333333333333329"/>
    <s v="C"/>
    <x v="0"/>
    <x v="0"/>
    <n v="282"/>
    <n v="73.992673992673986"/>
  </r>
  <r>
    <x v="0"/>
    <x v="4"/>
    <x v="3"/>
    <x v="0"/>
    <x v="0"/>
    <n v="87"/>
    <n v="94"/>
    <n v="95"/>
    <n v="276"/>
    <n v="92"/>
    <s v="A"/>
    <x v="0"/>
    <x v="1"/>
    <n v="35"/>
    <n v="91.208791208791212"/>
  </r>
  <r>
    <x v="0"/>
    <x v="0"/>
    <x v="1"/>
    <x v="0"/>
    <x v="0"/>
    <n v="82"/>
    <n v="85"/>
    <n v="87"/>
    <n v="254"/>
    <n v="84.666666666666671"/>
    <s v="B"/>
    <x v="0"/>
    <x v="0"/>
    <n v="117"/>
    <n v="83.150183150183153"/>
  </r>
  <r>
    <x v="0"/>
    <x v="1"/>
    <x v="1"/>
    <x v="0"/>
    <x v="0"/>
    <n v="73"/>
    <n v="76"/>
    <n v="78"/>
    <n v="227"/>
    <n v="75.666666666666671"/>
    <s v="C"/>
    <x v="0"/>
    <x v="0"/>
    <n v="297"/>
    <n v="73.26007326007327"/>
  </r>
  <r>
    <x v="1"/>
    <x v="2"/>
    <x v="1"/>
    <x v="1"/>
    <x v="0"/>
    <n v="75"/>
    <n v="81"/>
    <n v="74"/>
    <n v="230"/>
    <n v="76.666666666666671"/>
    <s v="C"/>
    <x v="0"/>
    <x v="0"/>
    <n v="277"/>
    <n v="74.358974358974365"/>
  </r>
  <r>
    <x v="0"/>
    <x v="3"/>
    <x v="1"/>
    <x v="1"/>
    <x v="0"/>
    <n v="64"/>
    <n v="74"/>
    <n v="75"/>
    <n v="213"/>
    <n v="71"/>
    <s v="C"/>
    <x v="0"/>
    <x v="0"/>
    <n v="424"/>
    <n v="68.131868131868131"/>
  </r>
  <r>
    <x v="0"/>
    <x v="4"/>
    <x v="4"/>
    <x v="1"/>
    <x v="0"/>
    <n v="41"/>
    <n v="45"/>
    <n v="40"/>
    <n v="126"/>
    <n v="42"/>
    <s v="F"/>
    <x v="1"/>
    <x v="2"/>
    <n v="963"/>
    <n v="36.263736263736263"/>
  </r>
  <r>
    <x v="1"/>
    <x v="1"/>
    <x v="4"/>
    <x v="0"/>
    <x v="0"/>
    <n v="90"/>
    <n v="75"/>
    <n v="69"/>
    <n v="234"/>
    <n v="78"/>
    <s v="C"/>
    <x v="0"/>
    <x v="0"/>
    <n v="240"/>
    <n v="75.824175824175825"/>
  </r>
  <r>
    <x v="1"/>
    <x v="0"/>
    <x v="0"/>
    <x v="0"/>
    <x v="0"/>
    <n v="59"/>
    <n v="54"/>
    <n v="51"/>
    <n v="164"/>
    <n v="54.666666666666664"/>
    <s v="F"/>
    <x v="1"/>
    <x v="2"/>
    <n v="810"/>
    <n v="50.183150183150182"/>
  </r>
  <r>
    <x v="1"/>
    <x v="2"/>
    <x v="5"/>
    <x v="0"/>
    <x v="0"/>
    <n v="51"/>
    <n v="31"/>
    <n v="36"/>
    <n v="118"/>
    <n v="39.333333333333336"/>
    <s v="F"/>
    <x v="1"/>
    <x v="2"/>
    <n v="974"/>
    <n v="33.333333333333336"/>
  </r>
  <r>
    <x v="1"/>
    <x v="2"/>
    <x v="4"/>
    <x v="1"/>
    <x v="0"/>
    <n v="45"/>
    <n v="47"/>
    <n v="49"/>
    <n v="141"/>
    <n v="47"/>
    <s v="F"/>
    <x v="1"/>
    <x v="2"/>
    <n v="929"/>
    <n v="41.758241758241759"/>
  </r>
  <r>
    <x v="0"/>
    <x v="1"/>
    <x v="2"/>
    <x v="0"/>
    <x v="1"/>
    <n v="54"/>
    <n v="64"/>
    <n v="67"/>
    <n v="185"/>
    <n v="61.666666666666664"/>
    <s v="D"/>
    <x v="0"/>
    <x v="3"/>
    <n v="671"/>
    <n v="57.875457875457869"/>
  </r>
  <r>
    <x v="1"/>
    <x v="4"/>
    <x v="5"/>
    <x v="0"/>
    <x v="1"/>
    <n v="87"/>
    <n v="84"/>
    <n v="76"/>
    <n v="247"/>
    <n v="82.333333333333329"/>
    <s v="B"/>
    <x v="0"/>
    <x v="0"/>
    <n v="155"/>
    <n v="80.586080586080584"/>
  </r>
  <r>
    <x v="0"/>
    <x v="1"/>
    <x v="4"/>
    <x v="0"/>
    <x v="0"/>
    <n v="72"/>
    <n v="80"/>
    <n v="83"/>
    <n v="235"/>
    <n v="78.333333333333329"/>
    <s v="C"/>
    <x v="0"/>
    <x v="0"/>
    <n v="231"/>
    <n v="76.19047619047619"/>
  </r>
  <r>
    <x v="1"/>
    <x v="0"/>
    <x v="5"/>
    <x v="0"/>
    <x v="1"/>
    <n v="94"/>
    <n v="86"/>
    <n v="87"/>
    <n v="267"/>
    <n v="89"/>
    <s v="B"/>
    <x v="0"/>
    <x v="1"/>
    <n v="59"/>
    <n v="87.912087912087912"/>
  </r>
  <r>
    <x v="0"/>
    <x v="2"/>
    <x v="0"/>
    <x v="0"/>
    <x v="0"/>
    <n v="45"/>
    <n v="59"/>
    <n v="64"/>
    <n v="168"/>
    <n v="56"/>
    <s v="F"/>
    <x v="1"/>
    <x v="2"/>
    <n v="786"/>
    <n v="51.648351648351657"/>
  </r>
  <r>
    <x v="1"/>
    <x v="3"/>
    <x v="0"/>
    <x v="1"/>
    <x v="1"/>
    <n v="61"/>
    <n v="70"/>
    <n v="76"/>
    <n v="207"/>
    <n v="69"/>
    <s v="D"/>
    <x v="0"/>
    <x v="3"/>
    <n v="475"/>
    <n v="65.934065934065927"/>
  </r>
  <r>
    <x v="0"/>
    <x v="0"/>
    <x v="4"/>
    <x v="1"/>
    <x v="0"/>
    <n v="60"/>
    <n v="72"/>
    <n v="68"/>
    <n v="200"/>
    <n v="66.666666666666671"/>
    <s v="D"/>
    <x v="0"/>
    <x v="3"/>
    <n v="549"/>
    <n v="63.369963369963379"/>
  </r>
  <r>
    <x v="0"/>
    <x v="1"/>
    <x v="5"/>
    <x v="0"/>
    <x v="0"/>
    <n v="77"/>
    <n v="91"/>
    <n v="88"/>
    <n v="256"/>
    <n v="85.333333333333329"/>
    <s v="B"/>
    <x v="0"/>
    <x v="1"/>
    <n v="109"/>
    <n v="83.882783882783869"/>
  </r>
  <r>
    <x v="0"/>
    <x v="2"/>
    <x v="5"/>
    <x v="0"/>
    <x v="1"/>
    <n v="85"/>
    <n v="90"/>
    <n v="92"/>
    <n v="267"/>
    <n v="89"/>
    <s v="B"/>
    <x v="0"/>
    <x v="1"/>
    <n v="59"/>
    <n v="87.912087912087912"/>
  </r>
  <r>
    <x v="0"/>
    <x v="3"/>
    <x v="0"/>
    <x v="1"/>
    <x v="0"/>
    <n v="78"/>
    <n v="90"/>
    <n v="93"/>
    <n v="261"/>
    <n v="87"/>
    <s v="B"/>
    <x v="0"/>
    <x v="1"/>
    <n v="83"/>
    <n v="85.714285714285708"/>
  </r>
  <r>
    <x v="1"/>
    <x v="4"/>
    <x v="1"/>
    <x v="1"/>
    <x v="1"/>
    <n v="49"/>
    <n v="52"/>
    <n v="51"/>
    <n v="152"/>
    <n v="50.666666666666664"/>
    <s v="F"/>
    <x v="1"/>
    <x v="2"/>
    <n v="881"/>
    <n v="45.787545787545788"/>
  </r>
  <r>
    <x v="0"/>
    <x v="0"/>
    <x v="4"/>
    <x v="1"/>
    <x v="0"/>
    <n v="71"/>
    <n v="87"/>
    <n v="82"/>
    <n v="240"/>
    <n v="80"/>
    <s v="B"/>
    <x v="0"/>
    <x v="0"/>
    <n v="195"/>
    <n v="78.021978021978029"/>
  </r>
  <r>
    <x v="0"/>
    <x v="1"/>
    <x v="5"/>
    <x v="1"/>
    <x v="0"/>
    <n v="48"/>
    <n v="58"/>
    <n v="52"/>
    <n v="158"/>
    <n v="52.666666666666664"/>
    <s v="F"/>
    <x v="1"/>
    <x v="2"/>
    <n v="843"/>
    <n v="47.985347985347978"/>
  </r>
  <r>
    <x v="1"/>
    <x v="1"/>
    <x v="4"/>
    <x v="0"/>
    <x v="0"/>
    <n v="62"/>
    <n v="67"/>
    <n v="58"/>
    <n v="187"/>
    <n v="62.333333333333336"/>
    <s v="D"/>
    <x v="0"/>
    <x v="3"/>
    <n v="657"/>
    <n v="58.608058608058613"/>
  </r>
  <r>
    <x v="0"/>
    <x v="1"/>
    <x v="3"/>
    <x v="1"/>
    <x v="1"/>
    <n v="56"/>
    <n v="68"/>
    <n v="70"/>
    <n v="194"/>
    <n v="64.666666666666671"/>
    <s v="D"/>
    <x v="0"/>
    <x v="3"/>
    <n v="602"/>
    <n v="61.172161172161175"/>
  </r>
  <r>
    <x v="0"/>
    <x v="1"/>
    <x v="5"/>
    <x v="0"/>
    <x v="0"/>
    <n v="65"/>
    <n v="69"/>
    <n v="76"/>
    <n v="210"/>
    <n v="70"/>
    <s v="C"/>
    <x v="0"/>
    <x v="0"/>
    <n v="448"/>
    <n v="67.032967032967022"/>
  </r>
  <r>
    <x v="0"/>
    <x v="3"/>
    <x v="5"/>
    <x v="1"/>
    <x v="1"/>
    <n v="69"/>
    <n v="86"/>
    <n v="81"/>
    <n v="236"/>
    <n v="78.666666666666671"/>
    <s v="C"/>
    <x v="0"/>
    <x v="0"/>
    <n v="222"/>
    <n v="76.556776556776569"/>
  </r>
  <r>
    <x v="1"/>
    <x v="0"/>
    <x v="5"/>
    <x v="0"/>
    <x v="0"/>
    <n v="68"/>
    <n v="54"/>
    <n v="53"/>
    <n v="175"/>
    <n v="58.333333333333336"/>
    <s v="F"/>
    <x v="1"/>
    <x v="2"/>
    <n v="745"/>
    <n v="54.212454212454219"/>
  </r>
  <r>
    <x v="0"/>
    <x v="2"/>
    <x v="1"/>
    <x v="1"/>
    <x v="0"/>
    <n v="61"/>
    <n v="60"/>
    <n v="57"/>
    <n v="178"/>
    <n v="59.333333333333336"/>
    <s v="F"/>
    <x v="1"/>
    <x v="2"/>
    <n v="721"/>
    <n v="55.311355311355314"/>
  </r>
  <r>
    <x v="0"/>
    <x v="1"/>
    <x v="0"/>
    <x v="1"/>
    <x v="1"/>
    <n v="74"/>
    <n v="86"/>
    <n v="89"/>
    <n v="249"/>
    <n v="83"/>
    <s v="B"/>
    <x v="0"/>
    <x v="0"/>
    <n v="140"/>
    <n v="81.318681318681314"/>
  </r>
  <r>
    <x v="1"/>
    <x v="2"/>
    <x v="0"/>
    <x v="0"/>
    <x v="0"/>
    <n v="64"/>
    <n v="60"/>
    <n v="58"/>
    <n v="182"/>
    <n v="60.666666666666664"/>
    <s v="D"/>
    <x v="0"/>
    <x v="3"/>
    <n v="693"/>
    <n v="56.776556776556774"/>
  </r>
  <r>
    <x v="0"/>
    <x v="0"/>
    <x v="4"/>
    <x v="0"/>
    <x v="1"/>
    <n v="77"/>
    <n v="82"/>
    <n v="89"/>
    <n v="248"/>
    <n v="82.666666666666671"/>
    <s v="B"/>
    <x v="0"/>
    <x v="0"/>
    <n v="149"/>
    <n v="80.952380952380949"/>
  </r>
  <r>
    <x v="1"/>
    <x v="0"/>
    <x v="1"/>
    <x v="0"/>
    <x v="0"/>
    <n v="58"/>
    <n v="50"/>
    <n v="45"/>
    <n v="153"/>
    <n v="51"/>
    <s v="F"/>
    <x v="1"/>
    <x v="2"/>
    <n v="876"/>
    <n v="46.153846153846153"/>
  </r>
  <r>
    <x v="0"/>
    <x v="1"/>
    <x v="4"/>
    <x v="0"/>
    <x v="1"/>
    <n v="60"/>
    <n v="64"/>
    <n v="74"/>
    <n v="198"/>
    <n v="66"/>
    <s v="D"/>
    <x v="0"/>
    <x v="3"/>
    <n v="562"/>
    <n v="62.637362637362635"/>
  </r>
  <r>
    <x v="1"/>
    <x v="4"/>
    <x v="4"/>
    <x v="0"/>
    <x v="0"/>
    <n v="73"/>
    <n v="64"/>
    <n v="57"/>
    <n v="194"/>
    <n v="64.666666666666671"/>
    <s v="D"/>
    <x v="0"/>
    <x v="3"/>
    <n v="602"/>
    <n v="61.172161172161175"/>
  </r>
  <r>
    <x v="0"/>
    <x v="2"/>
    <x v="4"/>
    <x v="0"/>
    <x v="1"/>
    <n v="75"/>
    <n v="82"/>
    <n v="79"/>
    <n v="236"/>
    <n v="78.666666666666671"/>
    <s v="C"/>
    <x v="0"/>
    <x v="0"/>
    <n v="222"/>
    <n v="76.556776556776569"/>
  </r>
  <r>
    <x v="1"/>
    <x v="0"/>
    <x v="3"/>
    <x v="1"/>
    <x v="1"/>
    <n v="58"/>
    <n v="57"/>
    <n v="53"/>
    <n v="168"/>
    <n v="56"/>
    <s v="F"/>
    <x v="1"/>
    <x v="2"/>
    <n v="786"/>
    <n v="51.648351648351657"/>
  </r>
  <r>
    <x v="0"/>
    <x v="1"/>
    <x v="3"/>
    <x v="0"/>
    <x v="0"/>
    <n v="66"/>
    <n v="77"/>
    <n v="73"/>
    <n v="216"/>
    <n v="72"/>
    <s v="C"/>
    <x v="0"/>
    <x v="0"/>
    <n v="395"/>
    <n v="69.230769230769226"/>
  </r>
  <r>
    <x v="0"/>
    <x v="3"/>
    <x v="4"/>
    <x v="1"/>
    <x v="0"/>
    <n v="39"/>
    <n v="52"/>
    <n v="46"/>
    <n v="137"/>
    <n v="45.666666666666664"/>
    <s v="F"/>
    <x v="1"/>
    <x v="2"/>
    <n v="942"/>
    <n v="40.293040293040292"/>
  </r>
  <r>
    <x v="1"/>
    <x v="1"/>
    <x v="5"/>
    <x v="0"/>
    <x v="0"/>
    <n v="64"/>
    <n v="58"/>
    <n v="51"/>
    <n v="173"/>
    <n v="57.666666666666664"/>
    <s v="F"/>
    <x v="1"/>
    <x v="2"/>
    <n v="756"/>
    <n v="53.479853479853482"/>
  </r>
  <r>
    <x v="0"/>
    <x v="0"/>
    <x v="4"/>
    <x v="1"/>
    <x v="1"/>
    <n v="23"/>
    <n v="44"/>
    <n v="36"/>
    <n v="103"/>
    <n v="34.333333333333336"/>
    <s v="F"/>
    <x v="1"/>
    <x v="2"/>
    <n v="985"/>
    <n v="27.838827838827839"/>
  </r>
  <r>
    <x v="1"/>
    <x v="0"/>
    <x v="1"/>
    <x v="1"/>
    <x v="1"/>
    <n v="74"/>
    <n v="77"/>
    <n v="76"/>
    <n v="227"/>
    <n v="75.666666666666671"/>
    <s v="C"/>
    <x v="0"/>
    <x v="0"/>
    <n v="297"/>
    <n v="73.26007326007327"/>
  </r>
  <r>
    <x v="0"/>
    <x v="3"/>
    <x v="5"/>
    <x v="1"/>
    <x v="1"/>
    <n v="40"/>
    <n v="65"/>
    <n v="64"/>
    <n v="169"/>
    <n v="56.333333333333336"/>
    <s v="F"/>
    <x v="1"/>
    <x v="2"/>
    <n v="780"/>
    <n v="52.014652014652022"/>
  </r>
  <r>
    <x v="1"/>
    <x v="4"/>
    <x v="2"/>
    <x v="0"/>
    <x v="0"/>
    <n v="90"/>
    <n v="85"/>
    <n v="84"/>
    <n v="259"/>
    <n v="86.333333333333329"/>
    <s v="B"/>
    <x v="0"/>
    <x v="1"/>
    <n v="93"/>
    <n v="84.981684981684978"/>
  </r>
  <r>
    <x v="1"/>
    <x v="1"/>
    <x v="2"/>
    <x v="0"/>
    <x v="1"/>
    <n v="91"/>
    <n v="85"/>
    <n v="85"/>
    <n v="261"/>
    <n v="87"/>
    <s v="B"/>
    <x v="0"/>
    <x v="1"/>
    <n v="83"/>
    <n v="85.714285714285708"/>
  </r>
  <r>
    <x v="1"/>
    <x v="3"/>
    <x v="4"/>
    <x v="0"/>
    <x v="0"/>
    <n v="64"/>
    <n v="54"/>
    <n v="50"/>
    <n v="168"/>
    <n v="56"/>
    <s v="F"/>
    <x v="1"/>
    <x v="2"/>
    <n v="786"/>
    <n v="51.648351648351657"/>
  </r>
  <r>
    <x v="0"/>
    <x v="1"/>
    <x v="4"/>
    <x v="0"/>
    <x v="0"/>
    <n v="59"/>
    <n v="72"/>
    <n v="68"/>
    <n v="199"/>
    <n v="66.333333333333329"/>
    <s v="D"/>
    <x v="0"/>
    <x v="3"/>
    <n v="557"/>
    <n v="63.003663003663"/>
  </r>
  <r>
    <x v="1"/>
    <x v="3"/>
    <x v="3"/>
    <x v="0"/>
    <x v="0"/>
    <n v="80"/>
    <n v="75"/>
    <n v="69"/>
    <n v="224"/>
    <n v="74.666666666666671"/>
    <s v="C"/>
    <x v="0"/>
    <x v="0"/>
    <n v="325"/>
    <n v="72.161172161172175"/>
  </r>
  <r>
    <x v="1"/>
    <x v="1"/>
    <x v="2"/>
    <x v="0"/>
    <x v="0"/>
    <n v="71"/>
    <n v="67"/>
    <n v="67"/>
    <n v="205"/>
    <n v="68.333333333333329"/>
    <s v="D"/>
    <x v="0"/>
    <x v="3"/>
    <n v="499"/>
    <n v="65.201465201465197"/>
  </r>
  <r>
    <x v="0"/>
    <x v="2"/>
    <x v="4"/>
    <x v="0"/>
    <x v="0"/>
    <n v="61"/>
    <n v="68"/>
    <n v="63"/>
    <n v="192"/>
    <n v="64"/>
    <s v="D"/>
    <x v="0"/>
    <x v="3"/>
    <n v="623"/>
    <n v="60.439560439560438"/>
  </r>
  <r>
    <x v="0"/>
    <x v="4"/>
    <x v="1"/>
    <x v="0"/>
    <x v="0"/>
    <n v="87"/>
    <n v="85"/>
    <n v="93"/>
    <n v="265"/>
    <n v="88.333333333333329"/>
    <s v="B"/>
    <x v="0"/>
    <x v="1"/>
    <n v="69"/>
    <n v="87.179487179487168"/>
  </r>
  <r>
    <x v="1"/>
    <x v="4"/>
    <x v="5"/>
    <x v="0"/>
    <x v="0"/>
    <n v="82"/>
    <n v="67"/>
    <n v="61"/>
    <n v="210"/>
    <n v="70"/>
    <s v="C"/>
    <x v="0"/>
    <x v="0"/>
    <n v="448"/>
    <n v="67.032967032967022"/>
  </r>
  <r>
    <x v="1"/>
    <x v="1"/>
    <x v="5"/>
    <x v="0"/>
    <x v="0"/>
    <n v="62"/>
    <n v="64"/>
    <n v="55"/>
    <n v="181"/>
    <n v="60.333333333333336"/>
    <s v="D"/>
    <x v="0"/>
    <x v="3"/>
    <n v="700"/>
    <n v="56.410256410256409"/>
  </r>
  <r>
    <x v="0"/>
    <x v="0"/>
    <x v="0"/>
    <x v="0"/>
    <x v="0"/>
    <n v="97"/>
    <n v="97"/>
    <n v="96"/>
    <n v="290"/>
    <n v="96.666666666666671"/>
    <s v="A"/>
    <x v="0"/>
    <x v="1"/>
    <n v="16"/>
    <n v="96.336996336996336"/>
  </r>
  <r>
    <x v="1"/>
    <x v="0"/>
    <x v="1"/>
    <x v="1"/>
    <x v="0"/>
    <n v="75"/>
    <n v="68"/>
    <n v="65"/>
    <n v="208"/>
    <n v="69.333333333333329"/>
    <s v="D"/>
    <x v="0"/>
    <x v="3"/>
    <n v="465"/>
    <n v="66.300366300366292"/>
  </r>
  <r>
    <x v="0"/>
    <x v="1"/>
    <x v="0"/>
    <x v="0"/>
    <x v="0"/>
    <n v="65"/>
    <n v="79"/>
    <n v="81"/>
    <n v="225"/>
    <n v="75"/>
    <s v="C"/>
    <x v="0"/>
    <x v="0"/>
    <n v="314"/>
    <n v="72.527472527472526"/>
  </r>
  <r>
    <x v="1"/>
    <x v="0"/>
    <x v="4"/>
    <x v="0"/>
    <x v="1"/>
    <n v="52"/>
    <n v="49"/>
    <n v="46"/>
    <n v="147"/>
    <n v="49"/>
    <s v="F"/>
    <x v="1"/>
    <x v="2"/>
    <n v="905"/>
    <n v="43.956043956043956"/>
  </r>
  <r>
    <x v="1"/>
    <x v="1"/>
    <x v="3"/>
    <x v="1"/>
    <x v="0"/>
    <n v="87"/>
    <n v="73"/>
    <n v="72"/>
    <n v="232"/>
    <n v="77.333333333333329"/>
    <s v="C"/>
    <x v="0"/>
    <x v="0"/>
    <n v="255"/>
    <n v="75.091575091575095"/>
  </r>
  <r>
    <x v="0"/>
    <x v="1"/>
    <x v="3"/>
    <x v="0"/>
    <x v="0"/>
    <n v="53"/>
    <n v="62"/>
    <n v="53"/>
    <n v="168"/>
    <n v="56"/>
    <s v="F"/>
    <x v="1"/>
    <x v="2"/>
    <n v="786"/>
    <n v="51.648351648351657"/>
  </r>
  <r>
    <x v="0"/>
    <x v="4"/>
    <x v="2"/>
    <x v="1"/>
    <x v="0"/>
    <n v="81"/>
    <n v="86"/>
    <n v="87"/>
    <n v="254"/>
    <n v="84.666666666666671"/>
    <s v="B"/>
    <x v="0"/>
    <x v="0"/>
    <n v="117"/>
    <n v="83.150183150183153"/>
  </r>
  <r>
    <x v="1"/>
    <x v="3"/>
    <x v="0"/>
    <x v="1"/>
    <x v="1"/>
    <n v="39"/>
    <n v="42"/>
    <n v="38"/>
    <n v="119"/>
    <n v="39.666666666666664"/>
    <s v="F"/>
    <x v="1"/>
    <x v="2"/>
    <n v="971"/>
    <n v="33.699633699633694"/>
  </r>
  <r>
    <x v="0"/>
    <x v="1"/>
    <x v="1"/>
    <x v="0"/>
    <x v="1"/>
    <n v="71"/>
    <n v="71"/>
    <n v="80"/>
    <n v="222"/>
    <n v="74"/>
    <s v="C"/>
    <x v="0"/>
    <x v="0"/>
    <n v="345"/>
    <n v="71.428571428571431"/>
  </r>
  <r>
    <x v="1"/>
    <x v="1"/>
    <x v="3"/>
    <x v="0"/>
    <x v="0"/>
    <n v="97"/>
    <n v="93"/>
    <n v="91"/>
    <n v="281"/>
    <n v="93.666666666666671"/>
    <s v="A"/>
    <x v="0"/>
    <x v="1"/>
    <n v="27"/>
    <n v="93.040293040293037"/>
  </r>
  <r>
    <x v="1"/>
    <x v="3"/>
    <x v="1"/>
    <x v="0"/>
    <x v="1"/>
    <n v="82"/>
    <n v="82"/>
    <n v="88"/>
    <n v="252"/>
    <n v="84"/>
    <s v="B"/>
    <x v="0"/>
    <x v="0"/>
    <n v="123"/>
    <n v="82.417582417582409"/>
  </r>
  <r>
    <x v="1"/>
    <x v="1"/>
    <x v="4"/>
    <x v="1"/>
    <x v="0"/>
    <n v="59"/>
    <n v="53"/>
    <n v="52"/>
    <n v="164"/>
    <n v="54.666666666666664"/>
    <s v="F"/>
    <x v="1"/>
    <x v="2"/>
    <n v="810"/>
    <n v="50.183150183150182"/>
  </r>
  <r>
    <x v="1"/>
    <x v="0"/>
    <x v="3"/>
    <x v="0"/>
    <x v="0"/>
    <n v="61"/>
    <n v="42"/>
    <n v="41"/>
    <n v="144"/>
    <n v="48"/>
    <s v="F"/>
    <x v="1"/>
    <x v="2"/>
    <n v="921"/>
    <n v="42.857142857142854"/>
  </r>
  <r>
    <x v="1"/>
    <x v="4"/>
    <x v="3"/>
    <x v="1"/>
    <x v="1"/>
    <n v="78"/>
    <n v="74"/>
    <n v="72"/>
    <n v="224"/>
    <n v="74.666666666666671"/>
    <s v="C"/>
    <x v="0"/>
    <x v="0"/>
    <n v="325"/>
    <n v="72.161172161172175"/>
  </r>
  <r>
    <x v="1"/>
    <x v="1"/>
    <x v="3"/>
    <x v="1"/>
    <x v="0"/>
    <n v="49"/>
    <n v="51"/>
    <n v="51"/>
    <n v="151"/>
    <n v="50.333333333333336"/>
    <s v="F"/>
    <x v="1"/>
    <x v="2"/>
    <n v="884"/>
    <n v="45.421245421245423"/>
  </r>
  <r>
    <x v="1"/>
    <x v="0"/>
    <x v="4"/>
    <x v="0"/>
    <x v="0"/>
    <n v="59"/>
    <n v="58"/>
    <n v="47"/>
    <n v="164"/>
    <n v="54.666666666666664"/>
    <s v="F"/>
    <x v="1"/>
    <x v="2"/>
    <n v="810"/>
    <n v="50.183150183150182"/>
  </r>
  <r>
    <x v="0"/>
    <x v="1"/>
    <x v="1"/>
    <x v="0"/>
    <x v="1"/>
    <n v="70"/>
    <n v="72"/>
    <n v="76"/>
    <n v="218"/>
    <n v="72.666666666666671"/>
    <s v="C"/>
    <x v="0"/>
    <x v="0"/>
    <n v="379"/>
    <n v="69.963369963369971"/>
  </r>
  <r>
    <x v="1"/>
    <x v="0"/>
    <x v="3"/>
    <x v="0"/>
    <x v="1"/>
    <n v="82"/>
    <n v="84"/>
    <n v="78"/>
    <n v="244"/>
    <n v="81.333333333333329"/>
    <s v="B"/>
    <x v="0"/>
    <x v="0"/>
    <n v="173"/>
    <n v="79.487179487179489"/>
  </r>
  <r>
    <x v="1"/>
    <x v="4"/>
    <x v="3"/>
    <x v="1"/>
    <x v="0"/>
    <n v="90"/>
    <n v="90"/>
    <n v="82"/>
    <n v="262"/>
    <n v="87.333333333333329"/>
    <s v="B"/>
    <x v="0"/>
    <x v="1"/>
    <n v="78"/>
    <n v="86.080586080586073"/>
  </r>
  <r>
    <x v="0"/>
    <x v="1"/>
    <x v="0"/>
    <x v="1"/>
    <x v="0"/>
    <n v="43"/>
    <n v="62"/>
    <n v="61"/>
    <n v="166"/>
    <n v="55.333333333333336"/>
    <s v="F"/>
    <x v="1"/>
    <x v="2"/>
    <n v="803"/>
    <n v="50.915750915750927"/>
  </r>
  <r>
    <x v="1"/>
    <x v="1"/>
    <x v="1"/>
    <x v="1"/>
    <x v="0"/>
    <n v="80"/>
    <n v="64"/>
    <n v="66"/>
    <n v="210"/>
    <n v="70"/>
    <s v="C"/>
    <x v="0"/>
    <x v="0"/>
    <n v="448"/>
    <n v="67.032967032967022"/>
  </r>
  <r>
    <x v="1"/>
    <x v="3"/>
    <x v="1"/>
    <x v="0"/>
    <x v="0"/>
    <n v="81"/>
    <n v="82"/>
    <n v="84"/>
    <n v="247"/>
    <n v="82.333333333333329"/>
    <s v="B"/>
    <x v="0"/>
    <x v="0"/>
    <n v="155"/>
    <n v="80.586080586080584"/>
  </r>
  <r>
    <x v="1"/>
    <x v="1"/>
    <x v="5"/>
    <x v="0"/>
    <x v="0"/>
    <n v="57"/>
    <n v="61"/>
    <n v="54"/>
    <n v="172"/>
    <n v="57.333333333333336"/>
    <s v="F"/>
    <x v="1"/>
    <x v="2"/>
    <n v="764"/>
    <n v="53.113553113553117"/>
  </r>
  <r>
    <x v="0"/>
    <x v="3"/>
    <x v="5"/>
    <x v="0"/>
    <x v="0"/>
    <n v="59"/>
    <n v="72"/>
    <n v="80"/>
    <n v="211"/>
    <n v="70.333333333333329"/>
    <s v="C"/>
    <x v="0"/>
    <x v="0"/>
    <n v="440"/>
    <n v="67.399267399267387"/>
  </r>
  <r>
    <x v="0"/>
    <x v="3"/>
    <x v="3"/>
    <x v="0"/>
    <x v="0"/>
    <n v="64"/>
    <n v="76"/>
    <n v="74"/>
    <n v="214"/>
    <n v="71.333333333333329"/>
    <s v="C"/>
    <x v="0"/>
    <x v="0"/>
    <n v="412"/>
    <n v="68.498168498168482"/>
  </r>
  <r>
    <x v="1"/>
    <x v="1"/>
    <x v="0"/>
    <x v="0"/>
    <x v="1"/>
    <n v="63"/>
    <n v="64"/>
    <n v="66"/>
    <n v="193"/>
    <n v="64.333333333333329"/>
    <s v="D"/>
    <x v="0"/>
    <x v="3"/>
    <n v="613"/>
    <n v="60.805860805860803"/>
  </r>
  <r>
    <x v="0"/>
    <x v="4"/>
    <x v="0"/>
    <x v="0"/>
    <x v="1"/>
    <n v="71"/>
    <n v="70"/>
    <n v="70"/>
    <n v="211"/>
    <n v="70.333333333333329"/>
    <s v="C"/>
    <x v="0"/>
    <x v="0"/>
    <n v="440"/>
    <n v="67.399267399267387"/>
  </r>
  <r>
    <x v="0"/>
    <x v="0"/>
    <x v="4"/>
    <x v="1"/>
    <x v="0"/>
    <n v="64"/>
    <n v="73"/>
    <n v="71"/>
    <n v="208"/>
    <n v="69.333333333333329"/>
    <s v="D"/>
    <x v="0"/>
    <x v="3"/>
    <n v="465"/>
    <n v="66.300366300366292"/>
  </r>
  <r>
    <x v="1"/>
    <x v="3"/>
    <x v="0"/>
    <x v="1"/>
    <x v="0"/>
    <n v="55"/>
    <n v="46"/>
    <n v="44"/>
    <n v="145"/>
    <n v="48.333333333333336"/>
    <s v="F"/>
    <x v="1"/>
    <x v="2"/>
    <n v="915"/>
    <n v="43.223443223443226"/>
  </r>
  <r>
    <x v="0"/>
    <x v="4"/>
    <x v="3"/>
    <x v="0"/>
    <x v="0"/>
    <n v="51"/>
    <n v="51"/>
    <n v="54"/>
    <n v="156"/>
    <n v="52"/>
    <s v="F"/>
    <x v="1"/>
    <x v="2"/>
    <n v="855"/>
    <n v="47.252747252747248"/>
  </r>
  <r>
    <x v="0"/>
    <x v="1"/>
    <x v="3"/>
    <x v="0"/>
    <x v="1"/>
    <n v="62"/>
    <n v="76"/>
    <n v="80"/>
    <n v="218"/>
    <n v="72.666666666666671"/>
    <s v="C"/>
    <x v="0"/>
    <x v="0"/>
    <n v="379"/>
    <n v="69.963369963369971"/>
  </r>
  <r>
    <x v="0"/>
    <x v="4"/>
    <x v="3"/>
    <x v="0"/>
    <x v="1"/>
    <n v="93"/>
    <n v="100"/>
    <n v="95"/>
    <n v="288"/>
    <n v="96"/>
    <s v="A"/>
    <x v="0"/>
    <x v="1"/>
    <n v="20"/>
    <n v="95.604395604395606"/>
  </r>
  <r>
    <x v="1"/>
    <x v="1"/>
    <x v="4"/>
    <x v="1"/>
    <x v="0"/>
    <n v="54"/>
    <n v="72"/>
    <n v="59"/>
    <n v="185"/>
    <n v="61.666666666666664"/>
    <s v="D"/>
    <x v="0"/>
    <x v="3"/>
    <n v="671"/>
    <n v="57.875457875457869"/>
  </r>
  <r>
    <x v="0"/>
    <x v="3"/>
    <x v="1"/>
    <x v="1"/>
    <x v="0"/>
    <n v="69"/>
    <n v="65"/>
    <n v="74"/>
    <n v="208"/>
    <n v="69.333333333333329"/>
    <s v="D"/>
    <x v="0"/>
    <x v="3"/>
    <n v="465"/>
    <n v="66.300366300366292"/>
  </r>
  <r>
    <x v="1"/>
    <x v="3"/>
    <x v="4"/>
    <x v="1"/>
    <x v="0"/>
    <n v="44"/>
    <n v="51"/>
    <n v="48"/>
    <n v="143"/>
    <n v="47.666666666666664"/>
    <s v="F"/>
    <x v="1"/>
    <x v="2"/>
    <n v="925"/>
    <n v="42.490842490842489"/>
  </r>
  <r>
    <x v="0"/>
    <x v="4"/>
    <x v="1"/>
    <x v="0"/>
    <x v="1"/>
    <n v="86"/>
    <n v="85"/>
    <n v="91"/>
    <n v="262"/>
    <n v="87.333333333333329"/>
    <s v="B"/>
    <x v="0"/>
    <x v="1"/>
    <n v="78"/>
    <n v="86.080586080586073"/>
  </r>
  <r>
    <x v="0"/>
    <x v="4"/>
    <x v="3"/>
    <x v="0"/>
    <x v="0"/>
    <n v="85"/>
    <n v="92"/>
    <n v="85"/>
    <n v="262"/>
    <n v="87.333333333333329"/>
    <s v="B"/>
    <x v="0"/>
    <x v="1"/>
    <n v="78"/>
    <n v="86.080586080586073"/>
  </r>
  <r>
    <x v="0"/>
    <x v="2"/>
    <x v="2"/>
    <x v="1"/>
    <x v="0"/>
    <n v="50"/>
    <n v="67"/>
    <n v="73"/>
    <n v="190"/>
    <n v="63.333333333333336"/>
    <s v="D"/>
    <x v="0"/>
    <x v="3"/>
    <n v="641"/>
    <n v="59.706959706959708"/>
  </r>
  <r>
    <x v="1"/>
    <x v="3"/>
    <x v="5"/>
    <x v="0"/>
    <x v="1"/>
    <n v="88"/>
    <n v="74"/>
    <n v="75"/>
    <n v="237"/>
    <n v="79"/>
    <s v="C"/>
    <x v="0"/>
    <x v="0"/>
    <n v="215"/>
    <n v="76.923076923076934"/>
  </r>
  <r>
    <x v="0"/>
    <x v="4"/>
    <x v="3"/>
    <x v="0"/>
    <x v="0"/>
    <n v="59"/>
    <n v="62"/>
    <n v="69"/>
    <n v="190"/>
    <n v="63.333333333333336"/>
    <s v="D"/>
    <x v="0"/>
    <x v="3"/>
    <n v="641"/>
    <n v="59.706959706959708"/>
  </r>
  <r>
    <x v="0"/>
    <x v="4"/>
    <x v="5"/>
    <x v="1"/>
    <x v="0"/>
    <n v="32"/>
    <n v="34"/>
    <n v="38"/>
    <n v="104"/>
    <n v="34.666666666666664"/>
    <s v="F"/>
    <x v="1"/>
    <x v="2"/>
    <n v="983"/>
    <n v="28.205128205128204"/>
  </r>
  <r>
    <x v="1"/>
    <x v="0"/>
    <x v="4"/>
    <x v="1"/>
    <x v="0"/>
    <n v="36"/>
    <n v="29"/>
    <n v="27"/>
    <n v="92"/>
    <n v="30.666666666666668"/>
    <s v="F"/>
    <x v="1"/>
    <x v="2"/>
    <n v="990"/>
    <n v="23.80952380952381"/>
  </r>
  <r>
    <x v="0"/>
    <x v="0"/>
    <x v="5"/>
    <x v="1"/>
    <x v="1"/>
    <n v="63"/>
    <n v="78"/>
    <n v="79"/>
    <n v="220"/>
    <n v="73.333333333333329"/>
    <s v="C"/>
    <x v="0"/>
    <x v="0"/>
    <n v="356"/>
    <n v="70.695970695970686"/>
  </r>
  <r>
    <x v="1"/>
    <x v="3"/>
    <x v="3"/>
    <x v="0"/>
    <x v="1"/>
    <n v="67"/>
    <n v="54"/>
    <n v="63"/>
    <n v="184"/>
    <n v="61.333333333333336"/>
    <s v="D"/>
    <x v="0"/>
    <x v="3"/>
    <n v="678"/>
    <n v="57.509157509157518"/>
  </r>
  <r>
    <x v="0"/>
    <x v="3"/>
    <x v="5"/>
    <x v="0"/>
    <x v="1"/>
    <n v="65"/>
    <n v="78"/>
    <n v="82"/>
    <n v="225"/>
    <n v="75"/>
    <s v="C"/>
    <x v="0"/>
    <x v="0"/>
    <n v="314"/>
    <n v="72.527472527472526"/>
  </r>
  <r>
    <x v="1"/>
    <x v="3"/>
    <x v="2"/>
    <x v="0"/>
    <x v="0"/>
    <n v="85"/>
    <n v="84"/>
    <n v="89"/>
    <n v="258"/>
    <n v="86"/>
    <s v="B"/>
    <x v="0"/>
    <x v="1"/>
    <n v="99"/>
    <n v="84.615384615384613"/>
  </r>
  <r>
    <x v="0"/>
    <x v="1"/>
    <x v="2"/>
    <x v="0"/>
    <x v="0"/>
    <n v="73"/>
    <n v="78"/>
    <n v="74"/>
    <n v="225"/>
    <n v="75"/>
    <s v="C"/>
    <x v="0"/>
    <x v="0"/>
    <n v="314"/>
    <n v="72.527472527472526"/>
  </r>
  <r>
    <x v="0"/>
    <x v="2"/>
    <x v="4"/>
    <x v="1"/>
    <x v="1"/>
    <n v="34"/>
    <n v="48"/>
    <n v="41"/>
    <n v="123"/>
    <n v="41"/>
    <s v="F"/>
    <x v="1"/>
    <x v="2"/>
    <n v="965"/>
    <n v="35.164835164835168"/>
  </r>
  <r>
    <x v="0"/>
    <x v="3"/>
    <x v="0"/>
    <x v="1"/>
    <x v="1"/>
    <n v="93"/>
    <n v="100"/>
    <n v="100"/>
    <n v="293"/>
    <n v="97.666666666666671"/>
    <s v="A"/>
    <x v="0"/>
    <x v="1"/>
    <n v="9"/>
    <n v="97.435897435897445"/>
  </r>
  <r>
    <x v="0"/>
    <x v="3"/>
    <x v="5"/>
    <x v="1"/>
    <x v="0"/>
    <n v="67"/>
    <n v="84"/>
    <n v="84"/>
    <n v="235"/>
    <n v="78.333333333333329"/>
    <s v="C"/>
    <x v="0"/>
    <x v="0"/>
    <n v="231"/>
    <n v="76.19047619047619"/>
  </r>
  <r>
    <x v="1"/>
    <x v="3"/>
    <x v="1"/>
    <x v="0"/>
    <x v="0"/>
    <n v="88"/>
    <n v="77"/>
    <n v="77"/>
    <n v="242"/>
    <n v="80.666666666666671"/>
    <s v="B"/>
    <x v="0"/>
    <x v="0"/>
    <n v="180"/>
    <n v="78.754578754578759"/>
  </r>
  <r>
    <x v="1"/>
    <x v="0"/>
    <x v="4"/>
    <x v="0"/>
    <x v="0"/>
    <n v="57"/>
    <n v="48"/>
    <n v="51"/>
    <n v="156"/>
    <n v="52"/>
    <s v="F"/>
    <x v="1"/>
    <x v="2"/>
    <n v="855"/>
    <n v="47.252747252747248"/>
  </r>
  <r>
    <x v="0"/>
    <x v="3"/>
    <x v="1"/>
    <x v="0"/>
    <x v="1"/>
    <n v="79"/>
    <n v="84"/>
    <n v="91"/>
    <n v="254"/>
    <n v="84.666666666666671"/>
    <s v="B"/>
    <x v="0"/>
    <x v="0"/>
    <n v="117"/>
    <n v="83.150183150183153"/>
  </r>
  <r>
    <x v="0"/>
    <x v="1"/>
    <x v="0"/>
    <x v="1"/>
    <x v="0"/>
    <n v="67"/>
    <n v="75"/>
    <n v="72"/>
    <n v="214"/>
    <n v="71.333333333333329"/>
    <s v="C"/>
    <x v="0"/>
    <x v="0"/>
    <n v="412"/>
    <n v="68.498168498168482"/>
  </r>
  <r>
    <x v="1"/>
    <x v="4"/>
    <x v="0"/>
    <x v="0"/>
    <x v="1"/>
    <n v="70"/>
    <n v="64"/>
    <n v="70"/>
    <n v="204"/>
    <n v="68"/>
    <s v="D"/>
    <x v="0"/>
    <x v="3"/>
    <n v="512"/>
    <n v="64.835164835164832"/>
  </r>
  <r>
    <x v="1"/>
    <x v="3"/>
    <x v="0"/>
    <x v="1"/>
    <x v="0"/>
    <n v="50"/>
    <n v="42"/>
    <n v="48"/>
    <n v="140"/>
    <n v="46.666666666666664"/>
    <s v="F"/>
    <x v="1"/>
    <x v="2"/>
    <n v="930"/>
    <n v="41.391941391941387"/>
  </r>
  <r>
    <x v="0"/>
    <x v="2"/>
    <x v="1"/>
    <x v="0"/>
    <x v="0"/>
    <n v="69"/>
    <n v="84"/>
    <n v="82"/>
    <n v="235"/>
    <n v="78.333333333333329"/>
    <s v="C"/>
    <x v="0"/>
    <x v="0"/>
    <n v="231"/>
    <n v="76.19047619047619"/>
  </r>
  <r>
    <x v="0"/>
    <x v="1"/>
    <x v="0"/>
    <x v="0"/>
    <x v="1"/>
    <n v="52"/>
    <n v="61"/>
    <n v="66"/>
    <n v="179"/>
    <n v="59.666666666666664"/>
    <s v="F"/>
    <x v="1"/>
    <x v="2"/>
    <n v="716"/>
    <n v="55.677655677655679"/>
  </r>
  <r>
    <x v="0"/>
    <x v="1"/>
    <x v="0"/>
    <x v="1"/>
    <x v="1"/>
    <n v="47"/>
    <n v="62"/>
    <n v="66"/>
    <n v="175"/>
    <n v="58.333333333333336"/>
    <s v="F"/>
    <x v="1"/>
    <x v="2"/>
    <n v="745"/>
    <n v="54.212454212454219"/>
  </r>
  <r>
    <x v="0"/>
    <x v="0"/>
    <x v="3"/>
    <x v="1"/>
    <x v="0"/>
    <n v="46"/>
    <n v="61"/>
    <n v="55"/>
    <n v="162"/>
    <n v="54"/>
    <s v="F"/>
    <x v="1"/>
    <x v="2"/>
    <n v="824"/>
    <n v="49.450549450549453"/>
  </r>
  <r>
    <x v="0"/>
    <x v="4"/>
    <x v="1"/>
    <x v="0"/>
    <x v="0"/>
    <n v="68"/>
    <n v="70"/>
    <n v="66"/>
    <n v="204"/>
    <n v="68"/>
    <s v="D"/>
    <x v="0"/>
    <x v="3"/>
    <n v="512"/>
    <n v="64.835164835164832"/>
  </r>
  <r>
    <x v="1"/>
    <x v="4"/>
    <x v="0"/>
    <x v="0"/>
    <x v="1"/>
    <n v="100"/>
    <n v="100"/>
    <n v="100"/>
    <n v="300"/>
    <n v="100"/>
    <s v="A"/>
    <x v="0"/>
    <x v="1"/>
    <n v="1"/>
    <n v="100"/>
  </r>
  <r>
    <x v="0"/>
    <x v="1"/>
    <x v="4"/>
    <x v="0"/>
    <x v="0"/>
    <n v="44"/>
    <n v="61"/>
    <n v="52"/>
    <n v="157"/>
    <n v="52.333333333333336"/>
    <s v="F"/>
    <x v="1"/>
    <x v="2"/>
    <n v="850"/>
    <n v="47.61904761904762"/>
  </r>
  <r>
    <x v="0"/>
    <x v="1"/>
    <x v="3"/>
    <x v="0"/>
    <x v="1"/>
    <n v="57"/>
    <n v="77"/>
    <n v="80"/>
    <n v="214"/>
    <n v="71.333333333333329"/>
    <s v="C"/>
    <x v="0"/>
    <x v="0"/>
    <n v="412"/>
    <n v="68.498168498168482"/>
  </r>
  <r>
    <x v="1"/>
    <x v="0"/>
    <x v="1"/>
    <x v="0"/>
    <x v="1"/>
    <n v="91"/>
    <n v="96"/>
    <n v="91"/>
    <n v="278"/>
    <n v="92.666666666666671"/>
    <s v="A"/>
    <x v="0"/>
    <x v="1"/>
    <n v="31"/>
    <n v="91.941391941391942"/>
  </r>
  <r>
    <x v="1"/>
    <x v="3"/>
    <x v="4"/>
    <x v="1"/>
    <x v="0"/>
    <n v="69"/>
    <n v="70"/>
    <n v="67"/>
    <n v="206"/>
    <n v="68.666666666666671"/>
    <s v="D"/>
    <x v="0"/>
    <x v="3"/>
    <n v="487"/>
    <n v="65.567765567765562"/>
  </r>
  <r>
    <x v="0"/>
    <x v="1"/>
    <x v="4"/>
    <x v="1"/>
    <x v="0"/>
    <n v="35"/>
    <n v="53"/>
    <n v="46"/>
    <n v="134"/>
    <n v="44.666666666666664"/>
    <s v="F"/>
    <x v="1"/>
    <x v="2"/>
    <n v="947"/>
    <n v="39.194139194139197"/>
  </r>
  <r>
    <x v="1"/>
    <x v="3"/>
    <x v="4"/>
    <x v="0"/>
    <x v="0"/>
    <n v="72"/>
    <n v="66"/>
    <n v="66"/>
    <n v="204"/>
    <n v="68"/>
    <s v="D"/>
    <x v="0"/>
    <x v="3"/>
    <n v="512"/>
    <n v="64.835164835164832"/>
  </r>
  <r>
    <x v="0"/>
    <x v="0"/>
    <x v="3"/>
    <x v="1"/>
    <x v="0"/>
    <n v="54"/>
    <n v="65"/>
    <n v="65"/>
    <n v="184"/>
    <n v="61.333333333333336"/>
    <s v="D"/>
    <x v="0"/>
    <x v="3"/>
    <n v="678"/>
    <n v="57.509157509157518"/>
  </r>
  <r>
    <x v="1"/>
    <x v="3"/>
    <x v="4"/>
    <x v="1"/>
    <x v="0"/>
    <n v="74"/>
    <n v="70"/>
    <n v="69"/>
    <n v="213"/>
    <n v="71"/>
    <s v="C"/>
    <x v="0"/>
    <x v="0"/>
    <n v="424"/>
    <n v="68.131868131868131"/>
  </r>
  <r>
    <x v="1"/>
    <x v="4"/>
    <x v="5"/>
    <x v="0"/>
    <x v="1"/>
    <n v="74"/>
    <n v="64"/>
    <n v="60"/>
    <n v="198"/>
    <n v="66"/>
    <s v="D"/>
    <x v="0"/>
    <x v="3"/>
    <n v="562"/>
    <n v="62.637362637362635"/>
  </r>
  <r>
    <x v="1"/>
    <x v="4"/>
    <x v="3"/>
    <x v="1"/>
    <x v="0"/>
    <n v="64"/>
    <n v="56"/>
    <n v="52"/>
    <n v="172"/>
    <n v="57.333333333333336"/>
    <s v="F"/>
    <x v="1"/>
    <x v="2"/>
    <n v="764"/>
    <n v="53.113553113553117"/>
  </r>
  <r>
    <x v="0"/>
    <x v="3"/>
    <x v="4"/>
    <x v="1"/>
    <x v="1"/>
    <n v="65"/>
    <n v="61"/>
    <n v="71"/>
    <n v="197"/>
    <n v="65.666666666666671"/>
    <s v="D"/>
    <x v="0"/>
    <x v="3"/>
    <n v="576"/>
    <n v="62.27106227106227"/>
  </r>
  <r>
    <x v="1"/>
    <x v="4"/>
    <x v="3"/>
    <x v="1"/>
    <x v="1"/>
    <n v="46"/>
    <n v="43"/>
    <n v="44"/>
    <n v="133"/>
    <n v="44.333333333333336"/>
    <s v="F"/>
    <x v="1"/>
    <x v="2"/>
    <n v="951"/>
    <n v="38.827838827838832"/>
  </r>
  <r>
    <x v="0"/>
    <x v="1"/>
    <x v="5"/>
    <x v="1"/>
    <x v="0"/>
    <n v="48"/>
    <n v="56"/>
    <n v="51"/>
    <n v="155"/>
    <n v="51.666666666666664"/>
    <s v="F"/>
    <x v="1"/>
    <x v="2"/>
    <n v="860"/>
    <n v="46.886446886446883"/>
  </r>
  <r>
    <x v="1"/>
    <x v="1"/>
    <x v="1"/>
    <x v="1"/>
    <x v="1"/>
    <n v="67"/>
    <n v="74"/>
    <n v="70"/>
    <n v="211"/>
    <n v="70.333333333333329"/>
    <s v="C"/>
    <x v="0"/>
    <x v="0"/>
    <n v="440"/>
    <n v="67.399267399267387"/>
  </r>
  <r>
    <x v="1"/>
    <x v="3"/>
    <x v="1"/>
    <x v="1"/>
    <x v="0"/>
    <n v="62"/>
    <n v="57"/>
    <n v="62"/>
    <n v="181"/>
    <n v="60.333333333333336"/>
    <s v="D"/>
    <x v="0"/>
    <x v="3"/>
    <n v="700"/>
    <n v="56.410256410256409"/>
  </r>
  <r>
    <x v="1"/>
    <x v="3"/>
    <x v="3"/>
    <x v="1"/>
    <x v="1"/>
    <n v="61"/>
    <n v="71"/>
    <n v="73"/>
    <n v="205"/>
    <n v="68.333333333333329"/>
    <s v="D"/>
    <x v="0"/>
    <x v="3"/>
    <n v="499"/>
    <n v="65.201465201465197"/>
  </r>
  <r>
    <x v="1"/>
    <x v="1"/>
    <x v="0"/>
    <x v="1"/>
    <x v="1"/>
    <n v="70"/>
    <n v="75"/>
    <n v="74"/>
    <n v="219"/>
    <n v="73"/>
    <s v="C"/>
    <x v="0"/>
    <x v="0"/>
    <n v="367"/>
    <n v="70.329670329670336"/>
  </r>
  <r>
    <x v="1"/>
    <x v="1"/>
    <x v="3"/>
    <x v="0"/>
    <x v="1"/>
    <n v="98"/>
    <n v="87"/>
    <n v="90"/>
    <n v="275"/>
    <n v="91.666666666666671"/>
    <s v="A"/>
    <x v="0"/>
    <x v="1"/>
    <n v="37"/>
    <n v="90.842490842490847"/>
  </r>
  <r>
    <x v="1"/>
    <x v="3"/>
    <x v="1"/>
    <x v="1"/>
    <x v="0"/>
    <n v="70"/>
    <n v="63"/>
    <n v="58"/>
    <n v="191"/>
    <n v="63.666666666666664"/>
    <s v="D"/>
    <x v="0"/>
    <x v="3"/>
    <n v="632"/>
    <n v="60.073260073260073"/>
  </r>
  <r>
    <x v="1"/>
    <x v="2"/>
    <x v="3"/>
    <x v="0"/>
    <x v="0"/>
    <n v="67"/>
    <n v="57"/>
    <n v="53"/>
    <n v="177"/>
    <n v="59"/>
    <s v="F"/>
    <x v="1"/>
    <x v="2"/>
    <n v="727"/>
    <n v="54.945054945054949"/>
  </r>
  <r>
    <x v="0"/>
    <x v="4"/>
    <x v="4"/>
    <x v="1"/>
    <x v="0"/>
    <n v="57"/>
    <n v="58"/>
    <n v="57"/>
    <n v="172"/>
    <n v="57.333333333333336"/>
    <s v="F"/>
    <x v="1"/>
    <x v="2"/>
    <n v="764"/>
    <n v="53.113553113553117"/>
  </r>
  <r>
    <x v="1"/>
    <x v="3"/>
    <x v="1"/>
    <x v="0"/>
    <x v="1"/>
    <n v="85"/>
    <n v="81"/>
    <n v="85"/>
    <n v="251"/>
    <n v="83.666666666666671"/>
    <s v="B"/>
    <x v="0"/>
    <x v="0"/>
    <n v="131"/>
    <n v="82.051282051282058"/>
  </r>
  <r>
    <x v="1"/>
    <x v="3"/>
    <x v="5"/>
    <x v="0"/>
    <x v="1"/>
    <n v="77"/>
    <n v="68"/>
    <n v="69"/>
    <n v="214"/>
    <n v="71.333333333333329"/>
    <s v="C"/>
    <x v="0"/>
    <x v="0"/>
    <n v="412"/>
    <n v="68.498168498168482"/>
  </r>
  <r>
    <x v="1"/>
    <x v="1"/>
    <x v="2"/>
    <x v="1"/>
    <x v="1"/>
    <n v="72"/>
    <n v="66"/>
    <n v="72"/>
    <n v="210"/>
    <n v="70"/>
    <s v="C"/>
    <x v="0"/>
    <x v="0"/>
    <n v="448"/>
    <n v="67.032967032967022"/>
  </r>
  <r>
    <x v="0"/>
    <x v="3"/>
    <x v="2"/>
    <x v="0"/>
    <x v="0"/>
    <n v="78"/>
    <n v="91"/>
    <n v="96"/>
    <n v="265"/>
    <n v="88.333333333333329"/>
    <s v="B"/>
    <x v="0"/>
    <x v="1"/>
    <n v="69"/>
    <n v="87.179487179487168"/>
  </r>
  <r>
    <x v="1"/>
    <x v="1"/>
    <x v="4"/>
    <x v="0"/>
    <x v="0"/>
    <n v="81"/>
    <n v="66"/>
    <n v="64"/>
    <n v="211"/>
    <n v="70.333333333333329"/>
    <s v="C"/>
    <x v="0"/>
    <x v="0"/>
    <n v="440"/>
    <n v="67.399267399267387"/>
  </r>
  <r>
    <x v="1"/>
    <x v="2"/>
    <x v="5"/>
    <x v="1"/>
    <x v="1"/>
    <n v="61"/>
    <n v="62"/>
    <n v="61"/>
    <n v="184"/>
    <n v="61.333333333333336"/>
    <s v="D"/>
    <x v="0"/>
    <x v="3"/>
    <n v="678"/>
    <n v="57.509157509157518"/>
  </r>
  <r>
    <x v="0"/>
    <x v="0"/>
    <x v="4"/>
    <x v="0"/>
    <x v="0"/>
    <n v="58"/>
    <n v="68"/>
    <n v="61"/>
    <n v="187"/>
    <n v="62.333333333333336"/>
    <s v="D"/>
    <x v="0"/>
    <x v="3"/>
    <n v="657"/>
    <n v="58.608058608058613"/>
  </r>
  <r>
    <x v="0"/>
    <x v="1"/>
    <x v="3"/>
    <x v="0"/>
    <x v="0"/>
    <n v="54"/>
    <n v="61"/>
    <n v="58"/>
    <n v="173"/>
    <n v="57.666666666666664"/>
    <s v="F"/>
    <x v="1"/>
    <x v="2"/>
    <n v="756"/>
    <n v="53.479853479853482"/>
  </r>
  <r>
    <x v="1"/>
    <x v="0"/>
    <x v="4"/>
    <x v="0"/>
    <x v="0"/>
    <n v="82"/>
    <n v="82"/>
    <n v="80"/>
    <n v="244"/>
    <n v="81.333333333333329"/>
    <s v="B"/>
    <x v="0"/>
    <x v="0"/>
    <n v="173"/>
    <n v="79.487179487179489"/>
  </r>
  <r>
    <x v="0"/>
    <x v="3"/>
    <x v="1"/>
    <x v="1"/>
    <x v="0"/>
    <n v="49"/>
    <n v="58"/>
    <n v="60"/>
    <n v="167"/>
    <n v="55.666666666666664"/>
    <s v="F"/>
    <x v="1"/>
    <x v="2"/>
    <n v="796"/>
    <n v="51.282051282051277"/>
  </r>
  <r>
    <x v="1"/>
    <x v="0"/>
    <x v="5"/>
    <x v="1"/>
    <x v="1"/>
    <n v="49"/>
    <n v="50"/>
    <n v="52"/>
    <n v="151"/>
    <n v="50.333333333333336"/>
    <s v="F"/>
    <x v="1"/>
    <x v="2"/>
    <n v="884"/>
    <n v="45.421245421245423"/>
  </r>
  <r>
    <x v="0"/>
    <x v="4"/>
    <x v="4"/>
    <x v="1"/>
    <x v="1"/>
    <n v="57"/>
    <n v="75"/>
    <n v="73"/>
    <n v="205"/>
    <n v="68.333333333333329"/>
    <s v="D"/>
    <x v="0"/>
    <x v="3"/>
    <n v="499"/>
    <n v="65.201465201465197"/>
  </r>
  <r>
    <x v="1"/>
    <x v="4"/>
    <x v="4"/>
    <x v="0"/>
    <x v="0"/>
    <n v="94"/>
    <n v="73"/>
    <n v="71"/>
    <n v="238"/>
    <n v="79.333333333333329"/>
    <s v="C"/>
    <x v="0"/>
    <x v="0"/>
    <n v="207"/>
    <n v="77.289377289377285"/>
  </r>
  <r>
    <x v="0"/>
    <x v="3"/>
    <x v="1"/>
    <x v="0"/>
    <x v="1"/>
    <n v="75"/>
    <n v="77"/>
    <n v="83"/>
    <n v="235"/>
    <n v="78.333333333333329"/>
    <s v="C"/>
    <x v="0"/>
    <x v="0"/>
    <n v="231"/>
    <n v="76.19047619047619"/>
  </r>
  <r>
    <x v="0"/>
    <x v="4"/>
    <x v="5"/>
    <x v="1"/>
    <x v="0"/>
    <n v="74"/>
    <n v="74"/>
    <n v="72"/>
    <n v="220"/>
    <n v="73.333333333333329"/>
    <s v="C"/>
    <x v="0"/>
    <x v="0"/>
    <n v="356"/>
    <n v="70.695970695970686"/>
  </r>
  <r>
    <x v="1"/>
    <x v="1"/>
    <x v="4"/>
    <x v="0"/>
    <x v="1"/>
    <n v="58"/>
    <n v="52"/>
    <n v="54"/>
    <n v="164"/>
    <n v="54.666666666666664"/>
    <s v="F"/>
    <x v="1"/>
    <x v="2"/>
    <n v="810"/>
    <n v="50.183150183150182"/>
  </r>
  <r>
    <x v="0"/>
    <x v="1"/>
    <x v="1"/>
    <x v="0"/>
    <x v="0"/>
    <n v="62"/>
    <n v="69"/>
    <n v="69"/>
    <n v="200"/>
    <n v="66.666666666666671"/>
    <s v="D"/>
    <x v="0"/>
    <x v="3"/>
    <n v="549"/>
    <n v="63.369963369963379"/>
  </r>
  <r>
    <x v="1"/>
    <x v="4"/>
    <x v="3"/>
    <x v="0"/>
    <x v="0"/>
    <n v="72"/>
    <n v="57"/>
    <n v="62"/>
    <n v="191"/>
    <n v="63.666666666666664"/>
    <s v="D"/>
    <x v="0"/>
    <x v="3"/>
    <n v="632"/>
    <n v="60.073260073260073"/>
  </r>
  <r>
    <x v="1"/>
    <x v="1"/>
    <x v="1"/>
    <x v="0"/>
    <x v="0"/>
    <n v="84"/>
    <n v="87"/>
    <n v="81"/>
    <n v="252"/>
    <n v="84"/>
    <s v="B"/>
    <x v="0"/>
    <x v="0"/>
    <n v="123"/>
    <n v="82.417582417582409"/>
  </r>
  <r>
    <x v="0"/>
    <x v="3"/>
    <x v="2"/>
    <x v="0"/>
    <x v="0"/>
    <n v="92"/>
    <n v="100"/>
    <n v="100"/>
    <n v="292"/>
    <n v="97.333333333333329"/>
    <s v="A"/>
    <x v="0"/>
    <x v="1"/>
    <n v="12"/>
    <n v="97.069597069597066"/>
  </r>
  <r>
    <x v="0"/>
    <x v="3"/>
    <x v="4"/>
    <x v="0"/>
    <x v="0"/>
    <n v="45"/>
    <n v="63"/>
    <n v="59"/>
    <n v="167"/>
    <n v="55.666666666666664"/>
    <s v="F"/>
    <x v="1"/>
    <x v="2"/>
    <n v="796"/>
    <n v="51.282051282051277"/>
  </r>
  <r>
    <x v="1"/>
    <x v="1"/>
    <x v="4"/>
    <x v="0"/>
    <x v="0"/>
    <n v="75"/>
    <n v="81"/>
    <n v="71"/>
    <n v="227"/>
    <n v="75.666666666666671"/>
    <s v="C"/>
    <x v="0"/>
    <x v="0"/>
    <n v="297"/>
    <n v="73.26007326007327"/>
  </r>
  <r>
    <x v="0"/>
    <x v="2"/>
    <x v="1"/>
    <x v="0"/>
    <x v="0"/>
    <n v="56"/>
    <n v="58"/>
    <n v="64"/>
    <n v="178"/>
    <n v="59.333333333333336"/>
    <s v="F"/>
    <x v="1"/>
    <x v="2"/>
    <n v="721"/>
    <n v="55.311355311355314"/>
  </r>
  <r>
    <x v="0"/>
    <x v="3"/>
    <x v="5"/>
    <x v="1"/>
    <x v="0"/>
    <n v="48"/>
    <n v="54"/>
    <n v="53"/>
    <n v="155"/>
    <n v="51.666666666666664"/>
    <s v="F"/>
    <x v="1"/>
    <x v="2"/>
    <n v="860"/>
    <n v="46.886446886446883"/>
  </r>
  <r>
    <x v="0"/>
    <x v="4"/>
    <x v="3"/>
    <x v="0"/>
    <x v="0"/>
    <n v="100"/>
    <n v="100"/>
    <n v="100"/>
    <n v="300"/>
    <n v="100"/>
    <s v="A"/>
    <x v="0"/>
    <x v="1"/>
    <n v="1"/>
    <n v="100"/>
  </r>
  <r>
    <x v="0"/>
    <x v="1"/>
    <x v="5"/>
    <x v="1"/>
    <x v="1"/>
    <n v="65"/>
    <n v="76"/>
    <n v="75"/>
    <n v="216"/>
    <n v="72"/>
    <s v="C"/>
    <x v="0"/>
    <x v="0"/>
    <n v="395"/>
    <n v="69.230769230769226"/>
  </r>
  <r>
    <x v="1"/>
    <x v="3"/>
    <x v="1"/>
    <x v="0"/>
    <x v="0"/>
    <n v="72"/>
    <n v="57"/>
    <n v="58"/>
    <n v="187"/>
    <n v="62.333333333333336"/>
    <s v="D"/>
    <x v="0"/>
    <x v="3"/>
    <n v="657"/>
    <n v="58.608058608058613"/>
  </r>
  <r>
    <x v="0"/>
    <x v="3"/>
    <x v="1"/>
    <x v="0"/>
    <x v="0"/>
    <n v="62"/>
    <n v="70"/>
    <n v="72"/>
    <n v="204"/>
    <n v="68"/>
    <s v="D"/>
    <x v="0"/>
    <x v="3"/>
    <n v="512"/>
    <n v="64.835164835164832"/>
  </r>
  <r>
    <x v="1"/>
    <x v="2"/>
    <x v="5"/>
    <x v="0"/>
    <x v="1"/>
    <n v="66"/>
    <n v="68"/>
    <n v="64"/>
    <n v="198"/>
    <n v="66"/>
    <s v="D"/>
    <x v="0"/>
    <x v="3"/>
    <n v="562"/>
    <n v="62.637362637362635"/>
  </r>
  <r>
    <x v="1"/>
    <x v="1"/>
    <x v="1"/>
    <x v="0"/>
    <x v="0"/>
    <n v="63"/>
    <n v="63"/>
    <n v="60"/>
    <n v="186"/>
    <n v="62"/>
    <s v="D"/>
    <x v="0"/>
    <x v="3"/>
    <n v="665"/>
    <n v="58.241758241758248"/>
  </r>
  <r>
    <x v="0"/>
    <x v="4"/>
    <x v="3"/>
    <x v="0"/>
    <x v="0"/>
    <n v="68"/>
    <n v="76"/>
    <n v="67"/>
    <n v="211"/>
    <n v="70.333333333333329"/>
    <s v="C"/>
    <x v="0"/>
    <x v="0"/>
    <n v="440"/>
    <n v="67.399267399267387"/>
  </r>
  <r>
    <x v="0"/>
    <x v="0"/>
    <x v="0"/>
    <x v="0"/>
    <x v="0"/>
    <n v="75"/>
    <n v="84"/>
    <n v="80"/>
    <n v="239"/>
    <n v="79.666666666666671"/>
    <s v="C"/>
    <x v="0"/>
    <x v="0"/>
    <n v="199"/>
    <n v="77.655677655677664"/>
  </r>
  <r>
    <x v="0"/>
    <x v="3"/>
    <x v="0"/>
    <x v="0"/>
    <x v="0"/>
    <n v="89"/>
    <n v="100"/>
    <n v="100"/>
    <n v="289"/>
    <n v="96.333333333333329"/>
    <s v="A"/>
    <x v="0"/>
    <x v="1"/>
    <n v="17"/>
    <n v="95.970695970695957"/>
  </r>
  <r>
    <x v="1"/>
    <x v="1"/>
    <x v="5"/>
    <x v="0"/>
    <x v="1"/>
    <n v="78"/>
    <n v="72"/>
    <n v="69"/>
    <n v="219"/>
    <n v="73"/>
    <s v="C"/>
    <x v="0"/>
    <x v="0"/>
    <n v="367"/>
    <n v="70.329670329670336"/>
  </r>
  <r>
    <x v="0"/>
    <x v="2"/>
    <x v="4"/>
    <x v="1"/>
    <x v="1"/>
    <n v="53"/>
    <n v="50"/>
    <n v="60"/>
    <n v="163"/>
    <n v="54.333333333333336"/>
    <s v="F"/>
    <x v="1"/>
    <x v="2"/>
    <n v="819"/>
    <n v="49.816849816849818"/>
  </r>
  <r>
    <x v="0"/>
    <x v="3"/>
    <x v="1"/>
    <x v="1"/>
    <x v="0"/>
    <n v="49"/>
    <n v="65"/>
    <n v="61"/>
    <n v="175"/>
    <n v="58.333333333333336"/>
    <s v="F"/>
    <x v="1"/>
    <x v="2"/>
    <n v="745"/>
    <n v="54.212454212454219"/>
  </r>
  <r>
    <x v="0"/>
    <x v="2"/>
    <x v="1"/>
    <x v="0"/>
    <x v="0"/>
    <n v="54"/>
    <n v="63"/>
    <n v="67"/>
    <n v="184"/>
    <n v="61.333333333333336"/>
    <s v="D"/>
    <x v="0"/>
    <x v="3"/>
    <n v="678"/>
    <n v="57.509157509157518"/>
  </r>
  <r>
    <x v="0"/>
    <x v="1"/>
    <x v="1"/>
    <x v="0"/>
    <x v="1"/>
    <n v="64"/>
    <n v="82"/>
    <n v="77"/>
    <n v="223"/>
    <n v="74.333333333333329"/>
    <s v="C"/>
    <x v="0"/>
    <x v="0"/>
    <n v="333"/>
    <n v="71.794871794871796"/>
  </r>
  <r>
    <x v="1"/>
    <x v="0"/>
    <x v="1"/>
    <x v="1"/>
    <x v="1"/>
    <n v="60"/>
    <n v="62"/>
    <n v="60"/>
    <n v="182"/>
    <n v="60.666666666666664"/>
    <s v="D"/>
    <x v="0"/>
    <x v="3"/>
    <n v="693"/>
    <n v="56.776556776556774"/>
  </r>
  <r>
    <x v="1"/>
    <x v="1"/>
    <x v="3"/>
    <x v="0"/>
    <x v="0"/>
    <n v="62"/>
    <n v="65"/>
    <n v="58"/>
    <n v="185"/>
    <n v="61.666666666666664"/>
    <s v="D"/>
    <x v="0"/>
    <x v="3"/>
    <n v="671"/>
    <n v="57.875457875457869"/>
  </r>
  <r>
    <x v="1"/>
    <x v="3"/>
    <x v="4"/>
    <x v="0"/>
    <x v="1"/>
    <n v="55"/>
    <n v="41"/>
    <n v="48"/>
    <n v="144"/>
    <n v="48"/>
    <s v="F"/>
    <x v="1"/>
    <x v="2"/>
    <n v="921"/>
    <n v="42.857142857142854"/>
  </r>
  <r>
    <x v="0"/>
    <x v="1"/>
    <x v="3"/>
    <x v="0"/>
    <x v="0"/>
    <n v="91"/>
    <n v="95"/>
    <n v="94"/>
    <n v="280"/>
    <n v="93.333333333333329"/>
    <s v="A"/>
    <x v="0"/>
    <x v="1"/>
    <n v="28"/>
    <n v="92.673992673992672"/>
  </r>
  <r>
    <x v="0"/>
    <x v="0"/>
    <x v="4"/>
    <x v="1"/>
    <x v="0"/>
    <n v="8"/>
    <n v="24"/>
    <n v="23"/>
    <n v="55"/>
    <n v="18.333333333333332"/>
    <s v="F"/>
    <x v="1"/>
    <x v="2"/>
    <n v="999"/>
    <n v="10.256410256410255"/>
  </r>
  <r>
    <x v="1"/>
    <x v="3"/>
    <x v="5"/>
    <x v="0"/>
    <x v="0"/>
    <n v="81"/>
    <n v="78"/>
    <n v="78"/>
    <n v="237"/>
    <n v="79"/>
    <s v="C"/>
    <x v="0"/>
    <x v="0"/>
    <n v="215"/>
    <n v="76.923076923076934"/>
  </r>
  <r>
    <x v="1"/>
    <x v="0"/>
    <x v="5"/>
    <x v="0"/>
    <x v="1"/>
    <n v="79"/>
    <n v="85"/>
    <n v="86"/>
    <n v="250"/>
    <n v="83.333333333333329"/>
    <s v="B"/>
    <x v="0"/>
    <x v="0"/>
    <n v="135"/>
    <n v="81.684981684981679"/>
  </r>
  <r>
    <x v="0"/>
    <x v="2"/>
    <x v="1"/>
    <x v="0"/>
    <x v="1"/>
    <n v="78"/>
    <n v="87"/>
    <n v="91"/>
    <n v="256"/>
    <n v="85.333333333333329"/>
    <s v="B"/>
    <x v="0"/>
    <x v="1"/>
    <n v="109"/>
    <n v="83.882783882783869"/>
  </r>
  <r>
    <x v="0"/>
    <x v="1"/>
    <x v="5"/>
    <x v="0"/>
    <x v="0"/>
    <n v="74"/>
    <n v="75"/>
    <n v="82"/>
    <n v="231"/>
    <n v="77"/>
    <s v="C"/>
    <x v="0"/>
    <x v="0"/>
    <n v="269"/>
    <n v="74.72527472527473"/>
  </r>
  <r>
    <x v="1"/>
    <x v="2"/>
    <x v="4"/>
    <x v="0"/>
    <x v="0"/>
    <n v="57"/>
    <n v="51"/>
    <n v="54"/>
    <n v="162"/>
    <n v="54"/>
    <s v="F"/>
    <x v="1"/>
    <x v="2"/>
    <n v="824"/>
    <n v="49.450549450549453"/>
  </r>
  <r>
    <x v="0"/>
    <x v="1"/>
    <x v="3"/>
    <x v="0"/>
    <x v="0"/>
    <n v="40"/>
    <n v="59"/>
    <n v="51"/>
    <n v="150"/>
    <n v="50"/>
    <s v="F"/>
    <x v="1"/>
    <x v="2"/>
    <n v="892"/>
    <n v="45.054945054945058"/>
  </r>
  <r>
    <x v="1"/>
    <x v="4"/>
    <x v="5"/>
    <x v="0"/>
    <x v="1"/>
    <n v="81"/>
    <n v="75"/>
    <n v="76"/>
    <n v="232"/>
    <n v="77.333333333333329"/>
    <s v="C"/>
    <x v="0"/>
    <x v="0"/>
    <n v="255"/>
    <n v="75.091575091575095"/>
  </r>
  <r>
    <x v="0"/>
    <x v="2"/>
    <x v="5"/>
    <x v="1"/>
    <x v="0"/>
    <n v="44"/>
    <n v="45"/>
    <n v="45"/>
    <n v="134"/>
    <n v="44.666666666666664"/>
    <s v="F"/>
    <x v="1"/>
    <x v="2"/>
    <n v="947"/>
    <n v="39.194139194139197"/>
  </r>
  <r>
    <x v="0"/>
    <x v="3"/>
    <x v="1"/>
    <x v="1"/>
    <x v="1"/>
    <n v="67"/>
    <n v="86"/>
    <n v="83"/>
    <n v="236"/>
    <n v="78.666666666666671"/>
    <s v="C"/>
    <x v="0"/>
    <x v="0"/>
    <n v="222"/>
    <n v="76.556776556776569"/>
  </r>
  <r>
    <x v="1"/>
    <x v="4"/>
    <x v="4"/>
    <x v="1"/>
    <x v="1"/>
    <n v="86"/>
    <n v="81"/>
    <n v="75"/>
    <n v="242"/>
    <n v="80.666666666666671"/>
    <s v="B"/>
    <x v="0"/>
    <x v="0"/>
    <n v="180"/>
    <n v="78.754578754578759"/>
  </r>
  <r>
    <x v="0"/>
    <x v="0"/>
    <x v="5"/>
    <x v="0"/>
    <x v="1"/>
    <n v="65"/>
    <n v="82"/>
    <n v="78"/>
    <n v="225"/>
    <n v="75"/>
    <s v="C"/>
    <x v="0"/>
    <x v="0"/>
    <n v="314"/>
    <n v="72.527472527472526"/>
  </r>
  <r>
    <x v="0"/>
    <x v="3"/>
    <x v="3"/>
    <x v="1"/>
    <x v="0"/>
    <n v="55"/>
    <n v="76"/>
    <n v="76"/>
    <n v="207"/>
    <n v="69"/>
    <s v="D"/>
    <x v="0"/>
    <x v="3"/>
    <n v="475"/>
    <n v="65.934065934065927"/>
  </r>
  <r>
    <x v="0"/>
    <x v="3"/>
    <x v="0"/>
    <x v="1"/>
    <x v="0"/>
    <n v="62"/>
    <n v="72"/>
    <n v="74"/>
    <n v="208"/>
    <n v="69.333333333333329"/>
    <s v="D"/>
    <x v="0"/>
    <x v="3"/>
    <n v="465"/>
    <n v="66.300366300366292"/>
  </r>
  <r>
    <x v="1"/>
    <x v="2"/>
    <x v="4"/>
    <x v="0"/>
    <x v="0"/>
    <n v="63"/>
    <n v="63"/>
    <n v="62"/>
    <n v="188"/>
    <n v="62.666666666666664"/>
    <s v="D"/>
    <x v="0"/>
    <x v="3"/>
    <n v="653"/>
    <n v="58.974358974358978"/>
  </r>
  <r>
    <x v="0"/>
    <x v="4"/>
    <x v="2"/>
    <x v="0"/>
    <x v="1"/>
    <n v="88"/>
    <n v="99"/>
    <n v="95"/>
    <n v="282"/>
    <n v="94"/>
    <s v="A"/>
    <x v="0"/>
    <x v="1"/>
    <n v="23"/>
    <n v="93.406593406593402"/>
  </r>
  <r>
    <x v="1"/>
    <x v="1"/>
    <x v="4"/>
    <x v="1"/>
    <x v="0"/>
    <n v="62"/>
    <n v="55"/>
    <n v="55"/>
    <n v="172"/>
    <n v="57.333333333333336"/>
    <s v="F"/>
    <x v="1"/>
    <x v="2"/>
    <n v="764"/>
    <n v="53.113553113553117"/>
  </r>
  <r>
    <x v="0"/>
    <x v="1"/>
    <x v="4"/>
    <x v="1"/>
    <x v="1"/>
    <n v="59"/>
    <n v="71"/>
    <n v="65"/>
    <n v="195"/>
    <n v="65"/>
    <s v="D"/>
    <x v="0"/>
    <x v="3"/>
    <n v="593"/>
    <n v="61.53846153846154"/>
  </r>
  <r>
    <x v="0"/>
    <x v="3"/>
    <x v="1"/>
    <x v="0"/>
    <x v="1"/>
    <n v="68"/>
    <n v="78"/>
    <n v="77"/>
    <n v="223"/>
    <n v="74.333333333333329"/>
    <s v="C"/>
    <x v="0"/>
    <x v="0"/>
    <n v="333"/>
    <n v="71.794871794871796"/>
  </r>
  <r>
    <x v="0"/>
    <x v="3"/>
    <x v="1"/>
    <x v="1"/>
    <x v="0"/>
    <n v="77"/>
    <n v="86"/>
    <n v="86"/>
    <n v="249"/>
    <n v="83"/>
    <s v="B"/>
    <x v="0"/>
    <x v="0"/>
    <n v="140"/>
    <n v="81.3186813186813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FB4A87-B50F-4310-BDC7-C1F0FC9B6C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5">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axis="axisRow" showAll="0">
      <items count="3">
        <item x="1"/>
        <item x="0"/>
        <item t="default"/>
      </items>
    </pivotField>
    <pivotField showAll="0"/>
    <pivotField showAll="0"/>
    <pivotField showAll="0"/>
    <pivotField showAll="0"/>
    <pivotField dataField="1" showAll="0"/>
    <pivotField showAll="0"/>
    <pivotField showAll="0"/>
    <pivotField showAll="0">
      <items count="5">
        <item x="1"/>
        <item x="3"/>
        <item x="0"/>
        <item x="2"/>
        <item t="default"/>
      </items>
    </pivotField>
    <pivotField showAll="0"/>
    <pivotField showAll="0"/>
  </pivotFields>
  <rowFields count="1">
    <field x="4"/>
  </rowFields>
  <rowItems count="3">
    <i>
      <x/>
    </i>
    <i>
      <x v="1"/>
    </i>
    <i t="grand">
      <x/>
    </i>
  </rowItems>
  <colItems count="1">
    <i/>
  </colItems>
  <dataFields count="1">
    <dataField name="Average of AverageScore" fld="9" subtotal="average" baseField="4"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5E7341-EE80-4395-8162-2CED4202C5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5">
    <pivotField showAll="0">
      <items count="3">
        <item x="0"/>
        <item x="1"/>
        <item t="default"/>
      </items>
    </pivotField>
    <pivotField showAll="0">
      <items count="6">
        <item x="2"/>
        <item x="0"/>
        <item x="1"/>
        <item x="3"/>
        <item x="4"/>
        <item t="default"/>
      </items>
    </pivotField>
    <pivotField axis="axisRow"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dataField="1" showAll="0"/>
    <pivotField showAll="0"/>
    <pivotField showAll="0"/>
    <pivotField showAll="0">
      <items count="5">
        <item x="1"/>
        <item x="3"/>
        <item x="0"/>
        <item x="2"/>
        <item t="default"/>
      </items>
    </pivotField>
    <pivotField showAll="0"/>
    <pivotField showAll="0"/>
  </pivotFields>
  <rowFields count="1">
    <field x="2"/>
  </rowFields>
  <rowItems count="7">
    <i>
      <x/>
    </i>
    <i>
      <x v="1"/>
    </i>
    <i>
      <x v="2"/>
    </i>
    <i>
      <x v="3"/>
    </i>
    <i>
      <x v="4"/>
    </i>
    <i>
      <x v="5"/>
    </i>
    <i t="grand">
      <x/>
    </i>
  </rowItems>
  <colItems count="1">
    <i/>
  </colItems>
  <dataFields count="1">
    <dataField name="Average of AverageScore" fld="9" subtotal="average" baseField="2"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DB807E-3EE8-4033-A3D6-2CA1BC63F4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rowPageCount="1" colPageCount="1"/>
  <pivotFields count="15">
    <pivotField axis="axisRow"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axis="axisPage" dataField="1" multipleItemSelectionAllowed="1" showAll="0">
      <items count="3">
        <item h="1" x="1"/>
        <item x="0"/>
        <item t="default"/>
      </items>
    </pivotField>
    <pivotField showAll="0">
      <items count="5">
        <item x="1"/>
        <item x="3"/>
        <item x="0"/>
        <item x="2"/>
        <item t="default"/>
      </items>
    </pivotField>
    <pivotField showAll="0"/>
    <pivotField showAll="0"/>
  </pivotFields>
  <rowFields count="1">
    <field x="0"/>
  </rowFields>
  <rowItems count="3">
    <i>
      <x/>
    </i>
    <i>
      <x v="1"/>
    </i>
    <i t="grand">
      <x/>
    </i>
  </rowItems>
  <colItems count="1">
    <i/>
  </colItems>
  <pageFields count="1">
    <pageField fld="11" hier="-1"/>
  </pageFields>
  <dataFields count="1">
    <dataField name="Count of Pass_Fail" fld="1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A4D3CD-BD73-4769-85CC-9B3A47CF25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5">
    <pivotField showAll="0">
      <items count="3">
        <item x="0"/>
        <item x="1"/>
        <item t="default"/>
      </items>
    </pivotField>
    <pivotField axis="axisRow"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dataField="1" showAll="0"/>
    <pivotField showAll="0"/>
    <pivotField showAll="0"/>
    <pivotField showAll="0">
      <items count="5">
        <item x="1"/>
        <item x="3"/>
        <item x="0"/>
        <item x="2"/>
        <item t="default"/>
      </items>
    </pivotField>
    <pivotField showAll="0"/>
    <pivotField showAll="0"/>
  </pivotFields>
  <rowFields count="1">
    <field x="1"/>
  </rowFields>
  <rowItems count="6">
    <i>
      <x/>
    </i>
    <i>
      <x v="1"/>
    </i>
    <i>
      <x v="2"/>
    </i>
    <i>
      <x v="3"/>
    </i>
    <i>
      <x v="4"/>
    </i>
    <i t="grand">
      <x/>
    </i>
  </rowItems>
  <colItems count="1">
    <i/>
  </colItems>
  <dataFields count="1">
    <dataField name="Average of AverageScore" fld="9" subtotal="average" baseField="1" baseItem="0"/>
  </dataFields>
  <formats count="3">
    <format dxfId="2">
      <pivotArea collapsedLevelsAreSubtotals="1" fieldPosition="0">
        <references count="1">
          <reference field="1" count="4">
            <x v="1"/>
            <x v="2"/>
            <x v="3"/>
            <x v="4"/>
          </reference>
        </references>
      </pivotArea>
    </format>
    <format dxfId="1">
      <pivotArea grandRow="1" outline="0" collapsedLevelsAreSubtotals="1" fieldPosition="0"/>
    </format>
    <format dxfId="0">
      <pivotArea collapsedLevelsAreSubtotals="1" fieldPosition="0">
        <references count="1">
          <reference field="1"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65072D-E9CC-4E2F-A7EB-F172DC96AF1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5">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axis="axisRow" dataField="1"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5">
        <item x="1"/>
        <item x="3"/>
        <item x="0"/>
        <item x="2"/>
        <item t="default"/>
      </items>
    </pivotField>
    <pivotField showAll="0"/>
    <pivotField showAll="0"/>
  </pivotFields>
  <rowFields count="1">
    <field x="3"/>
  </rowFields>
  <rowItems count="3">
    <i>
      <x/>
    </i>
    <i>
      <x v="1"/>
    </i>
    <i t="grand">
      <x/>
    </i>
  </rowItems>
  <colItems count="1">
    <i/>
  </colItems>
  <dataFields count="1">
    <dataField name="Count of lunch" fld="3" subtotal="count" baseField="0" baseItem="0"/>
  </dataFields>
  <chartFormats count="9">
    <chartFormat chart="13"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3" count="1" selected="0">
            <x v="0"/>
          </reference>
        </references>
      </pivotArea>
    </chartFormat>
    <chartFormat chart="15" format="2">
      <pivotArea type="data" outline="0" fieldPosition="0">
        <references count="2">
          <reference field="4294967294" count="1" selected="0">
            <x v="0"/>
          </reference>
          <reference field="3"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3" count="1" selected="0">
            <x v="0"/>
          </reference>
        </references>
      </pivotArea>
    </chartFormat>
    <chartFormat chart="18"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AFBAE3-573B-4505-B059-9FB0108118C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6" firstHeaderRow="0" firstDataRow="1" firstDataCol="1"/>
  <pivotFields count="15">
    <pivotField axis="axisRow"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dataField="1" showAll="0"/>
    <pivotField dataField="1" showAll="0"/>
    <pivotField dataField="1" showAll="0"/>
    <pivotField showAll="0"/>
    <pivotField showAll="0"/>
    <pivotField showAll="0"/>
    <pivotField showAll="0"/>
    <pivotField showAll="0">
      <items count="5">
        <item x="1"/>
        <item x="3"/>
        <item x="0"/>
        <item x="2"/>
        <item t="default"/>
      </items>
    </pivotField>
    <pivotField showAll="0"/>
    <pivotField showAll="0"/>
  </pivotFields>
  <rowFields count="1">
    <field x="0"/>
  </rowFields>
  <rowItems count="3">
    <i>
      <x/>
    </i>
    <i>
      <x v="1"/>
    </i>
    <i t="grand">
      <x/>
    </i>
  </rowItems>
  <colFields count="1">
    <field x="-2"/>
  </colFields>
  <colItems count="3">
    <i>
      <x/>
    </i>
    <i i="1">
      <x v="1"/>
    </i>
    <i i="2">
      <x v="2"/>
    </i>
  </colItems>
  <dataFields count="3">
    <dataField name="Average of math score" fld="5" subtotal="average" baseField="0" baseItem="0"/>
    <dataField name="Average of reading score" fld="6" subtotal="average" baseField="0" baseItem="0"/>
    <dataField name="Average of writing score" fld="7" subtotal="average"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18397F-9C0C-4D17-A902-D386219F541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6" firstHeaderRow="0" firstDataRow="1" firstDataCol="1"/>
  <pivotFields count="15">
    <pivotField axis="axisRow"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dataField="1" showAll="0"/>
    <pivotField dataField="1" showAll="0"/>
    <pivotField dataField="1" showAll="0"/>
    <pivotField showAll="0"/>
    <pivotField showAll="0"/>
    <pivotField showAll="0"/>
    <pivotField showAll="0"/>
    <pivotField showAll="0">
      <items count="5">
        <item x="1"/>
        <item x="3"/>
        <item x="0"/>
        <item x="2"/>
        <item t="default"/>
      </items>
    </pivotField>
    <pivotField showAll="0"/>
    <pivotField showAll="0"/>
  </pivotFields>
  <rowFields count="1">
    <field x="0"/>
  </rowFields>
  <rowItems count="3">
    <i>
      <x/>
    </i>
    <i>
      <x v="1"/>
    </i>
    <i t="grand">
      <x/>
    </i>
  </rowItems>
  <colFields count="1">
    <field x="-2"/>
  </colFields>
  <colItems count="3">
    <i>
      <x/>
    </i>
    <i i="1">
      <x v="1"/>
    </i>
    <i i="2">
      <x v="2"/>
    </i>
  </colItems>
  <dataFields count="3">
    <dataField name="Average of math score" fld="5" subtotal="average" baseField="0" baseItem="0"/>
    <dataField name="Average of reading score" fld="6" subtotal="average" baseField="0" baseItem="0"/>
    <dataField name="Average of writing score" fld="7" subtotal="average" baseField="0" baseItem="0"/>
  </dataFields>
  <chartFormats count="9">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228A50-DD1E-4637-812C-C73C163D27E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5">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 axis="axisRow" dataField="1" showAll="0">
      <items count="5">
        <item x="1"/>
        <item x="3"/>
        <item x="0"/>
        <item x="2"/>
        <item t="default"/>
      </items>
    </pivotField>
    <pivotField showAll="0"/>
    <pivotField showAll="0"/>
  </pivotFields>
  <rowFields count="1">
    <field x="12"/>
  </rowFields>
  <rowItems count="5">
    <i>
      <x/>
    </i>
    <i>
      <x v="1"/>
    </i>
    <i>
      <x v="2"/>
    </i>
    <i>
      <x v="3"/>
    </i>
    <i t="grand">
      <x/>
    </i>
  </rowItems>
  <colItems count="1">
    <i/>
  </colItems>
  <dataFields count="1">
    <dataField name="Count of PerformanceCategory" fld="12" subtotal="count" baseField="0" baseItem="0"/>
  </dataFields>
  <chartFormats count="11">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2" count="1" selected="0">
            <x v="0"/>
          </reference>
        </references>
      </pivotArea>
    </chartFormat>
    <chartFormat chart="6" format="2">
      <pivotArea type="data" outline="0" fieldPosition="0">
        <references count="2">
          <reference field="4294967294" count="1" selected="0">
            <x v="0"/>
          </reference>
          <reference field="12" count="1" selected="0">
            <x v="1"/>
          </reference>
        </references>
      </pivotArea>
    </chartFormat>
    <chartFormat chart="6" format="3">
      <pivotArea type="data" outline="0" fieldPosition="0">
        <references count="2">
          <reference field="4294967294" count="1" selected="0">
            <x v="0"/>
          </reference>
          <reference field="12" count="1" selected="0">
            <x v="2"/>
          </reference>
        </references>
      </pivotArea>
    </chartFormat>
    <chartFormat chart="6" format="4">
      <pivotArea type="data" outline="0" fieldPosition="0">
        <references count="2">
          <reference field="4294967294" count="1" selected="0">
            <x v="0"/>
          </reference>
          <reference field="12"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2" count="1" selected="0">
            <x v="0"/>
          </reference>
        </references>
      </pivotArea>
    </chartFormat>
    <chartFormat chart="11" format="12">
      <pivotArea type="data" outline="0" fieldPosition="0">
        <references count="2">
          <reference field="4294967294" count="1" selected="0">
            <x v="0"/>
          </reference>
          <reference field="12" count="1" selected="0">
            <x v="1"/>
          </reference>
        </references>
      </pivotArea>
    </chartFormat>
    <chartFormat chart="11" format="13">
      <pivotArea type="data" outline="0" fieldPosition="0">
        <references count="2">
          <reference field="4294967294" count="1" selected="0">
            <x v="0"/>
          </reference>
          <reference field="12" count="1" selected="0">
            <x v="2"/>
          </reference>
        </references>
      </pivotArea>
    </chartFormat>
    <chartFormat chart="11"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BFCCEC-4175-4B9E-85B9-76E95AAD3F0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rowPageCount="1" colPageCount="1"/>
  <pivotFields count="15">
    <pivotField showAll="0">
      <items count="3">
        <item x="0"/>
        <item x="1"/>
        <item t="default"/>
      </items>
    </pivotField>
    <pivotField showAll="0">
      <items count="6">
        <item x="2"/>
        <item x="0"/>
        <item x="1"/>
        <item x="3"/>
        <item x="4"/>
        <item t="default"/>
      </items>
    </pivotField>
    <pivotField axis="axisRow"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axis="axisPage" dataField="1" multipleItemSelectionAllowed="1" showAll="0">
      <items count="3">
        <item x="1"/>
        <item h="1" x="0"/>
        <item t="default"/>
      </items>
    </pivotField>
    <pivotField showAll="0">
      <items count="5">
        <item x="1"/>
        <item x="3"/>
        <item x="0"/>
        <item x="2"/>
        <item t="default"/>
      </items>
    </pivotField>
    <pivotField showAll="0"/>
    <pivotField showAll="0"/>
  </pivotFields>
  <rowFields count="1">
    <field x="2"/>
  </rowFields>
  <rowItems count="7">
    <i>
      <x/>
    </i>
    <i>
      <x v="1"/>
    </i>
    <i>
      <x v="2"/>
    </i>
    <i>
      <x v="3"/>
    </i>
    <i>
      <x v="4"/>
    </i>
    <i>
      <x v="5"/>
    </i>
    <i t="grand">
      <x/>
    </i>
  </rowItems>
  <colItems count="1">
    <i/>
  </colItems>
  <pageFields count="1">
    <pageField fld="11" hier="-1"/>
  </pageFields>
  <dataFields count="1">
    <dataField name="Count of Pass_Fail" fld="11" subtotal="count" baseField="0" baseItem="0"/>
  </dataFields>
  <chartFormats count="21">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4" format="5">
      <pivotArea type="data" outline="0" fieldPosition="0">
        <references count="2">
          <reference field="4294967294" count="1" selected="0">
            <x v="0"/>
          </reference>
          <reference field="2" count="1" selected="0">
            <x v="4"/>
          </reference>
        </references>
      </pivotArea>
    </chartFormat>
    <chartFormat chart="4" format="6">
      <pivotArea type="data" outline="0" fieldPosition="0">
        <references count="2">
          <reference field="4294967294" count="1" selected="0">
            <x v="0"/>
          </reference>
          <reference field="2" count="1" selected="0">
            <x v="5"/>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 chart="7" format="13">
      <pivotArea type="data" outline="0" fieldPosition="0">
        <references count="2">
          <reference field="4294967294" count="1" selected="0">
            <x v="0"/>
          </reference>
          <reference field="2" count="1" selected="0">
            <x v="5"/>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2" count="1" selected="0">
            <x v="0"/>
          </reference>
        </references>
      </pivotArea>
    </chartFormat>
    <chartFormat chart="8" format="16">
      <pivotArea type="data" outline="0" fieldPosition="0">
        <references count="2">
          <reference field="4294967294" count="1" selected="0">
            <x v="0"/>
          </reference>
          <reference field="2" count="1" selected="0">
            <x v="1"/>
          </reference>
        </references>
      </pivotArea>
    </chartFormat>
    <chartFormat chart="8" format="17">
      <pivotArea type="data" outline="0" fieldPosition="0">
        <references count="2">
          <reference field="4294967294" count="1" selected="0">
            <x v="0"/>
          </reference>
          <reference field="2" count="1" selected="0">
            <x v="2"/>
          </reference>
        </references>
      </pivotArea>
    </chartFormat>
    <chartFormat chart="8" format="18">
      <pivotArea type="data" outline="0" fieldPosition="0">
        <references count="2">
          <reference field="4294967294" count="1" selected="0">
            <x v="0"/>
          </reference>
          <reference field="2" count="1" selected="0">
            <x v="3"/>
          </reference>
        </references>
      </pivotArea>
    </chartFormat>
    <chartFormat chart="8" format="19">
      <pivotArea type="data" outline="0" fieldPosition="0">
        <references count="2">
          <reference field="4294967294" count="1" selected="0">
            <x v="0"/>
          </reference>
          <reference field="2" count="1" selected="0">
            <x v="4"/>
          </reference>
        </references>
      </pivotArea>
    </chartFormat>
    <chartFormat chart="8"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B3B4FD4-D6B6-428A-BFDB-A0B04661136C}" sourceName="gender">
  <pivotTables>
    <pivotTable tabId="3" name="PivotTable2"/>
    <pivotTable tabId="5" name="PivotTable4"/>
    <pivotTable tabId="12" name="PivotTable10"/>
    <pivotTable tabId="9" name="PivotTable7"/>
    <pivotTable tabId="4" name="PivotTable3"/>
    <pivotTable tabId="13" name="PivotTable11"/>
    <pivotTable tabId="11" name="PivotTable9"/>
    <pivotTable tabId="8" name="PivotTable6"/>
    <pivotTable tabId="10" name="PivotTable8"/>
  </pivotTables>
  <data>
    <tabular pivotCacheId="1492878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FBADF1F8-4DB3-4898-A866-30DC3E558536}" sourceName="race/ethnicity">
  <pivotTables>
    <pivotTable tabId="3" name="PivotTable2"/>
    <pivotTable tabId="5" name="PivotTable4"/>
    <pivotTable tabId="12" name="PivotTable10"/>
    <pivotTable tabId="9" name="PivotTable7"/>
    <pivotTable tabId="4" name="PivotTable3"/>
    <pivotTable tabId="13" name="PivotTable11"/>
    <pivotTable tabId="11" name="PivotTable9"/>
    <pivotTable tabId="8" name="PivotTable6"/>
    <pivotTable tabId="10" name="PivotTable8"/>
  </pivotTables>
  <data>
    <tabular pivotCacheId="149287892">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921714EF-1E42-4D3A-BC1D-709F9C521E2B}" sourceName="parental level of education">
  <pivotTables>
    <pivotTable tabId="3" name="PivotTable2"/>
    <pivotTable tabId="5" name="PivotTable4"/>
    <pivotTable tabId="12" name="PivotTable10"/>
    <pivotTable tabId="9" name="PivotTable7"/>
    <pivotTable tabId="4" name="PivotTable3"/>
    <pivotTable tabId="13" name="PivotTable11"/>
    <pivotTable tabId="11" name="PivotTable9"/>
    <pivotTable tabId="8" name="PivotTable6"/>
    <pivotTable tabId="10" name="PivotTable8"/>
  </pivotTables>
  <data>
    <tabular pivotCacheId="149287892">
      <items count="6">
        <i x="3" s="1"/>
        <i x="0" s="1"/>
        <i x="4" s="1"/>
        <i x="2"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9D5D55CB-7B71-4E55-A16C-D9F316BF68E6}" sourceName="lunch">
  <pivotTables>
    <pivotTable tabId="3" name="PivotTable2"/>
    <pivotTable tabId="5" name="PivotTable4"/>
    <pivotTable tabId="12" name="PivotTable10"/>
    <pivotTable tabId="9" name="PivotTable7"/>
    <pivotTable tabId="4" name="PivotTable3"/>
    <pivotTable tabId="13" name="PivotTable11"/>
    <pivotTable tabId="11" name="PivotTable9"/>
    <pivotTable tabId="8" name="PivotTable6"/>
    <pivotTable tabId="10" name="PivotTable8"/>
  </pivotTables>
  <data>
    <tabular pivotCacheId="149287892">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03356884-9A81-45F2-A423-6B10CF738693}" sourceName="test preparation course">
  <pivotTables>
    <pivotTable tabId="3" name="PivotTable2"/>
    <pivotTable tabId="5" name="PivotTable4"/>
    <pivotTable tabId="12" name="PivotTable10"/>
    <pivotTable tabId="9" name="PivotTable7"/>
    <pivotTable tabId="4" name="PivotTable3"/>
    <pivotTable tabId="13" name="PivotTable11"/>
    <pivotTable tabId="11" name="PivotTable9"/>
    <pivotTable tabId="8" name="PivotTable6"/>
    <pivotTable tabId="10" name="PivotTable8"/>
  </pivotTables>
  <data>
    <tabular pivotCacheId="149287892">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Category" xr10:uid="{AD2CFBD2-D3A7-49DF-A90B-CF1822E54EF1}" sourceName="PerformanceCategory">
  <pivotTables>
    <pivotTable tabId="3" name="PivotTable2"/>
    <pivotTable tabId="5" name="PivotTable4"/>
    <pivotTable tabId="12" name="PivotTable10"/>
    <pivotTable tabId="9" name="PivotTable7"/>
    <pivotTable tabId="4" name="PivotTable3"/>
    <pivotTable tabId="13" name="PivotTable11"/>
    <pivotTable tabId="11" name="PivotTable9"/>
    <pivotTable tabId="8" name="PivotTable6"/>
    <pivotTable tabId="10" name="PivotTable8"/>
  </pivotTables>
  <data>
    <tabular pivotCacheId="149287892">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128784B-468C-41E4-8D08-5E824CF46C2C}" cache="Slicer_gender" caption="gender" rowHeight="247650"/>
  <slicer name="race/ethnicity" xr10:uid="{3F99F4B5-F1B1-4019-AD15-937ED1C46CDC}" cache="Slicer_race_ethnicity" caption="race/ethnicity" rowHeight="247650"/>
  <slicer name="parental level of education" xr10:uid="{9A56A104-C75A-4F08-A5DA-0A1540AC6310}" cache="Slicer_parental_level_of_education" caption="parental level of education" rowHeight="247650"/>
  <slicer name="lunch" xr10:uid="{9A75871F-5FCF-4207-8E93-634ADFB2CF97}" cache="Slicer_lunch" caption="lunch" rowHeight="247650"/>
  <slicer name="test preparation course" xr10:uid="{0DCFCC58-8CF3-4A80-A09F-15EFCEFB787F}" cache="Slicer_test_preparation_course" caption="test preparation course" rowHeight="247650"/>
  <slicer name="PerformanceCategory" xr10:uid="{B13F6CFE-FA7E-449B-87B0-3F8413ED816B}" cache="Slicer_PerformanceCategory" caption="Performance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0F1B77-1A65-44FA-88AB-72F6C6871D83}" name="StudentsTable" displayName="StudentsTable" ref="A1:O1001" totalsRowShown="0">
  <autoFilter ref="A1:O1001" xr:uid="{400F1B77-1A65-44FA-88AB-72F6C6871D83}"/>
  <tableColumns count="15">
    <tableColumn id="1" xr3:uid="{B3738A26-D46C-4836-9940-A011DC9566B4}" name="gender"/>
    <tableColumn id="2" xr3:uid="{D7D25309-D4B1-4D4A-9A21-91408B9482DA}" name="race/ethnicity"/>
    <tableColumn id="3" xr3:uid="{5ED35186-29A4-4BB2-BEF6-9B630EB086A0}" name="parental level of education"/>
    <tableColumn id="4" xr3:uid="{FF7952B2-FD33-47DA-8493-521F93645E39}" name="lunch"/>
    <tableColumn id="5" xr3:uid="{2577EFCB-B663-476D-AFB4-DE80B8BBCF48}" name="test preparation course"/>
    <tableColumn id="6" xr3:uid="{6B26100B-B263-43B4-A65E-A48363C3DAF9}" name="math score"/>
    <tableColumn id="7" xr3:uid="{26BDECFB-E3CA-4AD1-9EDB-22E2417B1E52}" name="reading score"/>
    <tableColumn id="8" xr3:uid="{E0D878E2-4193-4FF5-99D8-E4467D641882}" name="writing score"/>
    <tableColumn id="9" xr3:uid="{A300C38E-FE68-4B32-B685-1E83025EF9B5}" name="TotalScore">
      <calculatedColumnFormula>StudentsTable[[#This Row],[math score]]+StudentsTable[[#This Row],[reading score]]+StudentsTable[[#This Row],[writing score]]</calculatedColumnFormula>
    </tableColumn>
    <tableColumn id="10" xr3:uid="{D454E2F3-E15B-4787-B2BD-07AE3561B7D5}" name="AverageScore">
      <calculatedColumnFormula>StudentsTable[[#This Row],[TotalScore]]/3</calculatedColumnFormula>
    </tableColumn>
    <tableColumn id="11" xr3:uid="{00A8148E-278B-42D4-B49F-5C1C0D6615D6}" name="Grade">
      <calculatedColumnFormula array="1">_xlfn.IFS(StudentsTable[[#This Row],[AverageScore]]&gt;=90,"A",StudentsTable[[#This Row],[AverageScore]]&gt;=80,"B",StudentsTable[[#This Row],[AverageScore]]&gt;=70,"C",StudentsTable[[#This Row],[AverageScore]]&gt;=60,"D",TRUE,"F")</calculatedColumnFormula>
    </tableColumn>
    <tableColumn id="12" xr3:uid="{DF3673BA-B6A3-49A0-9EA9-BFF7A6C55A2C}" name="Pass_Fail">
      <calculatedColumnFormula>IF(StudentsTable[[#This Row],[AverageScore]]&gt;=60,"Pass","Fail")</calculatedColumnFormula>
    </tableColumn>
    <tableColumn id="13" xr3:uid="{0B69EA49-0F4B-4C43-8AFF-A3889206E36D}" name="PerformanceCategory">
      <calculatedColumnFormula array="1">_xlfn.IFS(StudentsTable[[#This Row],[AverageScore]]&gt;=85,"Advanced",StudentsTable[[#This Row],[AverageScore]]&gt;=70,"Intermediate",StudentsTable[[#This Row],[AverageScore]]&gt;=60,"Basic",TRUE,"Needs Help")</calculatedColumnFormula>
    </tableColumn>
    <tableColumn id="14" xr3:uid="{FE32DCBA-934B-4774-BEBE-7639CA7C431A}" name="Rank">
      <calculatedColumnFormula>RANK(StudentsTable[[#This Row],[AverageScore]],StudentsTable[AverageScore])</calculatedColumnFormula>
    </tableColumn>
    <tableColumn id="15" xr3:uid="{F5A645CD-DAF9-4F9A-A767-0B0129D27BE6}" name="StandardizedScore">
      <calculatedColumnFormula>(StudentsTable[[#This Row],[AverageScore]]-MIN(StudentsTable[AverageScore]))/(MAX(StudentsTable[AverageScore])-MIN(StudentsTable[AverageScore]))*100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D6F01-4B84-4FE3-A3A5-0ED831D40BF9}">
  <dimension ref="A1:O1001"/>
  <sheetViews>
    <sheetView topLeftCell="A2" workbookViewId="0">
      <selection activeCell="C23" sqref="C23"/>
    </sheetView>
  </sheetViews>
  <sheetFormatPr defaultRowHeight="14.4" x14ac:dyDescent="0.3"/>
  <cols>
    <col min="2" max="2" width="14.5546875" customWidth="1"/>
    <col min="3" max="3" width="24.77734375" customWidth="1"/>
    <col min="5" max="5" width="22.109375" customWidth="1"/>
    <col min="6" max="6" width="12.109375" customWidth="1"/>
    <col min="7" max="7" width="14" customWidth="1"/>
    <col min="8" max="8" width="13.44140625" customWidth="1"/>
    <col min="9" max="9" width="11.77734375" customWidth="1"/>
    <col min="10" max="10" width="14.21875" customWidth="1"/>
    <col min="12" max="12" width="10.6640625" customWidth="1"/>
    <col min="13" max="13" width="20.88671875" customWidth="1"/>
    <col min="15" max="15" width="18.88671875" customWidth="1"/>
  </cols>
  <sheetData>
    <row r="1" spans="1:15" x14ac:dyDescent="0.3">
      <c r="A1" t="s">
        <v>0</v>
      </c>
      <c r="B1" t="s">
        <v>1</v>
      </c>
      <c r="C1" t="s">
        <v>2</v>
      </c>
      <c r="D1" t="s">
        <v>3</v>
      </c>
      <c r="E1" t="s">
        <v>4</v>
      </c>
      <c r="F1" t="s">
        <v>5</v>
      </c>
      <c r="G1" t="s">
        <v>6</v>
      </c>
      <c r="H1" t="s">
        <v>7</v>
      </c>
      <c r="I1" t="s">
        <v>25</v>
      </c>
      <c r="J1" t="s">
        <v>26</v>
      </c>
      <c r="K1" t="s">
        <v>27</v>
      </c>
      <c r="L1" t="s">
        <v>28</v>
      </c>
      <c r="M1" t="s">
        <v>29</v>
      </c>
      <c r="N1" t="s">
        <v>30</v>
      </c>
      <c r="O1" t="s">
        <v>31</v>
      </c>
    </row>
    <row r="2" spans="1:15" x14ac:dyDescent="0.3">
      <c r="A2" t="s">
        <v>8</v>
      </c>
      <c r="B2" t="s">
        <v>9</v>
      </c>
      <c r="C2" t="s">
        <v>10</v>
      </c>
      <c r="D2" t="s">
        <v>11</v>
      </c>
      <c r="E2" t="s">
        <v>12</v>
      </c>
      <c r="F2">
        <v>72</v>
      </c>
      <c r="G2">
        <v>72</v>
      </c>
      <c r="H2">
        <v>74</v>
      </c>
      <c r="I2">
        <f>StudentsTable[[#This Row],[math score]]+StudentsTable[[#This Row],[reading score]]+StudentsTable[[#This Row],[writing score]]</f>
        <v>218</v>
      </c>
      <c r="J2">
        <f>StudentsTable[[#This Row],[TotalScore]]/3</f>
        <v>72.666666666666671</v>
      </c>
      <c r="K2" t="str" cm="1">
        <f t="array" ref="K2">_xlfn.IFS(StudentsTable[[#This Row],[AverageScore]]&gt;=90,"A",StudentsTable[[#This Row],[AverageScore]]&gt;=80,"B",StudentsTable[[#This Row],[AverageScore]]&gt;=70,"C",StudentsTable[[#This Row],[AverageScore]]&gt;=60,"D",TRUE,"F")</f>
        <v>C</v>
      </c>
      <c r="L2" t="str">
        <f>IF(StudentsTable[[#This Row],[AverageScore]]&gt;=60,"Pass","Fail")</f>
        <v>Pass</v>
      </c>
      <c r="M2" t="str" cm="1">
        <f t="array" ref="M2">_xlfn.IFS(StudentsTable[[#This Row],[AverageScore]]&gt;=85,"Advanced",StudentsTable[[#This Row],[AverageScore]]&gt;=70,"Intermediate",StudentsTable[[#This Row],[AverageScore]]&gt;=60,"Basic",TRUE,"Needs Help")</f>
        <v>Intermediate</v>
      </c>
      <c r="N2">
        <f>RANK(StudentsTable[[#This Row],[AverageScore]],StudentsTable[AverageScore])</f>
        <v>379</v>
      </c>
      <c r="O2">
        <f>(StudentsTable[[#This Row],[AverageScore]]-MIN(StudentsTable[AverageScore]))/(MAX(StudentsTable[AverageScore])-MIN(StudentsTable[AverageScore]))*100</f>
        <v>69.963369963369971</v>
      </c>
    </row>
    <row r="3" spans="1:15" x14ac:dyDescent="0.3">
      <c r="A3" t="s">
        <v>8</v>
      </c>
      <c r="B3" t="s">
        <v>13</v>
      </c>
      <c r="C3" t="s">
        <v>14</v>
      </c>
      <c r="D3" t="s">
        <v>11</v>
      </c>
      <c r="E3" t="s">
        <v>15</v>
      </c>
      <c r="F3">
        <v>69</v>
      </c>
      <c r="G3">
        <v>90</v>
      </c>
      <c r="H3">
        <v>88</v>
      </c>
      <c r="I3">
        <f>StudentsTable[[#This Row],[math score]]+StudentsTable[[#This Row],[reading score]]+StudentsTable[[#This Row],[writing score]]</f>
        <v>247</v>
      </c>
      <c r="J3">
        <f>StudentsTable[[#This Row],[TotalScore]]/3</f>
        <v>82.333333333333329</v>
      </c>
      <c r="K3" t="str" cm="1">
        <f t="array" ref="K3">_xlfn.IFS(StudentsTable[[#This Row],[AverageScore]]&gt;=90,"A",StudentsTable[[#This Row],[AverageScore]]&gt;=80,"B",StudentsTable[[#This Row],[AverageScore]]&gt;=70,"C",StudentsTable[[#This Row],[AverageScore]]&gt;=60,"D",TRUE,"F")</f>
        <v>B</v>
      </c>
      <c r="L3" t="str">
        <f>IF(StudentsTable[[#This Row],[AverageScore]]&gt;=60,"Pass","Fail")</f>
        <v>Pass</v>
      </c>
      <c r="M3" t="str" cm="1">
        <f t="array" ref="M3">_xlfn.IFS(StudentsTable[[#This Row],[AverageScore]]&gt;=85,"Advanced",StudentsTable[[#This Row],[AverageScore]]&gt;=70,"Intermediate",StudentsTable[[#This Row],[AverageScore]]&gt;=60,"Basic",TRUE,"Needs Help")</f>
        <v>Intermediate</v>
      </c>
      <c r="N3">
        <f>RANK(StudentsTable[[#This Row],[AverageScore]],StudentsTable[AverageScore])</f>
        <v>155</v>
      </c>
      <c r="O3">
        <f>(StudentsTable[[#This Row],[AverageScore]]-MIN(StudentsTable[AverageScore]))/(MAX(StudentsTable[AverageScore])-MIN(StudentsTable[AverageScore]))*100</f>
        <v>80.586080586080584</v>
      </c>
    </row>
    <row r="4" spans="1:15" x14ac:dyDescent="0.3">
      <c r="A4" t="s">
        <v>8</v>
      </c>
      <c r="B4" t="s">
        <v>9</v>
      </c>
      <c r="C4" t="s">
        <v>16</v>
      </c>
      <c r="D4" t="s">
        <v>11</v>
      </c>
      <c r="E4" t="s">
        <v>12</v>
      </c>
      <c r="F4">
        <v>90</v>
      </c>
      <c r="G4">
        <v>95</v>
      </c>
      <c r="H4">
        <v>93</v>
      </c>
      <c r="I4">
        <f>StudentsTable[[#This Row],[math score]]+StudentsTable[[#This Row],[reading score]]+StudentsTable[[#This Row],[writing score]]</f>
        <v>278</v>
      </c>
      <c r="J4">
        <f>StudentsTable[[#This Row],[TotalScore]]/3</f>
        <v>92.666666666666671</v>
      </c>
      <c r="K4" t="str" cm="1">
        <f t="array" ref="K4">_xlfn.IFS(StudentsTable[[#This Row],[AverageScore]]&gt;=90,"A",StudentsTable[[#This Row],[AverageScore]]&gt;=80,"B",StudentsTable[[#This Row],[AverageScore]]&gt;=70,"C",StudentsTable[[#This Row],[AverageScore]]&gt;=60,"D",TRUE,"F")</f>
        <v>A</v>
      </c>
      <c r="L4" t="str">
        <f>IF(StudentsTable[[#This Row],[AverageScore]]&gt;=60,"Pass","Fail")</f>
        <v>Pass</v>
      </c>
      <c r="M4" t="str" cm="1">
        <f t="array" ref="M4">_xlfn.IFS(StudentsTable[[#This Row],[AverageScore]]&gt;=85,"Advanced",StudentsTable[[#This Row],[AverageScore]]&gt;=70,"Intermediate",StudentsTable[[#This Row],[AverageScore]]&gt;=60,"Basic",TRUE,"Needs Help")</f>
        <v>Advanced</v>
      </c>
      <c r="N4">
        <f>RANK(StudentsTable[[#This Row],[AverageScore]],StudentsTable[AverageScore])</f>
        <v>31</v>
      </c>
      <c r="O4">
        <f>(StudentsTable[[#This Row],[AverageScore]]-MIN(StudentsTable[AverageScore]))/(MAX(StudentsTable[AverageScore])-MIN(StudentsTable[AverageScore]))*100</f>
        <v>91.941391941391942</v>
      </c>
    </row>
    <row r="5" spans="1:15" x14ac:dyDescent="0.3">
      <c r="A5" t="s">
        <v>17</v>
      </c>
      <c r="B5" t="s">
        <v>18</v>
      </c>
      <c r="C5" t="s">
        <v>19</v>
      </c>
      <c r="D5" t="s">
        <v>20</v>
      </c>
      <c r="E5" t="s">
        <v>12</v>
      </c>
      <c r="F5">
        <v>47</v>
      </c>
      <c r="G5">
        <v>57</v>
      </c>
      <c r="H5">
        <v>44</v>
      </c>
      <c r="I5">
        <f>StudentsTable[[#This Row],[math score]]+StudentsTable[[#This Row],[reading score]]+StudentsTable[[#This Row],[writing score]]</f>
        <v>148</v>
      </c>
      <c r="J5">
        <f>StudentsTable[[#This Row],[TotalScore]]/3</f>
        <v>49.333333333333336</v>
      </c>
      <c r="K5" t="str" cm="1">
        <f t="array" ref="K5">_xlfn.IFS(StudentsTable[[#This Row],[AverageScore]]&gt;=90,"A",StudentsTable[[#This Row],[AverageScore]]&gt;=80,"B",StudentsTable[[#This Row],[AverageScore]]&gt;=70,"C",StudentsTable[[#This Row],[AverageScore]]&gt;=60,"D",TRUE,"F")</f>
        <v>F</v>
      </c>
      <c r="L5" t="str">
        <f>IF(StudentsTable[[#This Row],[AverageScore]]&gt;=60,"Pass","Fail")</f>
        <v>Fail</v>
      </c>
      <c r="M5" t="str" cm="1">
        <f t="array" ref="M5">_xlfn.IFS(StudentsTable[[#This Row],[AverageScore]]&gt;=85,"Advanced",StudentsTable[[#This Row],[AverageScore]]&gt;=70,"Intermediate",StudentsTable[[#This Row],[AverageScore]]&gt;=60,"Basic",TRUE,"Needs Help")</f>
        <v>Needs Help</v>
      </c>
      <c r="N5">
        <f>RANK(StudentsTable[[#This Row],[AverageScore]],StudentsTable[AverageScore])</f>
        <v>901</v>
      </c>
      <c r="O5">
        <f>(StudentsTable[[#This Row],[AverageScore]]-MIN(StudentsTable[AverageScore]))/(MAX(StudentsTable[AverageScore])-MIN(StudentsTable[AverageScore]))*100</f>
        <v>44.322344322344328</v>
      </c>
    </row>
    <row r="6" spans="1:15" x14ac:dyDescent="0.3">
      <c r="A6" t="s">
        <v>17</v>
      </c>
      <c r="B6" t="s">
        <v>13</v>
      </c>
      <c r="C6" t="s">
        <v>14</v>
      </c>
      <c r="D6" t="s">
        <v>11</v>
      </c>
      <c r="E6" t="s">
        <v>12</v>
      </c>
      <c r="F6">
        <v>76</v>
      </c>
      <c r="G6">
        <v>78</v>
      </c>
      <c r="H6">
        <v>75</v>
      </c>
      <c r="I6">
        <f>StudentsTable[[#This Row],[math score]]+StudentsTable[[#This Row],[reading score]]+StudentsTable[[#This Row],[writing score]]</f>
        <v>229</v>
      </c>
      <c r="J6">
        <f>StudentsTable[[#This Row],[TotalScore]]/3</f>
        <v>76.333333333333329</v>
      </c>
      <c r="K6" t="str" cm="1">
        <f t="array" ref="K6">_xlfn.IFS(StudentsTable[[#This Row],[AverageScore]]&gt;=90,"A",StudentsTable[[#This Row],[AverageScore]]&gt;=80,"B",StudentsTable[[#This Row],[AverageScore]]&gt;=70,"C",StudentsTable[[#This Row],[AverageScore]]&gt;=60,"D",TRUE,"F")</f>
        <v>C</v>
      </c>
      <c r="L6" t="str">
        <f>IF(StudentsTable[[#This Row],[AverageScore]]&gt;=60,"Pass","Fail")</f>
        <v>Pass</v>
      </c>
      <c r="M6" t="str" cm="1">
        <f t="array" ref="M6">_xlfn.IFS(StudentsTable[[#This Row],[AverageScore]]&gt;=85,"Advanced",StudentsTable[[#This Row],[AverageScore]]&gt;=70,"Intermediate",StudentsTable[[#This Row],[AverageScore]]&gt;=60,"Basic",TRUE,"Needs Help")</f>
        <v>Intermediate</v>
      </c>
      <c r="N6">
        <f>RANK(StudentsTable[[#This Row],[AverageScore]],StudentsTable[AverageScore])</f>
        <v>282</v>
      </c>
      <c r="O6">
        <f>(StudentsTable[[#This Row],[AverageScore]]-MIN(StudentsTable[AverageScore]))/(MAX(StudentsTable[AverageScore])-MIN(StudentsTable[AverageScore]))*100</f>
        <v>73.992673992673986</v>
      </c>
    </row>
    <row r="7" spans="1:15" x14ac:dyDescent="0.3">
      <c r="A7" t="s">
        <v>8</v>
      </c>
      <c r="B7" t="s">
        <v>9</v>
      </c>
      <c r="C7" t="s">
        <v>19</v>
      </c>
      <c r="D7" t="s">
        <v>11</v>
      </c>
      <c r="E7" t="s">
        <v>12</v>
      </c>
      <c r="F7">
        <v>71</v>
      </c>
      <c r="G7">
        <v>83</v>
      </c>
      <c r="H7">
        <v>78</v>
      </c>
      <c r="I7">
        <f>StudentsTable[[#This Row],[math score]]+StudentsTable[[#This Row],[reading score]]+StudentsTable[[#This Row],[writing score]]</f>
        <v>232</v>
      </c>
      <c r="J7">
        <f>StudentsTable[[#This Row],[TotalScore]]/3</f>
        <v>77.333333333333329</v>
      </c>
      <c r="K7" t="str" cm="1">
        <f t="array" ref="K7">_xlfn.IFS(StudentsTable[[#This Row],[AverageScore]]&gt;=90,"A",StudentsTable[[#This Row],[AverageScore]]&gt;=80,"B",StudentsTable[[#This Row],[AverageScore]]&gt;=70,"C",StudentsTable[[#This Row],[AverageScore]]&gt;=60,"D",TRUE,"F")</f>
        <v>C</v>
      </c>
      <c r="L7" t="str">
        <f>IF(StudentsTable[[#This Row],[AverageScore]]&gt;=60,"Pass","Fail")</f>
        <v>Pass</v>
      </c>
      <c r="M7" t="str" cm="1">
        <f t="array" ref="M7">_xlfn.IFS(StudentsTable[[#This Row],[AverageScore]]&gt;=85,"Advanced",StudentsTable[[#This Row],[AverageScore]]&gt;=70,"Intermediate",StudentsTable[[#This Row],[AverageScore]]&gt;=60,"Basic",TRUE,"Needs Help")</f>
        <v>Intermediate</v>
      </c>
      <c r="N7">
        <f>RANK(StudentsTable[[#This Row],[AverageScore]],StudentsTable[AverageScore])</f>
        <v>255</v>
      </c>
      <c r="O7">
        <f>(StudentsTable[[#This Row],[AverageScore]]-MIN(StudentsTable[AverageScore]))/(MAX(StudentsTable[AverageScore])-MIN(StudentsTable[AverageScore]))*100</f>
        <v>75.091575091575095</v>
      </c>
    </row>
    <row r="8" spans="1:15" x14ac:dyDescent="0.3">
      <c r="A8" t="s">
        <v>8</v>
      </c>
      <c r="B8" t="s">
        <v>9</v>
      </c>
      <c r="C8" t="s">
        <v>14</v>
      </c>
      <c r="D8" t="s">
        <v>11</v>
      </c>
      <c r="E8" t="s">
        <v>15</v>
      </c>
      <c r="F8">
        <v>88</v>
      </c>
      <c r="G8">
        <v>95</v>
      </c>
      <c r="H8">
        <v>92</v>
      </c>
      <c r="I8">
        <f>StudentsTable[[#This Row],[math score]]+StudentsTable[[#This Row],[reading score]]+StudentsTable[[#This Row],[writing score]]</f>
        <v>275</v>
      </c>
      <c r="J8">
        <f>StudentsTable[[#This Row],[TotalScore]]/3</f>
        <v>91.666666666666671</v>
      </c>
      <c r="K8" t="str" cm="1">
        <f t="array" ref="K8">_xlfn.IFS(StudentsTable[[#This Row],[AverageScore]]&gt;=90,"A",StudentsTable[[#This Row],[AverageScore]]&gt;=80,"B",StudentsTable[[#This Row],[AverageScore]]&gt;=70,"C",StudentsTable[[#This Row],[AverageScore]]&gt;=60,"D",TRUE,"F")</f>
        <v>A</v>
      </c>
      <c r="L8" t="str">
        <f>IF(StudentsTable[[#This Row],[AverageScore]]&gt;=60,"Pass","Fail")</f>
        <v>Pass</v>
      </c>
      <c r="M8" t="str" cm="1">
        <f t="array" ref="M8">_xlfn.IFS(StudentsTable[[#This Row],[AverageScore]]&gt;=85,"Advanced",StudentsTable[[#This Row],[AverageScore]]&gt;=70,"Intermediate",StudentsTable[[#This Row],[AverageScore]]&gt;=60,"Basic",TRUE,"Needs Help")</f>
        <v>Advanced</v>
      </c>
      <c r="N8">
        <f>RANK(StudentsTable[[#This Row],[AverageScore]],StudentsTable[AverageScore])</f>
        <v>37</v>
      </c>
      <c r="O8">
        <f>(StudentsTable[[#This Row],[AverageScore]]-MIN(StudentsTable[AverageScore]))/(MAX(StudentsTable[AverageScore])-MIN(StudentsTable[AverageScore]))*100</f>
        <v>90.842490842490847</v>
      </c>
    </row>
    <row r="9" spans="1:15" x14ac:dyDescent="0.3">
      <c r="A9" t="s">
        <v>17</v>
      </c>
      <c r="B9" t="s">
        <v>9</v>
      </c>
      <c r="C9" t="s">
        <v>14</v>
      </c>
      <c r="D9" t="s">
        <v>20</v>
      </c>
      <c r="E9" t="s">
        <v>12</v>
      </c>
      <c r="F9">
        <v>40</v>
      </c>
      <c r="G9">
        <v>43</v>
      </c>
      <c r="H9">
        <v>39</v>
      </c>
      <c r="I9">
        <f>StudentsTable[[#This Row],[math score]]+StudentsTable[[#This Row],[reading score]]+StudentsTable[[#This Row],[writing score]]</f>
        <v>122</v>
      </c>
      <c r="J9">
        <f>StudentsTable[[#This Row],[TotalScore]]/3</f>
        <v>40.666666666666664</v>
      </c>
      <c r="K9" t="str" cm="1">
        <f t="array" ref="K9">_xlfn.IFS(StudentsTable[[#This Row],[AverageScore]]&gt;=90,"A",StudentsTable[[#This Row],[AverageScore]]&gt;=80,"B",StudentsTable[[#This Row],[AverageScore]]&gt;=70,"C",StudentsTable[[#This Row],[AverageScore]]&gt;=60,"D",TRUE,"F")</f>
        <v>F</v>
      </c>
      <c r="L9" t="str">
        <f>IF(StudentsTable[[#This Row],[AverageScore]]&gt;=60,"Pass","Fail")</f>
        <v>Fail</v>
      </c>
      <c r="M9" t="str" cm="1">
        <f t="array" ref="M9">_xlfn.IFS(StudentsTable[[#This Row],[AverageScore]]&gt;=85,"Advanced",StudentsTable[[#This Row],[AverageScore]]&gt;=70,"Intermediate",StudentsTable[[#This Row],[AverageScore]]&gt;=60,"Basic",TRUE,"Needs Help")</f>
        <v>Needs Help</v>
      </c>
      <c r="N9">
        <f>RANK(StudentsTable[[#This Row],[AverageScore]],StudentsTable[AverageScore])</f>
        <v>967</v>
      </c>
      <c r="O9">
        <f>(StudentsTable[[#This Row],[AverageScore]]-MIN(StudentsTable[AverageScore]))/(MAX(StudentsTable[AverageScore])-MIN(StudentsTable[AverageScore]))*100</f>
        <v>34.798534798534796</v>
      </c>
    </row>
    <row r="10" spans="1:15" x14ac:dyDescent="0.3">
      <c r="A10" t="s">
        <v>17</v>
      </c>
      <c r="B10" t="s">
        <v>21</v>
      </c>
      <c r="C10" t="s">
        <v>22</v>
      </c>
      <c r="D10" t="s">
        <v>20</v>
      </c>
      <c r="E10" t="s">
        <v>15</v>
      </c>
      <c r="F10">
        <v>64</v>
      </c>
      <c r="G10">
        <v>64</v>
      </c>
      <c r="H10">
        <v>67</v>
      </c>
      <c r="I10">
        <f>StudentsTable[[#This Row],[math score]]+StudentsTable[[#This Row],[reading score]]+StudentsTable[[#This Row],[writing score]]</f>
        <v>195</v>
      </c>
      <c r="J10">
        <f>StudentsTable[[#This Row],[TotalScore]]/3</f>
        <v>65</v>
      </c>
      <c r="K10" t="str" cm="1">
        <f t="array" ref="K10">_xlfn.IFS(StudentsTable[[#This Row],[AverageScore]]&gt;=90,"A",StudentsTable[[#This Row],[AverageScore]]&gt;=80,"B",StudentsTable[[#This Row],[AverageScore]]&gt;=70,"C",StudentsTable[[#This Row],[AverageScore]]&gt;=60,"D",TRUE,"F")</f>
        <v>D</v>
      </c>
      <c r="L10" t="str">
        <f>IF(StudentsTable[[#This Row],[AverageScore]]&gt;=60,"Pass","Fail")</f>
        <v>Pass</v>
      </c>
      <c r="M10" t="str" cm="1">
        <f t="array" ref="M10">_xlfn.IFS(StudentsTable[[#This Row],[AverageScore]]&gt;=85,"Advanced",StudentsTable[[#This Row],[AverageScore]]&gt;=70,"Intermediate",StudentsTable[[#This Row],[AverageScore]]&gt;=60,"Basic",TRUE,"Needs Help")</f>
        <v>Basic</v>
      </c>
      <c r="N10">
        <f>RANK(StudentsTable[[#This Row],[AverageScore]],StudentsTable[AverageScore])</f>
        <v>593</v>
      </c>
      <c r="O10">
        <f>(StudentsTable[[#This Row],[AverageScore]]-MIN(StudentsTable[AverageScore]))/(MAX(StudentsTable[AverageScore])-MIN(StudentsTable[AverageScore]))*100</f>
        <v>61.53846153846154</v>
      </c>
    </row>
    <row r="11" spans="1:15" x14ac:dyDescent="0.3">
      <c r="A11" t="s">
        <v>8</v>
      </c>
      <c r="B11" t="s">
        <v>9</v>
      </c>
      <c r="C11" t="s">
        <v>22</v>
      </c>
      <c r="D11" t="s">
        <v>20</v>
      </c>
      <c r="E11" t="s">
        <v>12</v>
      </c>
      <c r="F11">
        <v>38</v>
      </c>
      <c r="G11">
        <v>60</v>
      </c>
      <c r="H11">
        <v>50</v>
      </c>
      <c r="I11">
        <f>StudentsTable[[#This Row],[math score]]+StudentsTable[[#This Row],[reading score]]+StudentsTable[[#This Row],[writing score]]</f>
        <v>148</v>
      </c>
      <c r="J11">
        <f>StudentsTable[[#This Row],[TotalScore]]/3</f>
        <v>49.333333333333336</v>
      </c>
      <c r="K11" t="str" cm="1">
        <f t="array" ref="K11">_xlfn.IFS(StudentsTable[[#This Row],[AverageScore]]&gt;=90,"A",StudentsTable[[#This Row],[AverageScore]]&gt;=80,"B",StudentsTable[[#This Row],[AverageScore]]&gt;=70,"C",StudentsTable[[#This Row],[AverageScore]]&gt;=60,"D",TRUE,"F")</f>
        <v>F</v>
      </c>
      <c r="L11" t="str">
        <f>IF(StudentsTable[[#This Row],[AverageScore]]&gt;=60,"Pass","Fail")</f>
        <v>Fail</v>
      </c>
      <c r="M11" t="str" cm="1">
        <f t="array" ref="M11">_xlfn.IFS(StudentsTable[[#This Row],[AverageScore]]&gt;=85,"Advanced",StudentsTable[[#This Row],[AverageScore]]&gt;=70,"Intermediate",StudentsTable[[#This Row],[AverageScore]]&gt;=60,"Basic",TRUE,"Needs Help")</f>
        <v>Needs Help</v>
      </c>
      <c r="N11">
        <f>RANK(StudentsTable[[#This Row],[AverageScore]],StudentsTable[AverageScore])</f>
        <v>901</v>
      </c>
      <c r="O11">
        <f>(StudentsTable[[#This Row],[AverageScore]]-MIN(StudentsTable[AverageScore]))/(MAX(StudentsTable[AverageScore])-MIN(StudentsTable[AverageScore]))*100</f>
        <v>44.322344322344328</v>
      </c>
    </row>
    <row r="12" spans="1:15" x14ac:dyDescent="0.3">
      <c r="A12" t="s">
        <v>17</v>
      </c>
      <c r="B12" t="s">
        <v>13</v>
      </c>
      <c r="C12" t="s">
        <v>19</v>
      </c>
      <c r="D12" t="s">
        <v>11</v>
      </c>
      <c r="E12" t="s">
        <v>12</v>
      </c>
      <c r="F12">
        <v>58</v>
      </c>
      <c r="G12">
        <v>54</v>
      </c>
      <c r="H12">
        <v>52</v>
      </c>
      <c r="I12">
        <f>StudentsTable[[#This Row],[math score]]+StudentsTable[[#This Row],[reading score]]+StudentsTable[[#This Row],[writing score]]</f>
        <v>164</v>
      </c>
      <c r="J12">
        <f>StudentsTable[[#This Row],[TotalScore]]/3</f>
        <v>54.666666666666664</v>
      </c>
      <c r="K12" t="str" cm="1">
        <f t="array" ref="K12">_xlfn.IFS(StudentsTable[[#This Row],[AverageScore]]&gt;=90,"A",StudentsTable[[#This Row],[AverageScore]]&gt;=80,"B",StudentsTable[[#This Row],[AverageScore]]&gt;=70,"C",StudentsTable[[#This Row],[AverageScore]]&gt;=60,"D",TRUE,"F")</f>
        <v>F</v>
      </c>
      <c r="L12" t="str">
        <f>IF(StudentsTable[[#This Row],[AverageScore]]&gt;=60,"Pass","Fail")</f>
        <v>Fail</v>
      </c>
      <c r="M12" t="str" cm="1">
        <f t="array" ref="M12">_xlfn.IFS(StudentsTable[[#This Row],[AverageScore]]&gt;=85,"Advanced",StudentsTable[[#This Row],[AverageScore]]&gt;=70,"Intermediate",StudentsTable[[#This Row],[AverageScore]]&gt;=60,"Basic",TRUE,"Needs Help")</f>
        <v>Needs Help</v>
      </c>
      <c r="N12">
        <f>RANK(StudentsTable[[#This Row],[AverageScore]],StudentsTable[AverageScore])</f>
        <v>810</v>
      </c>
      <c r="O12">
        <f>(StudentsTable[[#This Row],[AverageScore]]-MIN(StudentsTable[AverageScore]))/(MAX(StudentsTable[AverageScore])-MIN(StudentsTable[AverageScore]))*100</f>
        <v>50.183150183150182</v>
      </c>
    </row>
    <row r="13" spans="1:15" x14ac:dyDescent="0.3">
      <c r="A13" t="s">
        <v>17</v>
      </c>
      <c r="B13" t="s">
        <v>21</v>
      </c>
      <c r="C13" t="s">
        <v>19</v>
      </c>
      <c r="D13" t="s">
        <v>11</v>
      </c>
      <c r="E13" t="s">
        <v>12</v>
      </c>
      <c r="F13">
        <v>40</v>
      </c>
      <c r="G13">
        <v>52</v>
      </c>
      <c r="H13">
        <v>43</v>
      </c>
      <c r="I13">
        <f>StudentsTable[[#This Row],[math score]]+StudentsTable[[#This Row],[reading score]]+StudentsTable[[#This Row],[writing score]]</f>
        <v>135</v>
      </c>
      <c r="J13">
        <f>StudentsTable[[#This Row],[TotalScore]]/3</f>
        <v>45</v>
      </c>
      <c r="K13" t="str" cm="1">
        <f t="array" ref="K13">_xlfn.IFS(StudentsTable[[#This Row],[AverageScore]]&gt;=90,"A",StudentsTable[[#This Row],[AverageScore]]&gt;=80,"B",StudentsTable[[#This Row],[AverageScore]]&gt;=70,"C",StudentsTable[[#This Row],[AverageScore]]&gt;=60,"D",TRUE,"F")</f>
        <v>F</v>
      </c>
      <c r="L13" t="str">
        <f>IF(StudentsTable[[#This Row],[AverageScore]]&gt;=60,"Pass","Fail")</f>
        <v>Fail</v>
      </c>
      <c r="M13" t="str" cm="1">
        <f t="array" ref="M13">_xlfn.IFS(StudentsTable[[#This Row],[AverageScore]]&gt;=85,"Advanced",StudentsTable[[#This Row],[AverageScore]]&gt;=70,"Intermediate",StudentsTable[[#This Row],[AverageScore]]&gt;=60,"Basic",TRUE,"Needs Help")</f>
        <v>Needs Help</v>
      </c>
      <c r="N13">
        <f>RANK(StudentsTable[[#This Row],[AverageScore]],StudentsTable[AverageScore])</f>
        <v>945</v>
      </c>
      <c r="O13">
        <f>(StudentsTable[[#This Row],[AverageScore]]-MIN(StudentsTable[AverageScore]))/(MAX(StudentsTable[AverageScore])-MIN(StudentsTable[AverageScore]))*100</f>
        <v>39.560439560439562</v>
      </c>
    </row>
    <row r="14" spans="1:15" x14ac:dyDescent="0.3">
      <c r="A14" t="s">
        <v>8</v>
      </c>
      <c r="B14" t="s">
        <v>9</v>
      </c>
      <c r="C14" t="s">
        <v>22</v>
      </c>
      <c r="D14" t="s">
        <v>11</v>
      </c>
      <c r="E14" t="s">
        <v>12</v>
      </c>
      <c r="F14">
        <v>65</v>
      </c>
      <c r="G14">
        <v>81</v>
      </c>
      <c r="H14">
        <v>73</v>
      </c>
      <c r="I14">
        <f>StudentsTable[[#This Row],[math score]]+StudentsTable[[#This Row],[reading score]]+StudentsTable[[#This Row],[writing score]]</f>
        <v>219</v>
      </c>
      <c r="J14">
        <f>StudentsTable[[#This Row],[TotalScore]]/3</f>
        <v>73</v>
      </c>
      <c r="K14" t="str" cm="1">
        <f t="array" ref="K14">_xlfn.IFS(StudentsTable[[#This Row],[AverageScore]]&gt;=90,"A",StudentsTable[[#This Row],[AverageScore]]&gt;=80,"B",StudentsTable[[#This Row],[AverageScore]]&gt;=70,"C",StudentsTable[[#This Row],[AverageScore]]&gt;=60,"D",TRUE,"F")</f>
        <v>C</v>
      </c>
      <c r="L14" t="str">
        <f>IF(StudentsTable[[#This Row],[AverageScore]]&gt;=60,"Pass","Fail")</f>
        <v>Pass</v>
      </c>
      <c r="M14" t="str" cm="1">
        <f t="array" ref="M14">_xlfn.IFS(StudentsTable[[#This Row],[AverageScore]]&gt;=85,"Advanced",StudentsTable[[#This Row],[AverageScore]]&gt;=70,"Intermediate",StudentsTable[[#This Row],[AverageScore]]&gt;=60,"Basic",TRUE,"Needs Help")</f>
        <v>Intermediate</v>
      </c>
      <c r="N14">
        <f>RANK(StudentsTable[[#This Row],[AverageScore]],StudentsTable[AverageScore])</f>
        <v>367</v>
      </c>
      <c r="O14">
        <f>(StudentsTable[[#This Row],[AverageScore]]-MIN(StudentsTable[AverageScore]))/(MAX(StudentsTable[AverageScore])-MIN(StudentsTable[AverageScore]))*100</f>
        <v>70.329670329670336</v>
      </c>
    </row>
    <row r="15" spans="1:15" x14ac:dyDescent="0.3">
      <c r="A15" t="s">
        <v>17</v>
      </c>
      <c r="B15" t="s">
        <v>18</v>
      </c>
      <c r="C15" t="s">
        <v>14</v>
      </c>
      <c r="D15" t="s">
        <v>11</v>
      </c>
      <c r="E15" t="s">
        <v>15</v>
      </c>
      <c r="F15">
        <v>78</v>
      </c>
      <c r="G15">
        <v>72</v>
      </c>
      <c r="H15">
        <v>70</v>
      </c>
      <c r="I15">
        <f>StudentsTable[[#This Row],[math score]]+StudentsTable[[#This Row],[reading score]]+StudentsTable[[#This Row],[writing score]]</f>
        <v>220</v>
      </c>
      <c r="J15">
        <f>StudentsTable[[#This Row],[TotalScore]]/3</f>
        <v>73.333333333333329</v>
      </c>
      <c r="K15" t="str" cm="1">
        <f t="array" ref="K15">_xlfn.IFS(StudentsTable[[#This Row],[AverageScore]]&gt;=90,"A",StudentsTable[[#This Row],[AverageScore]]&gt;=80,"B",StudentsTable[[#This Row],[AverageScore]]&gt;=70,"C",StudentsTable[[#This Row],[AverageScore]]&gt;=60,"D",TRUE,"F")</f>
        <v>C</v>
      </c>
      <c r="L15" t="str">
        <f>IF(StudentsTable[[#This Row],[AverageScore]]&gt;=60,"Pass","Fail")</f>
        <v>Pass</v>
      </c>
      <c r="M15" t="str" cm="1">
        <f t="array" ref="M15">_xlfn.IFS(StudentsTable[[#This Row],[AverageScore]]&gt;=85,"Advanced",StudentsTable[[#This Row],[AverageScore]]&gt;=70,"Intermediate",StudentsTable[[#This Row],[AverageScore]]&gt;=60,"Basic",TRUE,"Needs Help")</f>
        <v>Intermediate</v>
      </c>
      <c r="N15">
        <f>RANK(StudentsTable[[#This Row],[AverageScore]],StudentsTable[AverageScore])</f>
        <v>356</v>
      </c>
      <c r="O15">
        <f>(StudentsTable[[#This Row],[AverageScore]]-MIN(StudentsTable[AverageScore]))/(MAX(StudentsTable[AverageScore])-MIN(StudentsTable[AverageScore]))*100</f>
        <v>70.695970695970686</v>
      </c>
    </row>
    <row r="16" spans="1:15" x14ac:dyDescent="0.3">
      <c r="A16" t="s">
        <v>8</v>
      </c>
      <c r="B16" t="s">
        <v>18</v>
      </c>
      <c r="C16" t="s">
        <v>16</v>
      </c>
      <c r="D16" t="s">
        <v>11</v>
      </c>
      <c r="E16" t="s">
        <v>12</v>
      </c>
      <c r="F16">
        <v>50</v>
      </c>
      <c r="G16">
        <v>53</v>
      </c>
      <c r="H16">
        <v>58</v>
      </c>
      <c r="I16">
        <f>StudentsTable[[#This Row],[math score]]+StudentsTable[[#This Row],[reading score]]+StudentsTable[[#This Row],[writing score]]</f>
        <v>161</v>
      </c>
      <c r="J16">
        <f>StudentsTable[[#This Row],[TotalScore]]/3</f>
        <v>53.666666666666664</v>
      </c>
      <c r="K16" t="str" cm="1">
        <f t="array" ref="K16">_xlfn.IFS(StudentsTable[[#This Row],[AverageScore]]&gt;=90,"A",StudentsTable[[#This Row],[AverageScore]]&gt;=80,"B",StudentsTable[[#This Row],[AverageScore]]&gt;=70,"C",StudentsTable[[#This Row],[AverageScore]]&gt;=60,"D",TRUE,"F")</f>
        <v>F</v>
      </c>
      <c r="L16" t="str">
        <f>IF(StudentsTable[[#This Row],[AverageScore]]&gt;=60,"Pass","Fail")</f>
        <v>Fail</v>
      </c>
      <c r="M16" t="str" cm="1">
        <f t="array" ref="M16">_xlfn.IFS(StudentsTable[[#This Row],[AverageScore]]&gt;=85,"Advanced",StudentsTable[[#This Row],[AverageScore]]&gt;=70,"Intermediate",StudentsTable[[#This Row],[AverageScore]]&gt;=60,"Basic",TRUE,"Needs Help")</f>
        <v>Needs Help</v>
      </c>
      <c r="N16">
        <f>RANK(StudentsTable[[#This Row],[AverageScore]],StudentsTable[AverageScore])</f>
        <v>830</v>
      </c>
      <c r="O16">
        <f>(StudentsTable[[#This Row],[AverageScore]]-MIN(StudentsTable[AverageScore]))/(MAX(StudentsTable[AverageScore])-MIN(StudentsTable[AverageScore]))*100</f>
        <v>49.08424908424908</v>
      </c>
    </row>
    <row r="17" spans="1:15" x14ac:dyDescent="0.3">
      <c r="A17" t="s">
        <v>8</v>
      </c>
      <c r="B17" t="s">
        <v>13</v>
      </c>
      <c r="C17" t="s">
        <v>23</v>
      </c>
      <c r="D17" t="s">
        <v>11</v>
      </c>
      <c r="E17" t="s">
        <v>12</v>
      </c>
      <c r="F17">
        <v>69</v>
      </c>
      <c r="G17">
        <v>75</v>
      </c>
      <c r="H17">
        <v>78</v>
      </c>
      <c r="I17">
        <f>StudentsTable[[#This Row],[math score]]+StudentsTable[[#This Row],[reading score]]+StudentsTable[[#This Row],[writing score]]</f>
        <v>222</v>
      </c>
      <c r="J17">
        <f>StudentsTable[[#This Row],[TotalScore]]/3</f>
        <v>74</v>
      </c>
      <c r="K17" t="str" cm="1">
        <f t="array" ref="K17">_xlfn.IFS(StudentsTable[[#This Row],[AverageScore]]&gt;=90,"A",StudentsTable[[#This Row],[AverageScore]]&gt;=80,"B",StudentsTable[[#This Row],[AverageScore]]&gt;=70,"C",StudentsTable[[#This Row],[AverageScore]]&gt;=60,"D",TRUE,"F")</f>
        <v>C</v>
      </c>
      <c r="L17" t="str">
        <f>IF(StudentsTable[[#This Row],[AverageScore]]&gt;=60,"Pass","Fail")</f>
        <v>Pass</v>
      </c>
      <c r="M17" t="str" cm="1">
        <f t="array" ref="M17">_xlfn.IFS(StudentsTable[[#This Row],[AverageScore]]&gt;=85,"Advanced",StudentsTable[[#This Row],[AverageScore]]&gt;=70,"Intermediate",StudentsTable[[#This Row],[AverageScore]]&gt;=60,"Basic",TRUE,"Needs Help")</f>
        <v>Intermediate</v>
      </c>
      <c r="N17">
        <f>RANK(StudentsTable[[#This Row],[AverageScore]],StudentsTable[AverageScore])</f>
        <v>345</v>
      </c>
      <c r="O17">
        <f>(StudentsTable[[#This Row],[AverageScore]]-MIN(StudentsTable[AverageScore]))/(MAX(StudentsTable[AverageScore])-MIN(StudentsTable[AverageScore]))*100</f>
        <v>71.428571428571431</v>
      </c>
    </row>
    <row r="18" spans="1:15" x14ac:dyDescent="0.3">
      <c r="A18" t="s">
        <v>17</v>
      </c>
      <c r="B18" t="s">
        <v>13</v>
      </c>
      <c r="C18" t="s">
        <v>22</v>
      </c>
      <c r="D18" t="s">
        <v>11</v>
      </c>
      <c r="E18" t="s">
        <v>12</v>
      </c>
      <c r="F18">
        <v>88</v>
      </c>
      <c r="G18">
        <v>89</v>
      </c>
      <c r="H18">
        <v>86</v>
      </c>
      <c r="I18">
        <f>StudentsTable[[#This Row],[math score]]+StudentsTable[[#This Row],[reading score]]+StudentsTable[[#This Row],[writing score]]</f>
        <v>263</v>
      </c>
      <c r="J18">
        <f>StudentsTable[[#This Row],[TotalScore]]/3</f>
        <v>87.666666666666671</v>
      </c>
      <c r="K18" t="str" cm="1">
        <f t="array" ref="K18">_xlfn.IFS(StudentsTable[[#This Row],[AverageScore]]&gt;=90,"A",StudentsTable[[#This Row],[AverageScore]]&gt;=80,"B",StudentsTable[[#This Row],[AverageScore]]&gt;=70,"C",StudentsTable[[#This Row],[AverageScore]]&gt;=60,"D",TRUE,"F")</f>
        <v>B</v>
      </c>
      <c r="L18" t="str">
        <f>IF(StudentsTable[[#This Row],[AverageScore]]&gt;=60,"Pass","Fail")</f>
        <v>Pass</v>
      </c>
      <c r="M18" t="str" cm="1">
        <f t="array" ref="M18">_xlfn.IFS(StudentsTable[[#This Row],[AverageScore]]&gt;=85,"Advanced",StudentsTable[[#This Row],[AverageScore]]&gt;=70,"Intermediate",StudentsTable[[#This Row],[AverageScore]]&gt;=60,"Basic",TRUE,"Needs Help")</f>
        <v>Advanced</v>
      </c>
      <c r="N18">
        <f>RANK(StudentsTable[[#This Row],[AverageScore]],StudentsTable[AverageScore])</f>
        <v>76</v>
      </c>
      <c r="O18">
        <f>(StudentsTable[[#This Row],[AverageScore]]-MIN(StudentsTable[AverageScore]))/(MAX(StudentsTable[AverageScore])-MIN(StudentsTable[AverageScore]))*100</f>
        <v>86.446886446886452</v>
      </c>
    </row>
    <row r="19" spans="1:15" x14ac:dyDescent="0.3">
      <c r="A19" t="s">
        <v>8</v>
      </c>
      <c r="B19" t="s">
        <v>9</v>
      </c>
      <c r="C19" t="s">
        <v>23</v>
      </c>
      <c r="D19" t="s">
        <v>20</v>
      </c>
      <c r="E19" t="s">
        <v>12</v>
      </c>
      <c r="F19">
        <v>18</v>
      </c>
      <c r="G19">
        <v>32</v>
      </c>
      <c r="H19">
        <v>28</v>
      </c>
      <c r="I19">
        <f>StudentsTable[[#This Row],[math score]]+StudentsTable[[#This Row],[reading score]]+StudentsTable[[#This Row],[writing score]]</f>
        <v>78</v>
      </c>
      <c r="J19">
        <f>StudentsTable[[#This Row],[TotalScore]]/3</f>
        <v>26</v>
      </c>
      <c r="K19" t="str" cm="1">
        <f t="array" ref="K19">_xlfn.IFS(StudentsTable[[#This Row],[AverageScore]]&gt;=90,"A",StudentsTable[[#This Row],[AverageScore]]&gt;=80,"B",StudentsTable[[#This Row],[AverageScore]]&gt;=70,"C",StudentsTable[[#This Row],[AverageScore]]&gt;=60,"D",TRUE,"F")</f>
        <v>F</v>
      </c>
      <c r="L19" t="str">
        <f>IF(StudentsTable[[#This Row],[AverageScore]]&gt;=60,"Pass","Fail")</f>
        <v>Fail</v>
      </c>
      <c r="M19" t="str" cm="1">
        <f t="array" ref="M19">_xlfn.IFS(StudentsTable[[#This Row],[AverageScore]]&gt;=85,"Advanced",StudentsTable[[#This Row],[AverageScore]]&gt;=70,"Intermediate",StudentsTable[[#This Row],[AverageScore]]&gt;=60,"Basic",TRUE,"Needs Help")</f>
        <v>Needs Help</v>
      </c>
      <c r="N19">
        <f>RANK(StudentsTable[[#This Row],[AverageScore]],StudentsTable[AverageScore])</f>
        <v>995</v>
      </c>
      <c r="O19">
        <f>(StudentsTable[[#This Row],[AverageScore]]-MIN(StudentsTable[AverageScore]))/(MAX(StudentsTable[AverageScore])-MIN(StudentsTable[AverageScore]))*100</f>
        <v>18.681318681318682</v>
      </c>
    </row>
    <row r="20" spans="1:15" x14ac:dyDescent="0.3">
      <c r="A20" t="s">
        <v>17</v>
      </c>
      <c r="B20" t="s">
        <v>13</v>
      </c>
      <c r="C20" t="s">
        <v>16</v>
      </c>
      <c r="D20" t="s">
        <v>20</v>
      </c>
      <c r="E20" t="s">
        <v>15</v>
      </c>
      <c r="F20">
        <v>46</v>
      </c>
      <c r="G20">
        <v>42</v>
      </c>
      <c r="H20">
        <v>46</v>
      </c>
      <c r="I20">
        <f>StudentsTable[[#This Row],[math score]]+StudentsTable[[#This Row],[reading score]]+StudentsTable[[#This Row],[writing score]]</f>
        <v>134</v>
      </c>
      <c r="J20">
        <f>StudentsTable[[#This Row],[TotalScore]]/3</f>
        <v>44.666666666666664</v>
      </c>
      <c r="K20" t="str" cm="1">
        <f t="array" ref="K20">_xlfn.IFS(StudentsTable[[#This Row],[AverageScore]]&gt;=90,"A",StudentsTable[[#This Row],[AverageScore]]&gt;=80,"B",StudentsTable[[#This Row],[AverageScore]]&gt;=70,"C",StudentsTable[[#This Row],[AverageScore]]&gt;=60,"D",TRUE,"F")</f>
        <v>F</v>
      </c>
      <c r="L20" t="str">
        <f>IF(StudentsTable[[#This Row],[AverageScore]]&gt;=60,"Pass","Fail")</f>
        <v>Fail</v>
      </c>
      <c r="M20" t="str" cm="1">
        <f t="array" ref="M20">_xlfn.IFS(StudentsTable[[#This Row],[AverageScore]]&gt;=85,"Advanced",StudentsTable[[#This Row],[AverageScore]]&gt;=70,"Intermediate",StudentsTable[[#This Row],[AverageScore]]&gt;=60,"Basic",TRUE,"Needs Help")</f>
        <v>Needs Help</v>
      </c>
      <c r="N20">
        <f>RANK(StudentsTable[[#This Row],[AverageScore]],StudentsTable[AverageScore])</f>
        <v>947</v>
      </c>
      <c r="O20">
        <f>(StudentsTable[[#This Row],[AverageScore]]-MIN(StudentsTable[AverageScore]))/(MAX(StudentsTable[AverageScore])-MIN(StudentsTable[AverageScore]))*100</f>
        <v>39.194139194139197</v>
      </c>
    </row>
    <row r="21" spans="1:15" x14ac:dyDescent="0.3">
      <c r="A21" t="s">
        <v>8</v>
      </c>
      <c r="B21" t="s">
        <v>13</v>
      </c>
      <c r="C21" t="s">
        <v>19</v>
      </c>
      <c r="D21" t="s">
        <v>20</v>
      </c>
      <c r="E21" t="s">
        <v>12</v>
      </c>
      <c r="F21">
        <v>54</v>
      </c>
      <c r="G21">
        <v>58</v>
      </c>
      <c r="H21">
        <v>61</v>
      </c>
      <c r="I21">
        <f>StudentsTable[[#This Row],[math score]]+StudentsTable[[#This Row],[reading score]]+StudentsTable[[#This Row],[writing score]]</f>
        <v>173</v>
      </c>
      <c r="J21">
        <f>StudentsTable[[#This Row],[TotalScore]]/3</f>
        <v>57.666666666666664</v>
      </c>
      <c r="K21" t="str" cm="1">
        <f t="array" ref="K21">_xlfn.IFS(StudentsTable[[#This Row],[AverageScore]]&gt;=90,"A",StudentsTable[[#This Row],[AverageScore]]&gt;=80,"B",StudentsTable[[#This Row],[AverageScore]]&gt;=70,"C",StudentsTable[[#This Row],[AverageScore]]&gt;=60,"D",TRUE,"F")</f>
        <v>F</v>
      </c>
      <c r="L21" t="str">
        <f>IF(StudentsTable[[#This Row],[AverageScore]]&gt;=60,"Pass","Fail")</f>
        <v>Fail</v>
      </c>
      <c r="M21" t="str" cm="1">
        <f t="array" ref="M21">_xlfn.IFS(StudentsTable[[#This Row],[AverageScore]]&gt;=85,"Advanced",StudentsTable[[#This Row],[AverageScore]]&gt;=70,"Intermediate",StudentsTable[[#This Row],[AverageScore]]&gt;=60,"Basic",TRUE,"Needs Help")</f>
        <v>Needs Help</v>
      </c>
      <c r="N21">
        <f>RANK(StudentsTable[[#This Row],[AverageScore]],StudentsTable[AverageScore])</f>
        <v>756</v>
      </c>
      <c r="O21">
        <f>(StudentsTable[[#This Row],[AverageScore]]-MIN(StudentsTable[AverageScore]))/(MAX(StudentsTable[AverageScore])-MIN(StudentsTable[AverageScore]))*100</f>
        <v>53.479853479853482</v>
      </c>
    </row>
    <row r="22" spans="1:15" x14ac:dyDescent="0.3">
      <c r="A22" t="s">
        <v>17</v>
      </c>
      <c r="B22" t="s">
        <v>21</v>
      </c>
      <c r="C22" t="s">
        <v>22</v>
      </c>
      <c r="D22" t="s">
        <v>11</v>
      </c>
      <c r="E22" t="s">
        <v>12</v>
      </c>
      <c r="F22">
        <v>66</v>
      </c>
      <c r="G22">
        <v>69</v>
      </c>
      <c r="H22">
        <v>63</v>
      </c>
      <c r="I22">
        <f>StudentsTable[[#This Row],[math score]]+StudentsTable[[#This Row],[reading score]]+StudentsTable[[#This Row],[writing score]]</f>
        <v>198</v>
      </c>
      <c r="J22">
        <f>StudentsTable[[#This Row],[TotalScore]]/3</f>
        <v>66</v>
      </c>
      <c r="K22" t="str" cm="1">
        <f t="array" ref="K22">_xlfn.IFS(StudentsTable[[#This Row],[AverageScore]]&gt;=90,"A",StudentsTable[[#This Row],[AverageScore]]&gt;=80,"B",StudentsTable[[#This Row],[AverageScore]]&gt;=70,"C",StudentsTable[[#This Row],[AverageScore]]&gt;=60,"D",TRUE,"F")</f>
        <v>D</v>
      </c>
      <c r="L22" t="str">
        <f>IF(StudentsTable[[#This Row],[AverageScore]]&gt;=60,"Pass","Fail")</f>
        <v>Pass</v>
      </c>
      <c r="M22" t="str" cm="1">
        <f t="array" ref="M22">_xlfn.IFS(StudentsTable[[#This Row],[AverageScore]]&gt;=85,"Advanced",StudentsTable[[#This Row],[AverageScore]]&gt;=70,"Intermediate",StudentsTable[[#This Row],[AverageScore]]&gt;=60,"Basic",TRUE,"Needs Help")</f>
        <v>Basic</v>
      </c>
      <c r="N22">
        <f>RANK(StudentsTable[[#This Row],[AverageScore]],StudentsTable[AverageScore])</f>
        <v>562</v>
      </c>
      <c r="O22">
        <f>(StudentsTable[[#This Row],[AverageScore]]-MIN(StudentsTable[AverageScore]))/(MAX(StudentsTable[AverageScore])-MIN(StudentsTable[AverageScore]))*100</f>
        <v>62.637362637362635</v>
      </c>
    </row>
    <row r="23" spans="1:15" x14ac:dyDescent="0.3">
      <c r="A23" t="s">
        <v>8</v>
      </c>
      <c r="B23" t="s">
        <v>9</v>
      </c>
      <c r="C23" t="s">
        <v>14</v>
      </c>
      <c r="D23" t="s">
        <v>20</v>
      </c>
      <c r="E23" t="s">
        <v>15</v>
      </c>
      <c r="F23">
        <v>65</v>
      </c>
      <c r="G23">
        <v>75</v>
      </c>
      <c r="H23">
        <v>70</v>
      </c>
      <c r="I23">
        <f>StudentsTable[[#This Row],[math score]]+StudentsTable[[#This Row],[reading score]]+StudentsTable[[#This Row],[writing score]]</f>
        <v>210</v>
      </c>
      <c r="J23">
        <f>StudentsTable[[#This Row],[TotalScore]]/3</f>
        <v>70</v>
      </c>
      <c r="K23" t="str" cm="1">
        <f t="array" ref="K23">_xlfn.IFS(StudentsTable[[#This Row],[AverageScore]]&gt;=90,"A",StudentsTable[[#This Row],[AverageScore]]&gt;=80,"B",StudentsTable[[#This Row],[AverageScore]]&gt;=70,"C",StudentsTable[[#This Row],[AverageScore]]&gt;=60,"D",TRUE,"F")</f>
        <v>C</v>
      </c>
      <c r="L23" t="str">
        <f>IF(StudentsTable[[#This Row],[AverageScore]]&gt;=60,"Pass","Fail")</f>
        <v>Pass</v>
      </c>
      <c r="M23" t="str" cm="1">
        <f t="array" ref="M23">_xlfn.IFS(StudentsTable[[#This Row],[AverageScore]]&gt;=85,"Advanced",StudentsTable[[#This Row],[AverageScore]]&gt;=70,"Intermediate",StudentsTable[[#This Row],[AverageScore]]&gt;=60,"Basic",TRUE,"Needs Help")</f>
        <v>Intermediate</v>
      </c>
      <c r="N23">
        <f>RANK(StudentsTable[[#This Row],[AverageScore]],StudentsTable[AverageScore])</f>
        <v>448</v>
      </c>
      <c r="O23">
        <f>(StudentsTable[[#This Row],[AverageScore]]-MIN(StudentsTable[AverageScore]))/(MAX(StudentsTable[AverageScore])-MIN(StudentsTable[AverageScore]))*100</f>
        <v>67.032967032967022</v>
      </c>
    </row>
    <row r="24" spans="1:15" x14ac:dyDescent="0.3">
      <c r="A24" t="s">
        <v>17</v>
      </c>
      <c r="B24" t="s">
        <v>21</v>
      </c>
      <c r="C24" t="s">
        <v>14</v>
      </c>
      <c r="D24" t="s">
        <v>11</v>
      </c>
      <c r="E24" t="s">
        <v>12</v>
      </c>
      <c r="F24">
        <v>44</v>
      </c>
      <c r="G24">
        <v>54</v>
      </c>
      <c r="H24">
        <v>53</v>
      </c>
      <c r="I24">
        <f>StudentsTable[[#This Row],[math score]]+StudentsTable[[#This Row],[reading score]]+StudentsTable[[#This Row],[writing score]]</f>
        <v>151</v>
      </c>
      <c r="J24">
        <f>StudentsTable[[#This Row],[TotalScore]]/3</f>
        <v>50.333333333333336</v>
      </c>
      <c r="K24" t="str" cm="1">
        <f t="array" ref="K24">_xlfn.IFS(StudentsTable[[#This Row],[AverageScore]]&gt;=90,"A",StudentsTable[[#This Row],[AverageScore]]&gt;=80,"B",StudentsTable[[#This Row],[AverageScore]]&gt;=70,"C",StudentsTable[[#This Row],[AverageScore]]&gt;=60,"D",TRUE,"F")</f>
        <v>F</v>
      </c>
      <c r="L24" t="str">
        <f>IF(StudentsTable[[#This Row],[AverageScore]]&gt;=60,"Pass","Fail")</f>
        <v>Fail</v>
      </c>
      <c r="M24" t="str" cm="1">
        <f t="array" ref="M24">_xlfn.IFS(StudentsTable[[#This Row],[AverageScore]]&gt;=85,"Advanced",StudentsTable[[#This Row],[AverageScore]]&gt;=70,"Intermediate",StudentsTable[[#This Row],[AverageScore]]&gt;=60,"Basic",TRUE,"Needs Help")</f>
        <v>Needs Help</v>
      </c>
      <c r="N24">
        <f>RANK(StudentsTable[[#This Row],[AverageScore]],StudentsTable[AverageScore])</f>
        <v>884</v>
      </c>
      <c r="O24">
        <f>(StudentsTable[[#This Row],[AverageScore]]-MIN(StudentsTable[AverageScore]))/(MAX(StudentsTable[AverageScore])-MIN(StudentsTable[AverageScore]))*100</f>
        <v>45.421245421245423</v>
      </c>
    </row>
    <row r="25" spans="1:15" x14ac:dyDescent="0.3">
      <c r="A25" t="s">
        <v>8</v>
      </c>
      <c r="B25" t="s">
        <v>13</v>
      </c>
      <c r="C25" t="s">
        <v>23</v>
      </c>
      <c r="D25" t="s">
        <v>11</v>
      </c>
      <c r="E25" t="s">
        <v>12</v>
      </c>
      <c r="F25">
        <v>69</v>
      </c>
      <c r="G25">
        <v>73</v>
      </c>
      <c r="H25">
        <v>73</v>
      </c>
      <c r="I25">
        <f>StudentsTable[[#This Row],[math score]]+StudentsTable[[#This Row],[reading score]]+StudentsTable[[#This Row],[writing score]]</f>
        <v>215</v>
      </c>
      <c r="J25">
        <f>StudentsTable[[#This Row],[TotalScore]]/3</f>
        <v>71.666666666666671</v>
      </c>
      <c r="K25" t="str" cm="1">
        <f t="array" ref="K25">_xlfn.IFS(StudentsTable[[#This Row],[AverageScore]]&gt;=90,"A",StudentsTable[[#This Row],[AverageScore]]&gt;=80,"B",StudentsTable[[#This Row],[AverageScore]]&gt;=70,"C",StudentsTable[[#This Row],[AverageScore]]&gt;=60,"D",TRUE,"F")</f>
        <v>C</v>
      </c>
      <c r="L25" t="str">
        <f>IF(StudentsTable[[#This Row],[AverageScore]]&gt;=60,"Pass","Fail")</f>
        <v>Pass</v>
      </c>
      <c r="M25" t="str" cm="1">
        <f t="array" ref="M25">_xlfn.IFS(StudentsTable[[#This Row],[AverageScore]]&gt;=85,"Advanced",StudentsTable[[#This Row],[AverageScore]]&gt;=70,"Intermediate",StudentsTable[[#This Row],[AverageScore]]&gt;=60,"Basic",TRUE,"Needs Help")</f>
        <v>Intermediate</v>
      </c>
      <c r="N25">
        <f>RANK(StudentsTable[[#This Row],[AverageScore]],StudentsTable[AverageScore])</f>
        <v>404</v>
      </c>
      <c r="O25">
        <f>(StudentsTable[[#This Row],[AverageScore]]-MIN(StudentsTable[AverageScore]))/(MAX(StudentsTable[AverageScore])-MIN(StudentsTable[AverageScore]))*100</f>
        <v>68.864468864468876</v>
      </c>
    </row>
    <row r="26" spans="1:15" x14ac:dyDescent="0.3">
      <c r="A26" t="s">
        <v>17</v>
      </c>
      <c r="B26" t="s">
        <v>21</v>
      </c>
      <c r="C26" t="s">
        <v>10</v>
      </c>
      <c r="D26" t="s">
        <v>20</v>
      </c>
      <c r="E26" t="s">
        <v>15</v>
      </c>
      <c r="F26">
        <v>74</v>
      </c>
      <c r="G26">
        <v>71</v>
      </c>
      <c r="H26">
        <v>80</v>
      </c>
      <c r="I26">
        <f>StudentsTable[[#This Row],[math score]]+StudentsTable[[#This Row],[reading score]]+StudentsTable[[#This Row],[writing score]]</f>
        <v>225</v>
      </c>
      <c r="J26">
        <f>StudentsTable[[#This Row],[TotalScore]]/3</f>
        <v>75</v>
      </c>
      <c r="K26" t="str" cm="1">
        <f t="array" ref="K26">_xlfn.IFS(StudentsTable[[#This Row],[AverageScore]]&gt;=90,"A",StudentsTable[[#This Row],[AverageScore]]&gt;=80,"B",StudentsTable[[#This Row],[AverageScore]]&gt;=70,"C",StudentsTable[[#This Row],[AverageScore]]&gt;=60,"D",TRUE,"F")</f>
        <v>C</v>
      </c>
      <c r="L26" t="str">
        <f>IF(StudentsTable[[#This Row],[AverageScore]]&gt;=60,"Pass","Fail")</f>
        <v>Pass</v>
      </c>
      <c r="M26" t="str" cm="1">
        <f t="array" ref="M26">_xlfn.IFS(StudentsTable[[#This Row],[AverageScore]]&gt;=85,"Advanced",StudentsTable[[#This Row],[AverageScore]]&gt;=70,"Intermediate",StudentsTable[[#This Row],[AverageScore]]&gt;=60,"Basic",TRUE,"Needs Help")</f>
        <v>Intermediate</v>
      </c>
      <c r="N26">
        <f>RANK(StudentsTable[[#This Row],[AverageScore]],StudentsTable[AverageScore])</f>
        <v>314</v>
      </c>
      <c r="O26">
        <f>(StudentsTable[[#This Row],[AverageScore]]-MIN(StudentsTable[AverageScore]))/(MAX(StudentsTable[AverageScore])-MIN(StudentsTable[AverageScore]))*100</f>
        <v>72.527472527472526</v>
      </c>
    </row>
    <row r="27" spans="1:15" x14ac:dyDescent="0.3">
      <c r="A27" t="s">
        <v>17</v>
      </c>
      <c r="B27" t="s">
        <v>18</v>
      </c>
      <c r="C27" t="s">
        <v>16</v>
      </c>
      <c r="D27" t="s">
        <v>20</v>
      </c>
      <c r="E27" t="s">
        <v>12</v>
      </c>
      <c r="F27">
        <v>73</v>
      </c>
      <c r="G27">
        <v>74</v>
      </c>
      <c r="H27">
        <v>72</v>
      </c>
      <c r="I27">
        <f>StudentsTable[[#This Row],[math score]]+StudentsTable[[#This Row],[reading score]]+StudentsTable[[#This Row],[writing score]]</f>
        <v>219</v>
      </c>
      <c r="J27">
        <f>StudentsTable[[#This Row],[TotalScore]]/3</f>
        <v>73</v>
      </c>
      <c r="K27" t="str" cm="1">
        <f t="array" ref="K27">_xlfn.IFS(StudentsTable[[#This Row],[AverageScore]]&gt;=90,"A",StudentsTable[[#This Row],[AverageScore]]&gt;=80,"B",StudentsTable[[#This Row],[AverageScore]]&gt;=70,"C",StudentsTable[[#This Row],[AverageScore]]&gt;=60,"D",TRUE,"F")</f>
        <v>C</v>
      </c>
      <c r="L27" t="str">
        <f>IF(StudentsTable[[#This Row],[AverageScore]]&gt;=60,"Pass","Fail")</f>
        <v>Pass</v>
      </c>
      <c r="M27" t="str" cm="1">
        <f t="array" ref="M27">_xlfn.IFS(StudentsTable[[#This Row],[AverageScore]]&gt;=85,"Advanced",StudentsTable[[#This Row],[AverageScore]]&gt;=70,"Intermediate",StudentsTable[[#This Row],[AverageScore]]&gt;=60,"Basic",TRUE,"Needs Help")</f>
        <v>Intermediate</v>
      </c>
      <c r="N27">
        <f>RANK(StudentsTable[[#This Row],[AverageScore]],StudentsTable[AverageScore])</f>
        <v>367</v>
      </c>
      <c r="O27">
        <f>(StudentsTable[[#This Row],[AverageScore]]-MIN(StudentsTable[AverageScore]))/(MAX(StudentsTable[AverageScore])-MIN(StudentsTable[AverageScore]))*100</f>
        <v>70.329670329670336</v>
      </c>
    </row>
    <row r="28" spans="1:15" x14ac:dyDescent="0.3">
      <c r="A28" t="s">
        <v>17</v>
      </c>
      <c r="B28" t="s">
        <v>9</v>
      </c>
      <c r="C28" t="s">
        <v>14</v>
      </c>
      <c r="D28" t="s">
        <v>11</v>
      </c>
      <c r="E28" t="s">
        <v>12</v>
      </c>
      <c r="F28">
        <v>69</v>
      </c>
      <c r="G28">
        <v>54</v>
      </c>
      <c r="H28">
        <v>55</v>
      </c>
      <c r="I28">
        <f>StudentsTable[[#This Row],[math score]]+StudentsTable[[#This Row],[reading score]]+StudentsTable[[#This Row],[writing score]]</f>
        <v>178</v>
      </c>
      <c r="J28">
        <f>StudentsTable[[#This Row],[TotalScore]]/3</f>
        <v>59.333333333333336</v>
      </c>
      <c r="K28" t="str" cm="1">
        <f t="array" ref="K28">_xlfn.IFS(StudentsTable[[#This Row],[AverageScore]]&gt;=90,"A",StudentsTable[[#This Row],[AverageScore]]&gt;=80,"B",StudentsTable[[#This Row],[AverageScore]]&gt;=70,"C",StudentsTable[[#This Row],[AverageScore]]&gt;=60,"D",TRUE,"F")</f>
        <v>F</v>
      </c>
      <c r="L28" t="str">
        <f>IF(StudentsTable[[#This Row],[AverageScore]]&gt;=60,"Pass","Fail")</f>
        <v>Fail</v>
      </c>
      <c r="M28" t="str" cm="1">
        <f t="array" ref="M28">_xlfn.IFS(StudentsTable[[#This Row],[AverageScore]]&gt;=85,"Advanced",StudentsTable[[#This Row],[AverageScore]]&gt;=70,"Intermediate",StudentsTable[[#This Row],[AverageScore]]&gt;=60,"Basic",TRUE,"Needs Help")</f>
        <v>Needs Help</v>
      </c>
      <c r="N28">
        <f>RANK(StudentsTable[[#This Row],[AverageScore]],StudentsTable[AverageScore])</f>
        <v>721</v>
      </c>
      <c r="O28">
        <f>(StudentsTable[[#This Row],[AverageScore]]-MIN(StudentsTable[AverageScore]))/(MAX(StudentsTable[AverageScore])-MIN(StudentsTable[AverageScore]))*100</f>
        <v>55.311355311355314</v>
      </c>
    </row>
    <row r="29" spans="1:15" x14ac:dyDescent="0.3">
      <c r="A29" t="s">
        <v>8</v>
      </c>
      <c r="B29" t="s">
        <v>13</v>
      </c>
      <c r="C29" t="s">
        <v>10</v>
      </c>
      <c r="D29" t="s">
        <v>11</v>
      </c>
      <c r="E29" t="s">
        <v>12</v>
      </c>
      <c r="F29">
        <v>67</v>
      </c>
      <c r="G29">
        <v>69</v>
      </c>
      <c r="H29">
        <v>75</v>
      </c>
      <c r="I29">
        <f>StudentsTable[[#This Row],[math score]]+StudentsTable[[#This Row],[reading score]]+StudentsTable[[#This Row],[writing score]]</f>
        <v>211</v>
      </c>
      <c r="J29">
        <f>StudentsTable[[#This Row],[TotalScore]]/3</f>
        <v>70.333333333333329</v>
      </c>
      <c r="K29" t="str" cm="1">
        <f t="array" ref="K29">_xlfn.IFS(StudentsTable[[#This Row],[AverageScore]]&gt;=90,"A",StudentsTable[[#This Row],[AverageScore]]&gt;=80,"B",StudentsTable[[#This Row],[AverageScore]]&gt;=70,"C",StudentsTable[[#This Row],[AverageScore]]&gt;=60,"D",TRUE,"F")</f>
        <v>C</v>
      </c>
      <c r="L29" t="str">
        <f>IF(StudentsTable[[#This Row],[AverageScore]]&gt;=60,"Pass","Fail")</f>
        <v>Pass</v>
      </c>
      <c r="M29" t="str" cm="1">
        <f t="array" ref="M29">_xlfn.IFS(StudentsTable[[#This Row],[AverageScore]]&gt;=85,"Advanced",StudentsTable[[#This Row],[AverageScore]]&gt;=70,"Intermediate",StudentsTable[[#This Row],[AverageScore]]&gt;=60,"Basic",TRUE,"Needs Help")</f>
        <v>Intermediate</v>
      </c>
      <c r="N29">
        <f>RANK(StudentsTable[[#This Row],[AverageScore]],StudentsTable[AverageScore])</f>
        <v>440</v>
      </c>
      <c r="O29">
        <f>(StudentsTable[[#This Row],[AverageScore]]-MIN(StudentsTable[AverageScore]))/(MAX(StudentsTable[AverageScore])-MIN(StudentsTable[AverageScore]))*100</f>
        <v>67.399267399267387</v>
      </c>
    </row>
    <row r="30" spans="1:15" x14ac:dyDescent="0.3">
      <c r="A30" t="s">
        <v>17</v>
      </c>
      <c r="B30" t="s">
        <v>13</v>
      </c>
      <c r="C30" t="s">
        <v>22</v>
      </c>
      <c r="D30" t="s">
        <v>11</v>
      </c>
      <c r="E30" t="s">
        <v>12</v>
      </c>
      <c r="F30">
        <v>70</v>
      </c>
      <c r="G30">
        <v>70</v>
      </c>
      <c r="H30">
        <v>65</v>
      </c>
      <c r="I30">
        <f>StudentsTable[[#This Row],[math score]]+StudentsTable[[#This Row],[reading score]]+StudentsTable[[#This Row],[writing score]]</f>
        <v>205</v>
      </c>
      <c r="J30">
        <f>StudentsTable[[#This Row],[TotalScore]]/3</f>
        <v>68.333333333333329</v>
      </c>
      <c r="K30" t="str" cm="1">
        <f t="array" ref="K30">_xlfn.IFS(StudentsTable[[#This Row],[AverageScore]]&gt;=90,"A",StudentsTable[[#This Row],[AverageScore]]&gt;=80,"B",StudentsTable[[#This Row],[AverageScore]]&gt;=70,"C",StudentsTable[[#This Row],[AverageScore]]&gt;=60,"D",TRUE,"F")</f>
        <v>D</v>
      </c>
      <c r="L30" t="str">
        <f>IF(StudentsTable[[#This Row],[AverageScore]]&gt;=60,"Pass","Fail")</f>
        <v>Pass</v>
      </c>
      <c r="M30" t="str" cm="1">
        <f t="array" ref="M30">_xlfn.IFS(StudentsTable[[#This Row],[AverageScore]]&gt;=85,"Advanced",StudentsTable[[#This Row],[AverageScore]]&gt;=70,"Intermediate",StudentsTable[[#This Row],[AverageScore]]&gt;=60,"Basic",TRUE,"Needs Help")</f>
        <v>Basic</v>
      </c>
      <c r="N30">
        <f>RANK(StudentsTable[[#This Row],[AverageScore]],StudentsTable[AverageScore])</f>
        <v>499</v>
      </c>
      <c r="O30">
        <f>(StudentsTable[[#This Row],[AverageScore]]-MIN(StudentsTable[AverageScore]))/(MAX(StudentsTable[AverageScore])-MIN(StudentsTable[AverageScore]))*100</f>
        <v>65.201465201465197</v>
      </c>
    </row>
    <row r="31" spans="1:15" x14ac:dyDescent="0.3">
      <c r="A31" t="s">
        <v>8</v>
      </c>
      <c r="B31" t="s">
        <v>21</v>
      </c>
      <c r="C31" t="s">
        <v>16</v>
      </c>
      <c r="D31" t="s">
        <v>11</v>
      </c>
      <c r="E31" t="s">
        <v>12</v>
      </c>
      <c r="F31">
        <v>62</v>
      </c>
      <c r="G31">
        <v>70</v>
      </c>
      <c r="H31">
        <v>75</v>
      </c>
      <c r="I31">
        <f>StudentsTable[[#This Row],[math score]]+StudentsTable[[#This Row],[reading score]]+StudentsTable[[#This Row],[writing score]]</f>
        <v>207</v>
      </c>
      <c r="J31">
        <f>StudentsTable[[#This Row],[TotalScore]]/3</f>
        <v>69</v>
      </c>
      <c r="K31" t="str" cm="1">
        <f t="array" ref="K31">_xlfn.IFS(StudentsTable[[#This Row],[AverageScore]]&gt;=90,"A",StudentsTable[[#This Row],[AverageScore]]&gt;=80,"B",StudentsTable[[#This Row],[AverageScore]]&gt;=70,"C",StudentsTable[[#This Row],[AverageScore]]&gt;=60,"D",TRUE,"F")</f>
        <v>D</v>
      </c>
      <c r="L31" t="str">
        <f>IF(StudentsTable[[#This Row],[AverageScore]]&gt;=60,"Pass","Fail")</f>
        <v>Pass</v>
      </c>
      <c r="M31" t="str" cm="1">
        <f t="array" ref="M31">_xlfn.IFS(StudentsTable[[#This Row],[AverageScore]]&gt;=85,"Advanced",StudentsTable[[#This Row],[AverageScore]]&gt;=70,"Intermediate",StudentsTable[[#This Row],[AverageScore]]&gt;=60,"Basic",TRUE,"Needs Help")</f>
        <v>Basic</v>
      </c>
      <c r="N31">
        <f>RANK(StudentsTable[[#This Row],[AverageScore]],StudentsTable[AverageScore])</f>
        <v>475</v>
      </c>
      <c r="O31">
        <f>(StudentsTable[[#This Row],[AverageScore]]-MIN(StudentsTable[AverageScore]))/(MAX(StudentsTable[AverageScore])-MIN(StudentsTable[AverageScore]))*100</f>
        <v>65.934065934065927</v>
      </c>
    </row>
    <row r="32" spans="1:15" x14ac:dyDescent="0.3">
      <c r="A32" t="s">
        <v>8</v>
      </c>
      <c r="B32" t="s">
        <v>21</v>
      </c>
      <c r="C32" t="s">
        <v>14</v>
      </c>
      <c r="D32" t="s">
        <v>11</v>
      </c>
      <c r="E32" t="s">
        <v>12</v>
      </c>
      <c r="F32">
        <v>69</v>
      </c>
      <c r="G32">
        <v>74</v>
      </c>
      <c r="H32">
        <v>74</v>
      </c>
      <c r="I32">
        <f>StudentsTable[[#This Row],[math score]]+StudentsTable[[#This Row],[reading score]]+StudentsTable[[#This Row],[writing score]]</f>
        <v>217</v>
      </c>
      <c r="J32">
        <f>StudentsTable[[#This Row],[TotalScore]]/3</f>
        <v>72.333333333333329</v>
      </c>
      <c r="K32" t="str" cm="1">
        <f t="array" ref="K32">_xlfn.IFS(StudentsTable[[#This Row],[AverageScore]]&gt;=90,"A",StudentsTable[[#This Row],[AverageScore]]&gt;=80,"B",StudentsTable[[#This Row],[AverageScore]]&gt;=70,"C",StudentsTable[[#This Row],[AverageScore]]&gt;=60,"D",TRUE,"F")</f>
        <v>C</v>
      </c>
      <c r="L32" t="str">
        <f>IF(StudentsTable[[#This Row],[AverageScore]]&gt;=60,"Pass","Fail")</f>
        <v>Pass</v>
      </c>
      <c r="M32" t="str" cm="1">
        <f t="array" ref="M32">_xlfn.IFS(StudentsTable[[#This Row],[AverageScore]]&gt;=85,"Advanced",StudentsTable[[#This Row],[AverageScore]]&gt;=70,"Intermediate",StudentsTable[[#This Row],[AverageScore]]&gt;=60,"Basic",TRUE,"Needs Help")</f>
        <v>Intermediate</v>
      </c>
      <c r="N32">
        <f>RANK(StudentsTable[[#This Row],[AverageScore]],StudentsTable[AverageScore])</f>
        <v>389</v>
      </c>
      <c r="O32">
        <f>(StudentsTable[[#This Row],[AverageScore]]-MIN(StudentsTable[AverageScore]))/(MAX(StudentsTable[AverageScore])-MIN(StudentsTable[AverageScore]))*100</f>
        <v>69.597069597069591</v>
      </c>
    </row>
    <row r="33" spans="1:15" x14ac:dyDescent="0.3">
      <c r="A33" t="s">
        <v>8</v>
      </c>
      <c r="B33" t="s">
        <v>9</v>
      </c>
      <c r="C33" t="s">
        <v>14</v>
      </c>
      <c r="D33" t="s">
        <v>11</v>
      </c>
      <c r="E33" t="s">
        <v>12</v>
      </c>
      <c r="F33">
        <v>63</v>
      </c>
      <c r="G33">
        <v>65</v>
      </c>
      <c r="H33">
        <v>61</v>
      </c>
      <c r="I33">
        <f>StudentsTable[[#This Row],[math score]]+StudentsTable[[#This Row],[reading score]]+StudentsTable[[#This Row],[writing score]]</f>
        <v>189</v>
      </c>
      <c r="J33">
        <f>StudentsTable[[#This Row],[TotalScore]]/3</f>
        <v>63</v>
      </c>
      <c r="K33" t="str" cm="1">
        <f t="array" ref="K33">_xlfn.IFS(StudentsTable[[#This Row],[AverageScore]]&gt;=90,"A",StudentsTable[[#This Row],[AverageScore]]&gt;=80,"B",StudentsTable[[#This Row],[AverageScore]]&gt;=70,"C",StudentsTable[[#This Row],[AverageScore]]&gt;=60,"D",TRUE,"F")</f>
        <v>D</v>
      </c>
      <c r="L33" t="str">
        <f>IF(StudentsTable[[#This Row],[AverageScore]]&gt;=60,"Pass","Fail")</f>
        <v>Pass</v>
      </c>
      <c r="M33" t="str" cm="1">
        <f t="array" ref="M33">_xlfn.IFS(StudentsTable[[#This Row],[AverageScore]]&gt;=85,"Advanced",StudentsTable[[#This Row],[AverageScore]]&gt;=70,"Intermediate",StudentsTable[[#This Row],[AverageScore]]&gt;=60,"Basic",TRUE,"Needs Help")</f>
        <v>Basic</v>
      </c>
      <c r="N33">
        <f>RANK(StudentsTable[[#This Row],[AverageScore]],StudentsTable[AverageScore])</f>
        <v>646</v>
      </c>
      <c r="O33">
        <f>(StudentsTable[[#This Row],[AverageScore]]-MIN(StudentsTable[AverageScore]))/(MAX(StudentsTable[AverageScore])-MIN(StudentsTable[AverageScore]))*100</f>
        <v>59.340659340659343</v>
      </c>
    </row>
    <row r="34" spans="1:15" x14ac:dyDescent="0.3">
      <c r="A34" t="s">
        <v>8</v>
      </c>
      <c r="B34" t="s">
        <v>24</v>
      </c>
      <c r="C34" t="s">
        <v>16</v>
      </c>
      <c r="D34" t="s">
        <v>20</v>
      </c>
      <c r="E34" t="s">
        <v>12</v>
      </c>
      <c r="F34">
        <v>56</v>
      </c>
      <c r="G34">
        <v>72</v>
      </c>
      <c r="H34">
        <v>65</v>
      </c>
      <c r="I34">
        <f>StudentsTable[[#This Row],[math score]]+StudentsTable[[#This Row],[reading score]]+StudentsTable[[#This Row],[writing score]]</f>
        <v>193</v>
      </c>
      <c r="J34">
        <f>StudentsTable[[#This Row],[TotalScore]]/3</f>
        <v>64.333333333333329</v>
      </c>
      <c r="K34" t="str" cm="1">
        <f t="array" ref="K34">_xlfn.IFS(StudentsTable[[#This Row],[AverageScore]]&gt;=90,"A",StudentsTable[[#This Row],[AverageScore]]&gt;=80,"B",StudentsTable[[#This Row],[AverageScore]]&gt;=70,"C",StudentsTable[[#This Row],[AverageScore]]&gt;=60,"D",TRUE,"F")</f>
        <v>D</v>
      </c>
      <c r="L34" t="str">
        <f>IF(StudentsTable[[#This Row],[AverageScore]]&gt;=60,"Pass","Fail")</f>
        <v>Pass</v>
      </c>
      <c r="M34" t="str" cm="1">
        <f t="array" ref="M34">_xlfn.IFS(StudentsTable[[#This Row],[AverageScore]]&gt;=85,"Advanced",StudentsTable[[#This Row],[AverageScore]]&gt;=70,"Intermediate",StudentsTable[[#This Row],[AverageScore]]&gt;=60,"Basic",TRUE,"Needs Help")</f>
        <v>Basic</v>
      </c>
      <c r="N34">
        <f>RANK(StudentsTable[[#This Row],[AverageScore]],StudentsTable[AverageScore])</f>
        <v>613</v>
      </c>
      <c r="O34">
        <f>(StudentsTable[[#This Row],[AverageScore]]-MIN(StudentsTable[AverageScore]))/(MAX(StudentsTable[AverageScore])-MIN(StudentsTable[AverageScore]))*100</f>
        <v>60.805860805860803</v>
      </c>
    </row>
    <row r="35" spans="1:15" x14ac:dyDescent="0.3">
      <c r="A35" t="s">
        <v>17</v>
      </c>
      <c r="B35" t="s">
        <v>21</v>
      </c>
      <c r="C35" t="s">
        <v>14</v>
      </c>
      <c r="D35" t="s">
        <v>11</v>
      </c>
      <c r="E35" t="s">
        <v>12</v>
      </c>
      <c r="F35">
        <v>40</v>
      </c>
      <c r="G35">
        <v>42</v>
      </c>
      <c r="H35">
        <v>38</v>
      </c>
      <c r="I35">
        <f>StudentsTable[[#This Row],[math score]]+StudentsTable[[#This Row],[reading score]]+StudentsTable[[#This Row],[writing score]]</f>
        <v>120</v>
      </c>
      <c r="J35">
        <f>StudentsTable[[#This Row],[TotalScore]]/3</f>
        <v>40</v>
      </c>
      <c r="K35" t="str" cm="1">
        <f t="array" ref="K35">_xlfn.IFS(StudentsTable[[#This Row],[AverageScore]]&gt;=90,"A",StudentsTable[[#This Row],[AverageScore]]&gt;=80,"B",StudentsTable[[#This Row],[AverageScore]]&gt;=70,"C",StudentsTable[[#This Row],[AverageScore]]&gt;=60,"D",TRUE,"F")</f>
        <v>F</v>
      </c>
      <c r="L35" t="str">
        <f>IF(StudentsTable[[#This Row],[AverageScore]]&gt;=60,"Pass","Fail")</f>
        <v>Fail</v>
      </c>
      <c r="M35" t="str" cm="1">
        <f t="array" ref="M35">_xlfn.IFS(StudentsTable[[#This Row],[AverageScore]]&gt;=85,"Advanced",StudentsTable[[#This Row],[AverageScore]]&gt;=70,"Intermediate",StudentsTable[[#This Row],[AverageScore]]&gt;=60,"Basic",TRUE,"Needs Help")</f>
        <v>Needs Help</v>
      </c>
      <c r="N35">
        <f>RANK(StudentsTable[[#This Row],[AverageScore]],StudentsTable[AverageScore])</f>
        <v>969</v>
      </c>
      <c r="O35">
        <f>(StudentsTable[[#This Row],[AverageScore]]-MIN(StudentsTable[AverageScore]))/(MAX(StudentsTable[AverageScore])-MIN(StudentsTable[AverageScore]))*100</f>
        <v>34.065934065934066</v>
      </c>
    </row>
    <row r="36" spans="1:15" x14ac:dyDescent="0.3">
      <c r="A36" t="s">
        <v>17</v>
      </c>
      <c r="B36" t="s">
        <v>24</v>
      </c>
      <c r="C36" t="s">
        <v>14</v>
      </c>
      <c r="D36" t="s">
        <v>11</v>
      </c>
      <c r="E36" t="s">
        <v>12</v>
      </c>
      <c r="F36">
        <v>97</v>
      </c>
      <c r="G36">
        <v>87</v>
      </c>
      <c r="H36">
        <v>82</v>
      </c>
      <c r="I36">
        <f>StudentsTable[[#This Row],[math score]]+StudentsTable[[#This Row],[reading score]]+StudentsTable[[#This Row],[writing score]]</f>
        <v>266</v>
      </c>
      <c r="J36">
        <f>StudentsTable[[#This Row],[TotalScore]]/3</f>
        <v>88.666666666666671</v>
      </c>
      <c r="K36" t="str" cm="1">
        <f t="array" ref="K36">_xlfn.IFS(StudentsTable[[#This Row],[AverageScore]]&gt;=90,"A",StudentsTable[[#This Row],[AverageScore]]&gt;=80,"B",StudentsTable[[#This Row],[AverageScore]]&gt;=70,"C",StudentsTable[[#This Row],[AverageScore]]&gt;=60,"D",TRUE,"F")</f>
        <v>B</v>
      </c>
      <c r="L36" t="str">
        <f>IF(StudentsTable[[#This Row],[AverageScore]]&gt;=60,"Pass","Fail")</f>
        <v>Pass</v>
      </c>
      <c r="M36" t="str" cm="1">
        <f t="array" ref="M36">_xlfn.IFS(StudentsTable[[#This Row],[AverageScore]]&gt;=85,"Advanced",StudentsTable[[#This Row],[AverageScore]]&gt;=70,"Intermediate",StudentsTable[[#This Row],[AverageScore]]&gt;=60,"Basic",TRUE,"Needs Help")</f>
        <v>Advanced</v>
      </c>
      <c r="N36">
        <f>RANK(StudentsTable[[#This Row],[AverageScore]],StudentsTable[AverageScore])</f>
        <v>64</v>
      </c>
      <c r="O36">
        <f>(StudentsTable[[#This Row],[AverageScore]]-MIN(StudentsTable[AverageScore]))/(MAX(StudentsTable[AverageScore])-MIN(StudentsTable[AverageScore]))*100</f>
        <v>87.545787545787547</v>
      </c>
    </row>
    <row r="37" spans="1:15" x14ac:dyDescent="0.3">
      <c r="A37" t="s">
        <v>17</v>
      </c>
      <c r="B37" t="s">
        <v>24</v>
      </c>
      <c r="C37" t="s">
        <v>19</v>
      </c>
      <c r="D37" t="s">
        <v>11</v>
      </c>
      <c r="E37" t="s">
        <v>15</v>
      </c>
      <c r="F37">
        <v>81</v>
      </c>
      <c r="G37">
        <v>81</v>
      </c>
      <c r="H37">
        <v>79</v>
      </c>
      <c r="I37">
        <f>StudentsTable[[#This Row],[math score]]+StudentsTable[[#This Row],[reading score]]+StudentsTable[[#This Row],[writing score]]</f>
        <v>241</v>
      </c>
      <c r="J37">
        <f>StudentsTable[[#This Row],[TotalScore]]/3</f>
        <v>80.333333333333329</v>
      </c>
      <c r="K37" t="str" cm="1">
        <f t="array" ref="K37">_xlfn.IFS(StudentsTable[[#This Row],[AverageScore]]&gt;=90,"A",StudentsTable[[#This Row],[AverageScore]]&gt;=80,"B",StudentsTable[[#This Row],[AverageScore]]&gt;=70,"C",StudentsTable[[#This Row],[AverageScore]]&gt;=60,"D",TRUE,"F")</f>
        <v>B</v>
      </c>
      <c r="L37" t="str">
        <f>IF(StudentsTable[[#This Row],[AverageScore]]&gt;=60,"Pass","Fail")</f>
        <v>Pass</v>
      </c>
      <c r="M37" t="str" cm="1">
        <f t="array" ref="M37">_xlfn.IFS(StudentsTable[[#This Row],[AverageScore]]&gt;=85,"Advanced",StudentsTable[[#This Row],[AverageScore]]&gt;=70,"Intermediate",StudentsTable[[#This Row],[AverageScore]]&gt;=60,"Basic",TRUE,"Needs Help")</f>
        <v>Intermediate</v>
      </c>
      <c r="N37">
        <f>RANK(StudentsTable[[#This Row],[AverageScore]],StudentsTable[AverageScore])</f>
        <v>187</v>
      </c>
      <c r="O37">
        <f>(StudentsTable[[#This Row],[AverageScore]]-MIN(StudentsTable[AverageScore]))/(MAX(StudentsTable[AverageScore])-MIN(StudentsTable[AverageScore]))*100</f>
        <v>78.388278388278394</v>
      </c>
    </row>
    <row r="38" spans="1:15" x14ac:dyDescent="0.3">
      <c r="A38" t="s">
        <v>8</v>
      </c>
      <c r="B38" t="s">
        <v>21</v>
      </c>
      <c r="C38" t="s">
        <v>19</v>
      </c>
      <c r="D38" t="s">
        <v>11</v>
      </c>
      <c r="E38" t="s">
        <v>12</v>
      </c>
      <c r="F38">
        <v>74</v>
      </c>
      <c r="G38">
        <v>81</v>
      </c>
      <c r="H38">
        <v>83</v>
      </c>
      <c r="I38">
        <f>StudentsTable[[#This Row],[math score]]+StudentsTable[[#This Row],[reading score]]+StudentsTable[[#This Row],[writing score]]</f>
        <v>238</v>
      </c>
      <c r="J38">
        <f>StudentsTable[[#This Row],[TotalScore]]/3</f>
        <v>79.333333333333329</v>
      </c>
      <c r="K38" t="str" cm="1">
        <f t="array" ref="K38">_xlfn.IFS(StudentsTable[[#This Row],[AverageScore]]&gt;=90,"A",StudentsTable[[#This Row],[AverageScore]]&gt;=80,"B",StudentsTable[[#This Row],[AverageScore]]&gt;=70,"C",StudentsTable[[#This Row],[AverageScore]]&gt;=60,"D",TRUE,"F")</f>
        <v>C</v>
      </c>
      <c r="L38" t="str">
        <f>IF(StudentsTable[[#This Row],[AverageScore]]&gt;=60,"Pass","Fail")</f>
        <v>Pass</v>
      </c>
      <c r="M38" t="str" cm="1">
        <f t="array" ref="M38">_xlfn.IFS(StudentsTable[[#This Row],[AverageScore]]&gt;=85,"Advanced",StudentsTable[[#This Row],[AverageScore]]&gt;=70,"Intermediate",StudentsTable[[#This Row],[AverageScore]]&gt;=60,"Basic",TRUE,"Needs Help")</f>
        <v>Intermediate</v>
      </c>
      <c r="N38">
        <f>RANK(StudentsTable[[#This Row],[AverageScore]],StudentsTable[AverageScore])</f>
        <v>207</v>
      </c>
      <c r="O38">
        <f>(StudentsTable[[#This Row],[AverageScore]]-MIN(StudentsTable[AverageScore]))/(MAX(StudentsTable[AverageScore])-MIN(StudentsTable[AverageScore]))*100</f>
        <v>77.289377289377285</v>
      </c>
    </row>
    <row r="39" spans="1:15" x14ac:dyDescent="0.3">
      <c r="A39" t="s">
        <v>8</v>
      </c>
      <c r="B39" t="s">
        <v>21</v>
      </c>
      <c r="C39" t="s">
        <v>23</v>
      </c>
      <c r="D39" t="s">
        <v>20</v>
      </c>
      <c r="E39" t="s">
        <v>12</v>
      </c>
      <c r="F39">
        <v>50</v>
      </c>
      <c r="G39">
        <v>64</v>
      </c>
      <c r="H39">
        <v>59</v>
      </c>
      <c r="I39">
        <f>StudentsTable[[#This Row],[math score]]+StudentsTable[[#This Row],[reading score]]+StudentsTable[[#This Row],[writing score]]</f>
        <v>173</v>
      </c>
      <c r="J39">
        <f>StudentsTable[[#This Row],[TotalScore]]/3</f>
        <v>57.666666666666664</v>
      </c>
      <c r="K39" t="str" cm="1">
        <f t="array" ref="K39">_xlfn.IFS(StudentsTable[[#This Row],[AverageScore]]&gt;=90,"A",StudentsTable[[#This Row],[AverageScore]]&gt;=80,"B",StudentsTable[[#This Row],[AverageScore]]&gt;=70,"C",StudentsTable[[#This Row],[AverageScore]]&gt;=60,"D",TRUE,"F")</f>
        <v>F</v>
      </c>
      <c r="L39" t="str">
        <f>IF(StudentsTable[[#This Row],[AverageScore]]&gt;=60,"Pass","Fail")</f>
        <v>Fail</v>
      </c>
      <c r="M39" t="str" cm="1">
        <f t="array" ref="M39">_xlfn.IFS(StudentsTable[[#This Row],[AverageScore]]&gt;=85,"Advanced",StudentsTable[[#This Row],[AverageScore]]&gt;=70,"Intermediate",StudentsTable[[#This Row],[AverageScore]]&gt;=60,"Basic",TRUE,"Needs Help")</f>
        <v>Needs Help</v>
      </c>
      <c r="N39">
        <f>RANK(StudentsTable[[#This Row],[AverageScore]],StudentsTable[AverageScore])</f>
        <v>756</v>
      </c>
      <c r="O39">
        <f>(StudentsTable[[#This Row],[AverageScore]]-MIN(StudentsTable[AverageScore]))/(MAX(StudentsTable[AverageScore])-MIN(StudentsTable[AverageScore]))*100</f>
        <v>53.479853479853482</v>
      </c>
    </row>
    <row r="40" spans="1:15" x14ac:dyDescent="0.3">
      <c r="A40" t="s">
        <v>8</v>
      </c>
      <c r="B40" t="s">
        <v>21</v>
      </c>
      <c r="C40" t="s">
        <v>19</v>
      </c>
      <c r="D40" t="s">
        <v>20</v>
      </c>
      <c r="E40" t="s">
        <v>15</v>
      </c>
      <c r="F40">
        <v>75</v>
      </c>
      <c r="G40">
        <v>90</v>
      </c>
      <c r="H40">
        <v>88</v>
      </c>
      <c r="I40">
        <f>StudentsTable[[#This Row],[math score]]+StudentsTable[[#This Row],[reading score]]+StudentsTable[[#This Row],[writing score]]</f>
        <v>253</v>
      </c>
      <c r="J40">
        <f>StudentsTable[[#This Row],[TotalScore]]/3</f>
        <v>84.333333333333329</v>
      </c>
      <c r="K40" t="str" cm="1">
        <f t="array" ref="K40">_xlfn.IFS(StudentsTable[[#This Row],[AverageScore]]&gt;=90,"A",StudentsTable[[#This Row],[AverageScore]]&gt;=80,"B",StudentsTable[[#This Row],[AverageScore]]&gt;=70,"C",StudentsTable[[#This Row],[AverageScore]]&gt;=60,"D",TRUE,"F")</f>
        <v>B</v>
      </c>
      <c r="L40" t="str">
        <f>IF(StudentsTable[[#This Row],[AverageScore]]&gt;=60,"Pass","Fail")</f>
        <v>Pass</v>
      </c>
      <c r="M40" t="str" cm="1">
        <f t="array" ref="M40">_xlfn.IFS(StudentsTable[[#This Row],[AverageScore]]&gt;=85,"Advanced",StudentsTable[[#This Row],[AverageScore]]&gt;=70,"Intermediate",StudentsTable[[#This Row],[AverageScore]]&gt;=60,"Basic",TRUE,"Needs Help")</f>
        <v>Intermediate</v>
      </c>
      <c r="N40">
        <f>RANK(StudentsTable[[#This Row],[AverageScore]],StudentsTable[AverageScore])</f>
        <v>121</v>
      </c>
      <c r="O40">
        <f>(StudentsTable[[#This Row],[AverageScore]]-MIN(StudentsTable[AverageScore]))/(MAX(StudentsTable[AverageScore])-MIN(StudentsTable[AverageScore]))*100</f>
        <v>82.783882783882774</v>
      </c>
    </row>
    <row r="41" spans="1:15" x14ac:dyDescent="0.3">
      <c r="A41" t="s">
        <v>17</v>
      </c>
      <c r="B41" t="s">
        <v>9</v>
      </c>
      <c r="C41" t="s">
        <v>19</v>
      </c>
      <c r="D41" t="s">
        <v>20</v>
      </c>
      <c r="E41" t="s">
        <v>12</v>
      </c>
      <c r="F41">
        <v>57</v>
      </c>
      <c r="G41">
        <v>56</v>
      </c>
      <c r="H41">
        <v>57</v>
      </c>
      <c r="I41">
        <f>StudentsTable[[#This Row],[math score]]+StudentsTable[[#This Row],[reading score]]+StudentsTable[[#This Row],[writing score]]</f>
        <v>170</v>
      </c>
      <c r="J41">
        <f>StudentsTable[[#This Row],[TotalScore]]/3</f>
        <v>56.666666666666664</v>
      </c>
      <c r="K41" t="str" cm="1">
        <f t="array" ref="K41">_xlfn.IFS(StudentsTable[[#This Row],[AverageScore]]&gt;=90,"A",StudentsTable[[#This Row],[AverageScore]]&gt;=80,"B",StudentsTable[[#This Row],[AverageScore]]&gt;=70,"C",StudentsTable[[#This Row],[AverageScore]]&gt;=60,"D",TRUE,"F")</f>
        <v>F</v>
      </c>
      <c r="L41" t="str">
        <f>IF(StudentsTable[[#This Row],[AverageScore]]&gt;=60,"Pass","Fail")</f>
        <v>Fail</v>
      </c>
      <c r="M41" t="str" cm="1">
        <f t="array" ref="M41">_xlfn.IFS(StudentsTable[[#This Row],[AverageScore]]&gt;=85,"Advanced",StudentsTable[[#This Row],[AverageScore]]&gt;=70,"Intermediate",StudentsTable[[#This Row],[AverageScore]]&gt;=60,"Basic",TRUE,"Needs Help")</f>
        <v>Needs Help</v>
      </c>
      <c r="N41">
        <f>RANK(StudentsTable[[#This Row],[AverageScore]],StudentsTable[AverageScore])</f>
        <v>776</v>
      </c>
      <c r="O41">
        <f>(StudentsTable[[#This Row],[AverageScore]]-MIN(StudentsTable[AverageScore]))/(MAX(StudentsTable[AverageScore])-MIN(StudentsTable[AverageScore]))*100</f>
        <v>52.380952380952387</v>
      </c>
    </row>
    <row r="42" spans="1:15" x14ac:dyDescent="0.3">
      <c r="A42" t="s">
        <v>17</v>
      </c>
      <c r="B42" t="s">
        <v>13</v>
      </c>
      <c r="C42" t="s">
        <v>19</v>
      </c>
      <c r="D42" t="s">
        <v>20</v>
      </c>
      <c r="E42" t="s">
        <v>12</v>
      </c>
      <c r="F42">
        <v>55</v>
      </c>
      <c r="G42">
        <v>61</v>
      </c>
      <c r="H42">
        <v>54</v>
      </c>
      <c r="I42">
        <f>StudentsTable[[#This Row],[math score]]+StudentsTable[[#This Row],[reading score]]+StudentsTable[[#This Row],[writing score]]</f>
        <v>170</v>
      </c>
      <c r="J42">
        <f>StudentsTable[[#This Row],[TotalScore]]/3</f>
        <v>56.666666666666664</v>
      </c>
      <c r="K42" t="str" cm="1">
        <f t="array" ref="K42">_xlfn.IFS(StudentsTable[[#This Row],[AverageScore]]&gt;=90,"A",StudentsTable[[#This Row],[AverageScore]]&gt;=80,"B",StudentsTable[[#This Row],[AverageScore]]&gt;=70,"C",StudentsTable[[#This Row],[AverageScore]]&gt;=60,"D",TRUE,"F")</f>
        <v>F</v>
      </c>
      <c r="L42" t="str">
        <f>IF(StudentsTable[[#This Row],[AverageScore]]&gt;=60,"Pass","Fail")</f>
        <v>Fail</v>
      </c>
      <c r="M42" t="str" cm="1">
        <f t="array" ref="M42">_xlfn.IFS(StudentsTable[[#This Row],[AverageScore]]&gt;=85,"Advanced",StudentsTable[[#This Row],[AverageScore]]&gt;=70,"Intermediate",StudentsTable[[#This Row],[AverageScore]]&gt;=60,"Basic",TRUE,"Needs Help")</f>
        <v>Needs Help</v>
      </c>
      <c r="N42">
        <f>RANK(StudentsTable[[#This Row],[AverageScore]],StudentsTable[AverageScore])</f>
        <v>776</v>
      </c>
      <c r="O42">
        <f>(StudentsTable[[#This Row],[AverageScore]]-MIN(StudentsTable[AverageScore]))/(MAX(StudentsTable[AverageScore])-MIN(StudentsTable[AverageScore]))*100</f>
        <v>52.380952380952387</v>
      </c>
    </row>
    <row r="43" spans="1:15" x14ac:dyDescent="0.3">
      <c r="A43" t="s">
        <v>8</v>
      </c>
      <c r="B43" t="s">
        <v>13</v>
      </c>
      <c r="C43" t="s">
        <v>19</v>
      </c>
      <c r="D43" t="s">
        <v>11</v>
      </c>
      <c r="E43" t="s">
        <v>12</v>
      </c>
      <c r="F43">
        <v>58</v>
      </c>
      <c r="G43">
        <v>73</v>
      </c>
      <c r="H43">
        <v>68</v>
      </c>
      <c r="I43">
        <f>StudentsTable[[#This Row],[math score]]+StudentsTable[[#This Row],[reading score]]+StudentsTable[[#This Row],[writing score]]</f>
        <v>199</v>
      </c>
      <c r="J43">
        <f>StudentsTable[[#This Row],[TotalScore]]/3</f>
        <v>66.333333333333329</v>
      </c>
      <c r="K43" t="str" cm="1">
        <f t="array" ref="K43">_xlfn.IFS(StudentsTable[[#This Row],[AverageScore]]&gt;=90,"A",StudentsTable[[#This Row],[AverageScore]]&gt;=80,"B",StudentsTable[[#This Row],[AverageScore]]&gt;=70,"C",StudentsTable[[#This Row],[AverageScore]]&gt;=60,"D",TRUE,"F")</f>
        <v>D</v>
      </c>
      <c r="L43" t="str">
        <f>IF(StudentsTable[[#This Row],[AverageScore]]&gt;=60,"Pass","Fail")</f>
        <v>Pass</v>
      </c>
      <c r="M43" t="str" cm="1">
        <f t="array" ref="M43">_xlfn.IFS(StudentsTable[[#This Row],[AverageScore]]&gt;=85,"Advanced",StudentsTable[[#This Row],[AverageScore]]&gt;=70,"Intermediate",StudentsTable[[#This Row],[AverageScore]]&gt;=60,"Basic",TRUE,"Needs Help")</f>
        <v>Basic</v>
      </c>
      <c r="N43">
        <f>RANK(StudentsTable[[#This Row],[AverageScore]],StudentsTable[AverageScore])</f>
        <v>557</v>
      </c>
      <c r="O43">
        <f>(StudentsTable[[#This Row],[AverageScore]]-MIN(StudentsTable[AverageScore]))/(MAX(StudentsTable[AverageScore])-MIN(StudentsTable[AverageScore]))*100</f>
        <v>63.003663003663</v>
      </c>
    </row>
    <row r="44" spans="1:15" x14ac:dyDescent="0.3">
      <c r="A44" t="s">
        <v>8</v>
      </c>
      <c r="B44" t="s">
        <v>9</v>
      </c>
      <c r="C44" t="s">
        <v>19</v>
      </c>
      <c r="D44" t="s">
        <v>11</v>
      </c>
      <c r="E44" t="s">
        <v>12</v>
      </c>
      <c r="F44">
        <v>53</v>
      </c>
      <c r="G44">
        <v>58</v>
      </c>
      <c r="H44">
        <v>65</v>
      </c>
      <c r="I44">
        <f>StudentsTable[[#This Row],[math score]]+StudentsTable[[#This Row],[reading score]]+StudentsTable[[#This Row],[writing score]]</f>
        <v>176</v>
      </c>
      <c r="J44">
        <f>StudentsTable[[#This Row],[TotalScore]]/3</f>
        <v>58.666666666666664</v>
      </c>
      <c r="K44" t="str" cm="1">
        <f t="array" ref="K44">_xlfn.IFS(StudentsTable[[#This Row],[AverageScore]]&gt;=90,"A",StudentsTable[[#This Row],[AverageScore]]&gt;=80,"B",StudentsTable[[#This Row],[AverageScore]]&gt;=70,"C",StudentsTable[[#This Row],[AverageScore]]&gt;=60,"D",TRUE,"F")</f>
        <v>F</v>
      </c>
      <c r="L44" t="str">
        <f>IF(StudentsTable[[#This Row],[AverageScore]]&gt;=60,"Pass","Fail")</f>
        <v>Fail</v>
      </c>
      <c r="M44" t="str" cm="1">
        <f t="array" ref="M44">_xlfn.IFS(StudentsTable[[#This Row],[AverageScore]]&gt;=85,"Advanced",StudentsTable[[#This Row],[AverageScore]]&gt;=70,"Intermediate",StudentsTable[[#This Row],[AverageScore]]&gt;=60,"Basic",TRUE,"Needs Help")</f>
        <v>Needs Help</v>
      </c>
      <c r="N44">
        <f>RANK(StudentsTable[[#This Row],[AverageScore]],StudentsTable[AverageScore])</f>
        <v>736</v>
      </c>
      <c r="O44">
        <f>(StudentsTable[[#This Row],[AverageScore]]-MIN(StudentsTable[AverageScore]))/(MAX(StudentsTable[AverageScore])-MIN(StudentsTable[AverageScore]))*100</f>
        <v>54.578754578754577</v>
      </c>
    </row>
    <row r="45" spans="1:15" x14ac:dyDescent="0.3">
      <c r="A45" t="s">
        <v>17</v>
      </c>
      <c r="B45" t="s">
        <v>9</v>
      </c>
      <c r="C45" t="s">
        <v>14</v>
      </c>
      <c r="D45" t="s">
        <v>20</v>
      </c>
      <c r="E45" t="s">
        <v>15</v>
      </c>
      <c r="F45">
        <v>59</v>
      </c>
      <c r="G45">
        <v>65</v>
      </c>
      <c r="H45">
        <v>66</v>
      </c>
      <c r="I45">
        <f>StudentsTable[[#This Row],[math score]]+StudentsTable[[#This Row],[reading score]]+StudentsTable[[#This Row],[writing score]]</f>
        <v>190</v>
      </c>
      <c r="J45">
        <f>StudentsTable[[#This Row],[TotalScore]]/3</f>
        <v>63.333333333333336</v>
      </c>
      <c r="K45" t="str" cm="1">
        <f t="array" ref="K45">_xlfn.IFS(StudentsTable[[#This Row],[AverageScore]]&gt;=90,"A",StudentsTable[[#This Row],[AverageScore]]&gt;=80,"B",StudentsTable[[#This Row],[AverageScore]]&gt;=70,"C",StudentsTable[[#This Row],[AverageScore]]&gt;=60,"D",TRUE,"F")</f>
        <v>D</v>
      </c>
      <c r="L45" t="str">
        <f>IF(StudentsTable[[#This Row],[AverageScore]]&gt;=60,"Pass","Fail")</f>
        <v>Pass</v>
      </c>
      <c r="M45" t="str" cm="1">
        <f t="array" ref="M45">_xlfn.IFS(StudentsTable[[#This Row],[AverageScore]]&gt;=85,"Advanced",StudentsTable[[#This Row],[AverageScore]]&gt;=70,"Intermediate",StudentsTable[[#This Row],[AverageScore]]&gt;=60,"Basic",TRUE,"Needs Help")</f>
        <v>Basic</v>
      </c>
      <c r="N45">
        <f>RANK(StudentsTable[[#This Row],[AverageScore]],StudentsTable[AverageScore])</f>
        <v>641</v>
      </c>
      <c r="O45">
        <f>(StudentsTable[[#This Row],[AverageScore]]-MIN(StudentsTable[AverageScore]))/(MAX(StudentsTable[AverageScore])-MIN(StudentsTable[AverageScore]))*100</f>
        <v>59.706959706959708</v>
      </c>
    </row>
    <row r="46" spans="1:15" x14ac:dyDescent="0.3">
      <c r="A46" t="s">
        <v>8</v>
      </c>
      <c r="B46" t="s">
        <v>24</v>
      </c>
      <c r="C46" t="s">
        <v>19</v>
      </c>
      <c r="D46" t="s">
        <v>20</v>
      </c>
      <c r="E46" t="s">
        <v>12</v>
      </c>
      <c r="F46">
        <v>50</v>
      </c>
      <c r="G46">
        <v>56</v>
      </c>
      <c r="H46">
        <v>54</v>
      </c>
      <c r="I46">
        <f>StudentsTable[[#This Row],[math score]]+StudentsTable[[#This Row],[reading score]]+StudentsTable[[#This Row],[writing score]]</f>
        <v>160</v>
      </c>
      <c r="J46">
        <f>StudentsTable[[#This Row],[TotalScore]]/3</f>
        <v>53.333333333333336</v>
      </c>
      <c r="K46" t="str" cm="1">
        <f t="array" ref="K46">_xlfn.IFS(StudentsTable[[#This Row],[AverageScore]]&gt;=90,"A",StudentsTable[[#This Row],[AverageScore]]&gt;=80,"B",StudentsTable[[#This Row],[AverageScore]]&gt;=70,"C",StudentsTable[[#This Row],[AverageScore]]&gt;=60,"D",TRUE,"F")</f>
        <v>F</v>
      </c>
      <c r="L46" t="str">
        <f>IF(StudentsTable[[#This Row],[AverageScore]]&gt;=60,"Pass","Fail")</f>
        <v>Fail</v>
      </c>
      <c r="M46" t="str" cm="1">
        <f t="array" ref="M46">_xlfn.IFS(StudentsTable[[#This Row],[AverageScore]]&gt;=85,"Advanced",StudentsTable[[#This Row],[AverageScore]]&gt;=70,"Intermediate",StudentsTable[[#This Row],[AverageScore]]&gt;=60,"Basic",TRUE,"Needs Help")</f>
        <v>Needs Help</v>
      </c>
      <c r="N46">
        <f>RANK(StudentsTable[[#This Row],[AverageScore]],StudentsTable[AverageScore])</f>
        <v>837</v>
      </c>
      <c r="O46">
        <f>(StudentsTable[[#This Row],[AverageScore]]-MIN(StudentsTable[AverageScore]))/(MAX(StudentsTable[AverageScore])-MIN(StudentsTable[AverageScore]))*100</f>
        <v>48.717948717948723</v>
      </c>
    </row>
    <row r="47" spans="1:15" x14ac:dyDescent="0.3">
      <c r="A47" t="s">
        <v>17</v>
      </c>
      <c r="B47" t="s">
        <v>9</v>
      </c>
      <c r="C47" t="s">
        <v>19</v>
      </c>
      <c r="D47" t="s">
        <v>11</v>
      </c>
      <c r="E47" t="s">
        <v>12</v>
      </c>
      <c r="F47">
        <v>65</v>
      </c>
      <c r="G47">
        <v>54</v>
      </c>
      <c r="H47">
        <v>57</v>
      </c>
      <c r="I47">
        <f>StudentsTable[[#This Row],[math score]]+StudentsTable[[#This Row],[reading score]]+StudentsTable[[#This Row],[writing score]]</f>
        <v>176</v>
      </c>
      <c r="J47">
        <f>StudentsTable[[#This Row],[TotalScore]]/3</f>
        <v>58.666666666666664</v>
      </c>
      <c r="K47" t="str" cm="1">
        <f t="array" ref="K47">_xlfn.IFS(StudentsTable[[#This Row],[AverageScore]]&gt;=90,"A",StudentsTable[[#This Row],[AverageScore]]&gt;=80,"B",StudentsTable[[#This Row],[AverageScore]]&gt;=70,"C",StudentsTable[[#This Row],[AverageScore]]&gt;=60,"D",TRUE,"F")</f>
        <v>F</v>
      </c>
      <c r="L47" t="str">
        <f>IF(StudentsTable[[#This Row],[AverageScore]]&gt;=60,"Pass","Fail")</f>
        <v>Fail</v>
      </c>
      <c r="M47" t="str" cm="1">
        <f t="array" ref="M47">_xlfn.IFS(StudentsTable[[#This Row],[AverageScore]]&gt;=85,"Advanced",StudentsTable[[#This Row],[AverageScore]]&gt;=70,"Intermediate",StudentsTable[[#This Row],[AverageScore]]&gt;=60,"Basic",TRUE,"Needs Help")</f>
        <v>Needs Help</v>
      </c>
      <c r="N47">
        <f>RANK(StudentsTable[[#This Row],[AverageScore]],StudentsTable[AverageScore])</f>
        <v>736</v>
      </c>
      <c r="O47">
        <f>(StudentsTable[[#This Row],[AverageScore]]-MIN(StudentsTable[AverageScore]))/(MAX(StudentsTable[AverageScore])-MIN(StudentsTable[AverageScore]))*100</f>
        <v>54.578754578754577</v>
      </c>
    </row>
    <row r="48" spans="1:15" x14ac:dyDescent="0.3">
      <c r="A48" t="s">
        <v>8</v>
      </c>
      <c r="B48" t="s">
        <v>18</v>
      </c>
      <c r="C48" t="s">
        <v>19</v>
      </c>
      <c r="D48" t="s">
        <v>11</v>
      </c>
      <c r="E48" t="s">
        <v>15</v>
      </c>
      <c r="F48">
        <v>55</v>
      </c>
      <c r="G48">
        <v>65</v>
      </c>
      <c r="H48">
        <v>62</v>
      </c>
      <c r="I48">
        <f>StudentsTable[[#This Row],[math score]]+StudentsTable[[#This Row],[reading score]]+StudentsTable[[#This Row],[writing score]]</f>
        <v>182</v>
      </c>
      <c r="J48">
        <f>StudentsTable[[#This Row],[TotalScore]]/3</f>
        <v>60.666666666666664</v>
      </c>
      <c r="K48" t="str" cm="1">
        <f t="array" ref="K48">_xlfn.IFS(StudentsTable[[#This Row],[AverageScore]]&gt;=90,"A",StudentsTable[[#This Row],[AverageScore]]&gt;=80,"B",StudentsTable[[#This Row],[AverageScore]]&gt;=70,"C",StudentsTable[[#This Row],[AverageScore]]&gt;=60,"D",TRUE,"F")</f>
        <v>D</v>
      </c>
      <c r="L48" t="str">
        <f>IF(StudentsTable[[#This Row],[AverageScore]]&gt;=60,"Pass","Fail")</f>
        <v>Pass</v>
      </c>
      <c r="M48" t="str" cm="1">
        <f t="array" ref="M48">_xlfn.IFS(StudentsTable[[#This Row],[AverageScore]]&gt;=85,"Advanced",StudentsTable[[#This Row],[AverageScore]]&gt;=70,"Intermediate",StudentsTable[[#This Row],[AverageScore]]&gt;=60,"Basic",TRUE,"Needs Help")</f>
        <v>Basic</v>
      </c>
      <c r="N48">
        <f>RANK(StudentsTable[[#This Row],[AverageScore]],StudentsTable[AverageScore])</f>
        <v>693</v>
      </c>
      <c r="O48">
        <f>(StudentsTable[[#This Row],[AverageScore]]-MIN(StudentsTable[AverageScore]))/(MAX(StudentsTable[AverageScore])-MIN(StudentsTable[AverageScore]))*100</f>
        <v>56.776556776556774</v>
      </c>
    </row>
    <row r="49" spans="1:15" x14ac:dyDescent="0.3">
      <c r="A49" t="s">
        <v>8</v>
      </c>
      <c r="B49" t="s">
        <v>13</v>
      </c>
      <c r="C49" t="s">
        <v>22</v>
      </c>
      <c r="D49" t="s">
        <v>11</v>
      </c>
      <c r="E49" t="s">
        <v>12</v>
      </c>
      <c r="F49">
        <v>66</v>
      </c>
      <c r="G49">
        <v>71</v>
      </c>
      <c r="H49">
        <v>76</v>
      </c>
      <c r="I49">
        <f>StudentsTable[[#This Row],[math score]]+StudentsTable[[#This Row],[reading score]]+StudentsTable[[#This Row],[writing score]]</f>
        <v>213</v>
      </c>
      <c r="J49">
        <f>StudentsTable[[#This Row],[TotalScore]]/3</f>
        <v>71</v>
      </c>
      <c r="K49" t="str" cm="1">
        <f t="array" ref="K49">_xlfn.IFS(StudentsTable[[#This Row],[AverageScore]]&gt;=90,"A",StudentsTable[[#This Row],[AverageScore]]&gt;=80,"B",StudentsTable[[#This Row],[AverageScore]]&gt;=70,"C",StudentsTable[[#This Row],[AverageScore]]&gt;=60,"D",TRUE,"F")</f>
        <v>C</v>
      </c>
      <c r="L49" t="str">
        <f>IF(StudentsTable[[#This Row],[AverageScore]]&gt;=60,"Pass","Fail")</f>
        <v>Pass</v>
      </c>
      <c r="M49" t="str" cm="1">
        <f t="array" ref="M49">_xlfn.IFS(StudentsTable[[#This Row],[AverageScore]]&gt;=85,"Advanced",StudentsTable[[#This Row],[AverageScore]]&gt;=70,"Intermediate",StudentsTable[[#This Row],[AverageScore]]&gt;=60,"Basic",TRUE,"Needs Help")</f>
        <v>Intermediate</v>
      </c>
      <c r="N49">
        <f>RANK(StudentsTable[[#This Row],[AverageScore]],StudentsTable[AverageScore])</f>
        <v>424</v>
      </c>
      <c r="O49">
        <f>(StudentsTable[[#This Row],[AverageScore]]-MIN(StudentsTable[AverageScore]))/(MAX(StudentsTable[AverageScore])-MIN(StudentsTable[AverageScore]))*100</f>
        <v>68.131868131868131</v>
      </c>
    </row>
    <row r="50" spans="1:15" x14ac:dyDescent="0.3">
      <c r="A50" t="s">
        <v>8</v>
      </c>
      <c r="B50" t="s">
        <v>21</v>
      </c>
      <c r="C50" t="s">
        <v>19</v>
      </c>
      <c r="D50" t="s">
        <v>20</v>
      </c>
      <c r="E50" t="s">
        <v>15</v>
      </c>
      <c r="F50">
        <v>57</v>
      </c>
      <c r="G50">
        <v>74</v>
      </c>
      <c r="H50">
        <v>76</v>
      </c>
      <c r="I50">
        <f>StudentsTable[[#This Row],[math score]]+StudentsTable[[#This Row],[reading score]]+StudentsTable[[#This Row],[writing score]]</f>
        <v>207</v>
      </c>
      <c r="J50">
        <f>StudentsTable[[#This Row],[TotalScore]]/3</f>
        <v>69</v>
      </c>
      <c r="K50" t="str" cm="1">
        <f t="array" ref="K50">_xlfn.IFS(StudentsTable[[#This Row],[AverageScore]]&gt;=90,"A",StudentsTable[[#This Row],[AverageScore]]&gt;=80,"B",StudentsTable[[#This Row],[AverageScore]]&gt;=70,"C",StudentsTable[[#This Row],[AverageScore]]&gt;=60,"D",TRUE,"F")</f>
        <v>D</v>
      </c>
      <c r="L50" t="str">
        <f>IF(StudentsTable[[#This Row],[AverageScore]]&gt;=60,"Pass","Fail")</f>
        <v>Pass</v>
      </c>
      <c r="M50" t="str" cm="1">
        <f t="array" ref="M50">_xlfn.IFS(StudentsTable[[#This Row],[AverageScore]]&gt;=85,"Advanced",StudentsTable[[#This Row],[AverageScore]]&gt;=70,"Intermediate",StudentsTable[[#This Row],[AverageScore]]&gt;=60,"Basic",TRUE,"Needs Help")</f>
        <v>Basic</v>
      </c>
      <c r="N50">
        <f>RANK(StudentsTable[[#This Row],[AverageScore]],StudentsTable[AverageScore])</f>
        <v>475</v>
      </c>
      <c r="O50">
        <f>(StudentsTable[[#This Row],[AverageScore]]-MIN(StudentsTable[AverageScore]))/(MAX(StudentsTable[AverageScore])-MIN(StudentsTable[AverageScore]))*100</f>
        <v>65.934065934065927</v>
      </c>
    </row>
    <row r="51" spans="1:15" x14ac:dyDescent="0.3">
      <c r="A51" t="s">
        <v>17</v>
      </c>
      <c r="B51" t="s">
        <v>13</v>
      </c>
      <c r="C51" t="s">
        <v>22</v>
      </c>
      <c r="D51" t="s">
        <v>11</v>
      </c>
      <c r="E51" t="s">
        <v>15</v>
      </c>
      <c r="F51">
        <v>82</v>
      </c>
      <c r="G51">
        <v>84</v>
      </c>
      <c r="H51">
        <v>82</v>
      </c>
      <c r="I51">
        <f>StudentsTable[[#This Row],[math score]]+StudentsTable[[#This Row],[reading score]]+StudentsTable[[#This Row],[writing score]]</f>
        <v>248</v>
      </c>
      <c r="J51">
        <f>StudentsTable[[#This Row],[TotalScore]]/3</f>
        <v>82.666666666666671</v>
      </c>
      <c r="K51" t="str" cm="1">
        <f t="array" ref="K51">_xlfn.IFS(StudentsTable[[#This Row],[AverageScore]]&gt;=90,"A",StudentsTable[[#This Row],[AverageScore]]&gt;=80,"B",StudentsTable[[#This Row],[AverageScore]]&gt;=70,"C",StudentsTable[[#This Row],[AverageScore]]&gt;=60,"D",TRUE,"F")</f>
        <v>B</v>
      </c>
      <c r="L51" t="str">
        <f>IF(StudentsTable[[#This Row],[AverageScore]]&gt;=60,"Pass","Fail")</f>
        <v>Pass</v>
      </c>
      <c r="M51" t="str" cm="1">
        <f t="array" ref="M51">_xlfn.IFS(StudentsTable[[#This Row],[AverageScore]]&gt;=85,"Advanced",StudentsTable[[#This Row],[AverageScore]]&gt;=70,"Intermediate",StudentsTable[[#This Row],[AverageScore]]&gt;=60,"Basic",TRUE,"Needs Help")</f>
        <v>Intermediate</v>
      </c>
      <c r="N51">
        <f>RANK(StudentsTable[[#This Row],[AverageScore]],StudentsTable[AverageScore])</f>
        <v>149</v>
      </c>
      <c r="O51">
        <f>(StudentsTable[[#This Row],[AverageScore]]-MIN(StudentsTable[AverageScore]))/(MAX(StudentsTable[AverageScore])-MIN(StudentsTable[AverageScore]))*100</f>
        <v>80.952380952380949</v>
      </c>
    </row>
    <row r="52" spans="1:15" x14ac:dyDescent="0.3">
      <c r="A52" t="s">
        <v>17</v>
      </c>
      <c r="B52" t="s">
        <v>24</v>
      </c>
      <c r="C52" t="s">
        <v>14</v>
      </c>
      <c r="D52" t="s">
        <v>11</v>
      </c>
      <c r="E52" t="s">
        <v>12</v>
      </c>
      <c r="F52">
        <v>53</v>
      </c>
      <c r="G52">
        <v>55</v>
      </c>
      <c r="H52">
        <v>48</v>
      </c>
      <c r="I52">
        <f>StudentsTable[[#This Row],[math score]]+StudentsTable[[#This Row],[reading score]]+StudentsTable[[#This Row],[writing score]]</f>
        <v>156</v>
      </c>
      <c r="J52">
        <f>StudentsTable[[#This Row],[TotalScore]]/3</f>
        <v>52</v>
      </c>
      <c r="K52" t="str" cm="1">
        <f t="array" ref="K52">_xlfn.IFS(StudentsTable[[#This Row],[AverageScore]]&gt;=90,"A",StudentsTable[[#This Row],[AverageScore]]&gt;=80,"B",StudentsTable[[#This Row],[AverageScore]]&gt;=70,"C",StudentsTable[[#This Row],[AverageScore]]&gt;=60,"D",TRUE,"F")</f>
        <v>F</v>
      </c>
      <c r="L52" t="str">
        <f>IF(StudentsTable[[#This Row],[AverageScore]]&gt;=60,"Pass","Fail")</f>
        <v>Fail</v>
      </c>
      <c r="M52" t="str" cm="1">
        <f t="array" ref="M52">_xlfn.IFS(StudentsTable[[#This Row],[AverageScore]]&gt;=85,"Advanced",StudentsTable[[#This Row],[AverageScore]]&gt;=70,"Intermediate",StudentsTable[[#This Row],[AverageScore]]&gt;=60,"Basic",TRUE,"Needs Help")</f>
        <v>Needs Help</v>
      </c>
      <c r="N52">
        <f>RANK(StudentsTable[[#This Row],[AverageScore]],StudentsTable[AverageScore])</f>
        <v>855</v>
      </c>
      <c r="O52">
        <f>(StudentsTable[[#This Row],[AverageScore]]-MIN(StudentsTable[AverageScore]))/(MAX(StudentsTable[AverageScore])-MIN(StudentsTable[AverageScore]))*100</f>
        <v>47.252747252747248</v>
      </c>
    </row>
    <row r="53" spans="1:15" x14ac:dyDescent="0.3">
      <c r="A53" t="s">
        <v>17</v>
      </c>
      <c r="B53" t="s">
        <v>24</v>
      </c>
      <c r="C53" t="s">
        <v>19</v>
      </c>
      <c r="D53" t="s">
        <v>20</v>
      </c>
      <c r="E53" t="s">
        <v>15</v>
      </c>
      <c r="F53">
        <v>77</v>
      </c>
      <c r="G53">
        <v>69</v>
      </c>
      <c r="H53">
        <v>68</v>
      </c>
      <c r="I53">
        <f>StudentsTable[[#This Row],[math score]]+StudentsTable[[#This Row],[reading score]]+StudentsTable[[#This Row],[writing score]]</f>
        <v>214</v>
      </c>
      <c r="J53">
        <f>StudentsTable[[#This Row],[TotalScore]]/3</f>
        <v>71.333333333333329</v>
      </c>
      <c r="K53" t="str" cm="1">
        <f t="array" ref="K53">_xlfn.IFS(StudentsTable[[#This Row],[AverageScore]]&gt;=90,"A",StudentsTable[[#This Row],[AverageScore]]&gt;=80,"B",StudentsTable[[#This Row],[AverageScore]]&gt;=70,"C",StudentsTable[[#This Row],[AverageScore]]&gt;=60,"D",TRUE,"F")</f>
        <v>C</v>
      </c>
      <c r="L53" t="str">
        <f>IF(StudentsTable[[#This Row],[AverageScore]]&gt;=60,"Pass","Fail")</f>
        <v>Pass</v>
      </c>
      <c r="M53" t="str" cm="1">
        <f t="array" ref="M53">_xlfn.IFS(StudentsTable[[#This Row],[AverageScore]]&gt;=85,"Advanced",StudentsTable[[#This Row],[AverageScore]]&gt;=70,"Intermediate",StudentsTable[[#This Row],[AverageScore]]&gt;=60,"Basic",TRUE,"Needs Help")</f>
        <v>Intermediate</v>
      </c>
      <c r="N53">
        <f>RANK(StudentsTable[[#This Row],[AverageScore]],StudentsTable[AverageScore])</f>
        <v>412</v>
      </c>
      <c r="O53">
        <f>(StudentsTable[[#This Row],[AverageScore]]-MIN(StudentsTable[AverageScore]))/(MAX(StudentsTable[AverageScore])-MIN(StudentsTable[AverageScore]))*100</f>
        <v>68.498168498168482</v>
      </c>
    </row>
    <row r="54" spans="1:15" x14ac:dyDescent="0.3">
      <c r="A54" t="s">
        <v>17</v>
      </c>
      <c r="B54" t="s">
        <v>13</v>
      </c>
      <c r="C54" t="s">
        <v>14</v>
      </c>
      <c r="D54" t="s">
        <v>11</v>
      </c>
      <c r="E54" t="s">
        <v>12</v>
      </c>
      <c r="F54">
        <v>53</v>
      </c>
      <c r="G54">
        <v>44</v>
      </c>
      <c r="H54">
        <v>42</v>
      </c>
      <c r="I54">
        <f>StudentsTable[[#This Row],[math score]]+StudentsTable[[#This Row],[reading score]]+StudentsTable[[#This Row],[writing score]]</f>
        <v>139</v>
      </c>
      <c r="J54">
        <f>StudentsTable[[#This Row],[TotalScore]]/3</f>
        <v>46.333333333333336</v>
      </c>
      <c r="K54" t="str" cm="1">
        <f t="array" ref="K54">_xlfn.IFS(StudentsTable[[#This Row],[AverageScore]]&gt;=90,"A",StudentsTable[[#This Row],[AverageScore]]&gt;=80,"B",StudentsTable[[#This Row],[AverageScore]]&gt;=70,"C",StudentsTable[[#This Row],[AverageScore]]&gt;=60,"D",TRUE,"F")</f>
        <v>F</v>
      </c>
      <c r="L54" t="str">
        <f>IF(StudentsTable[[#This Row],[AverageScore]]&gt;=60,"Pass","Fail")</f>
        <v>Fail</v>
      </c>
      <c r="M54" t="str" cm="1">
        <f t="array" ref="M54">_xlfn.IFS(StudentsTable[[#This Row],[AverageScore]]&gt;=85,"Advanced",StudentsTable[[#This Row],[AverageScore]]&gt;=70,"Intermediate",StudentsTable[[#This Row],[AverageScore]]&gt;=60,"Basic",TRUE,"Needs Help")</f>
        <v>Needs Help</v>
      </c>
      <c r="N54">
        <f>RANK(StudentsTable[[#This Row],[AverageScore]],StudentsTable[AverageScore])</f>
        <v>934</v>
      </c>
      <c r="O54">
        <f>(StudentsTable[[#This Row],[AverageScore]]-MIN(StudentsTable[AverageScore]))/(MAX(StudentsTable[AverageScore])-MIN(StudentsTable[AverageScore]))*100</f>
        <v>41.025641025641029</v>
      </c>
    </row>
    <row r="55" spans="1:15" x14ac:dyDescent="0.3">
      <c r="A55" t="s">
        <v>17</v>
      </c>
      <c r="B55" t="s">
        <v>21</v>
      </c>
      <c r="C55" t="s">
        <v>22</v>
      </c>
      <c r="D55" t="s">
        <v>11</v>
      </c>
      <c r="E55" t="s">
        <v>12</v>
      </c>
      <c r="F55">
        <v>88</v>
      </c>
      <c r="G55">
        <v>78</v>
      </c>
      <c r="H55">
        <v>75</v>
      </c>
      <c r="I55">
        <f>StudentsTable[[#This Row],[math score]]+StudentsTable[[#This Row],[reading score]]+StudentsTable[[#This Row],[writing score]]</f>
        <v>241</v>
      </c>
      <c r="J55">
        <f>StudentsTable[[#This Row],[TotalScore]]/3</f>
        <v>80.333333333333329</v>
      </c>
      <c r="K55" t="str" cm="1">
        <f t="array" ref="K55">_xlfn.IFS(StudentsTable[[#This Row],[AverageScore]]&gt;=90,"A",StudentsTable[[#This Row],[AverageScore]]&gt;=80,"B",StudentsTable[[#This Row],[AverageScore]]&gt;=70,"C",StudentsTable[[#This Row],[AverageScore]]&gt;=60,"D",TRUE,"F")</f>
        <v>B</v>
      </c>
      <c r="L55" t="str">
        <f>IF(StudentsTable[[#This Row],[AverageScore]]&gt;=60,"Pass","Fail")</f>
        <v>Pass</v>
      </c>
      <c r="M55" t="str" cm="1">
        <f t="array" ref="M55">_xlfn.IFS(StudentsTable[[#This Row],[AverageScore]]&gt;=85,"Advanced",StudentsTable[[#This Row],[AverageScore]]&gt;=70,"Intermediate",StudentsTable[[#This Row],[AverageScore]]&gt;=60,"Basic",TRUE,"Needs Help")</f>
        <v>Intermediate</v>
      </c>
      <c r="N55">
        <f>RANK(StudentsTable[[#This Row],[AverageScore]],StudentsTable[AverageScore])</f>
        <v>187</v>
      </c>
      <c r="O55">
        <f>(StudentsTable[[#This Row],[AverageScore]]-MIN(StudentsTable[AverageScore]))/(MAX(StudentsTable[AverageScore])-MIN(StudentsTable[AverageScore]))*100</f>
        <v>78.388278388278394</v>
      </c>
    </row>
    <row r="56" spans="1:15" x14ac:dyDescent="0.3">
      <c r="A56" t="s">
        <v>8</v>
      </c>
      <c r="B56" t="s">
        <v>13</v>
      </c>
      <c r="C56" t="s">
        <v>23</v>
      </c>
      <c r="D56" t="s">
        <v>20</v>
      </c>
      <c r="E56" t="s">
        <v>15</v>
      </c>
      <c r="F56">
        <v>71</v>
      </c>
      <c r="G56">
        <v>84</v>
      </c>
      <c r="H56">
        <v>87</v>
      </c>
      <c r="I56">
        <f>StudentsTable[[#This Row],[math score]]+StudentsTable[[#This Row],[reading score]]+StudentsTable[[#This Row],[writing score]]</f>
        <v>242</v>
      </c>
      <c r="J56">
        <f>StudentsTable[[#This Row],[TotalScore]]/3</f>
        <v>80.666666666666671</v>
      </c>
      <c r="K56" t="str" cm="1">
        <f t="array" ref="K56">_xlfn.IFS(StudentsTable[[#This Row],[AverageScore]]&gt;=90,"A",StudentsTable[[#This Row],[AverageScore]]&gt;=80,"B",StudentsTable[[#This Row],[AverageScore]]&gt;=70,"C",StudentsTable[[#This Row],[AverageScore]]&gt;=60,"D",TRUE,"F")</f>
        <v>B</v>
      </c>
      <c r="L56" t="str">
        <f>IF(StudentsTable[[#This Row],[AverageScore]]&gt;=60,"Pass","Fail")</f>
        <v>Pass</v>
      </c>
      <c r="M56" t="str" cm="1">
        <f t="array" ref="M56">_xlfn.IFS(StudentsTable[[#This Row],[AverageScore]]&gt;=85,"Advanced",StudentsTable[[#This Row],[AverageScore]]&gt;=70,"Intermediate",StudentsTable[[#This Row],[AverageScore]]&gt;=60,"Basic",TRUE,"Needs Help")</f>
        <v>Intermediate</v>
      </c>
      <c r="N56">
        <f>RANK(StudentsTable[[#This Row],[AverageScore]],StudentsTable[AverageScore])</f>
        <v>180</v>
      </c>
      <c r="O56">
        <f>(StudentsTable[[#This Row],[AverageScore]]-MIN(StudentsTable[AverageScore]))/(MAX(StudentsTable[AverageScore])-MIN(StudentsTable[AverageScore]))*100</f>
        <v>78.754578754578759</v>
      </c>
    </row>
    <row r="57" spans="1:15" x14ac:dyDescent="0.3">
      <c r="A57" t="s">
        <v>8</v>
      </c>
      <c r="B57" t="s">
        <v>13</v>
      </c>
      <c r="C57" t="s">
        <v>22</v>
      </c>
      <c r="D57" t="s">
        <v>20</v>
      </c>
      <c r="E57" t="s">
        <v>12</v>
      </c>
      <c r="F57">
        <v>33</v>
      </c>
      <c r="G57">
        <v>41</v>
      </c>
      <c r="H57">
        <v>43</v>
      </c>
      <c r="I57">
        <f>StudentsTable[[#This Row],[math score]]+StudentsTable[[#This Row],[reading score]]+StudentsTable[[#This Row],[writing score]]</f>
        <v>117</v>
      </c>
      <c r="J57">
        <f>StudentsTable[[#This Row],[TotalScore]]/3</f>
        <v>39</v>
      </c>
      <c r="K57" t="str" cm="1">
        <f t="array" ref="K57">_xlfn.IFS(StudentsTable[[#This Row],[AverageScore]]&gt;=90,"A",StudentsTable[[#This Row],[AverageScore]]&gt;=80,"B",StudentsTable[[#This Row],[AverageScore]]&gt;=70,"C",StudentsTable[[#This Row],[AverageScore]]&gt;=60,"D",TRUE,"F")</f>
        <v>F</v>
      </c>
      <c r="L57" t="str">
        <f>IF(StudentsTable[[#This Row],[AverageScore]]&gt;=60,"Pass","Fail")</f>
        <v>Fail</v>
      </c>
      <c r="M57" t="str" cm="1">
        <f t="array" ref="M57">_xlfn.IFS(StudentsTable[[#This Row],[AverageScore]]&gt;=85,"Advanced",StudentsTable[[#This Row],[AverageScore]]&gt;=70,"Intermediate",StudentsTable[[#This Row],[AverageScore]]&gt;=60,"Basic",TRUE,"Needs Help")</f>
        <v>Needs Help</v>
      </c>
      <c r="N57">
        <f>RANK(StudentsTable[[#This Row],[AverageScore]],StudentsTable[AverageScore])</f>
        <v>975</v>
      </c>
      <c r="O57">
        <f>(StudentsTable[[#This Row],[AverageScore]]-MIN(StudentsTable[AverageScore]))/(MAX(StudentsTable[AverageScore])-MIN(StudentsTable[AverageScore]))*100</f>
        <v>32.967032967032964</v>
      </c>
    </row>
    <row r="58" spans="1:15" x14ac:dyDescent="0.3">
      <c r="A58" t="s">
        <v>8</v>
      </c>
      <c r="B58" t="s">
        <v>24</v>
      </c>
      <c r="C58" t="s">
        <v>19</v>
      </c>
      <c r="D58" t="s">
        <v>11</v>
      </c>
      <c r="E58" t="s">
        <v>15</v>
      </c>
      <c r="F58">
        <v>82</v>
      </c>
      <c r="G58">
        <v>85</v>
      </c>
      <c r="H58">
        <v>86</v>
      </c>
      <c r="I58">
        <f>StudentsTable[[#This Row],[math score]]+StudentsTable[[#This Row],[reading score]]+StudentsTable[[#This Row],[writing score]]</f>
        <v>253</v>
      </c>
      <c r="J58">
        <f>StudentsTable[[#This Row],[TotalScore]]/3</f>
        <v>84.333333333333329</v>
      </c>
      <c r="K58" t="str" cm="1">
        <f t="array" ref="K58">_xlfn.IFS(StudentsTable[[#This Row],[AverageScore]]&gt;=90,"A",StudentsTable[[#This Row],[AverageScore]]&gt;=80,"B",StudentsTable[[#This Row],[AverageScore]]&gt;=70,"C",StudentsTable[[#This Row],[AverageScore]]&gt;=60,"D",TRUE,"F")</f>
        <v>B</v>
      </c>
      <c r="L58" t="str">
        <f>IF(StudentsTable[[#This Row],[AverageScore]]&gt;=60,"Pass","Fail")</f>
        <v>Pass</v>
      </c>
      <c r="M58" t="str" cm="1">
        <f t="array" ref="M58">_xlfn.IFS(StudentsTable[[#This Row],[AverageScore]]&gt;=85,"Advanced",StudentsTable[[#This Row],[AverageScore]]&gt;=70,"Intermediate",StudentsTable[[#This Row],[AverageScore]]&gt;=60,"Basic",TRUE,"Needs Help")</f>
        <v>Intermediate</v>
      </c>
      <c r="N58">
        <f>RANK(StudentsTable[[#This Row],[AverageScore]],StudentsTable[AverageScore])</f>
        <v>121</v>
      </c>
      <c r="O58">
        <f>(StudentsTable[[#This Row],[AverageScore]]-MIN(StudentsTable[AverageScore]))/(MAX(StudentsTable[AverageScore])-MIN(StudentsTable[AverageScore]))*100</f>
        <v>82.783882783882774</v>
      </c>
    </row>
    <row r="59" spans="1:15" x14ac:dyDescent="0.3">
      <c r="A59" t="s">
        <v>17</v>
      </c>
      <c r="B59" t="s">
        <v>21</v>
      </c>
      <c r="C59" t="s">
        <v>19</v>
      </c>
      <c r="D59" t="s">
        <v>11</v>
      </c>
      <c r="E59" t="s">
        <v>12</v>
      </c>
      <c r="F59">
        <v>52</v>
      </c>
      <c r="G59">
        <v>55</v>
      </c>
      <c r="H59">
        <v>49</v>
      </c>
      <c r="I59">
        <f>StudentsTable[[#This Row],[math score]]+StudentsTable[[#This Row],[reading score]]+StudentsTable[[#This Row],[writing score]]</f>
        <v>156</v>
      </c>
      <c r="J59">
        <f>StudentsTable[[#This Row],[TotalScore]]/3</f>
        <v>52</v>
      </c>
      <c r="K59" t="str" cm="1">
        <f t="array" ref="K59">_xlfn.IFS(StudentsTable[[#This Row],[AverageScore]]&gt;=90,"A",StudentsTable[[#This Row],[AverageScore]]&gt;=80,"B",StudentsTable[[#This Row],[AverageScore]]&gt;=70,"C",StudentsTable[[#This Row],[AverageScore]]&gt;=60,"D",TRUE,"F")</f>
        <v>F</v>
      </c>
      <c r="L59" t="str">
        <f>IF(StudentsTable[[#This Row],[AverageScore]]&gt;=60,"Pass","Fail")</f>
        <v>Fail</v>
      </c>
      <c r="M59" t="str" cm="1">
        <f t="array" ref="M59">_xlfn.IFS(StudentsTable[[#This Row],[AverageScore]]&gt;=85,"Advanced",StudentsTable[[#This Row],[AverageScore]]&gt;=70,"Intermediate",StudentsTable[[#This Row],[AverageScore]]&gt;=60,"Basic",TRUE,"Needs Help")</f>
        <v>Needs Help</v>
      </c>
      <c r="N59">
        <f>RANK(StudentsTable[[#This Row],[AverageScore]],StudentsTable[AverageScore])</f>
        <v>855</v>
      </c>
      <c r="O59">
        <f>(StudentsTable[[#This Row],[AverageScore]]-MIN(StudentsTable[AverageScore]))/(MAX(StudentsTable[AverageScore])-MIN(StudentsTable[AverageScore]))*100</f>
        <v>47.252747252747248</v>
      </c>
    </row>
    <row r="60" spans="1:15" x14ac:dyDescent="0.3">
      <c r="A60" t="s">
        <v>17</v>
      </c>
      <c r="B60" t="s">
        <v>21</v>
      </c>
      <c r="C60" t="s">
        <v>14</v>
      </c>
      <c r="D60" t="s">
        <v>11</v>
      </c>
      <c r="E60" t="s">
        <v>15</v>
      </c>
      <c r="F60">
        <v>58</v>
      </c>
      <c r="G60">
        <v>59</v>
      </c>
      <c r="H60">
        <v>58</v>
      </c>
      <c r="I60">
        <f>StudentsTable[[#This Row],[math score]]+StudentsTable[[#This Row],[reading score]]+StudentsTable[[#This Row],[writing score]]</f>
        <v>175</v>
      </c>
      <c r="J60">
        <f>StudentsTable[[#This Row],[TotalScore]]/3</f>
        <v>58.333333333333336</v>
      </c>
      <c r="K60" t="str" cm="1">
        <f t="array" ref="K60">_xlfn.IFS(StudentsTable[[#This Row],[AverageScore]]&gt;=90,"A",StudentsTable[[#This Row],[AverageScore]]&gt;=80,"B",StudentsTable[[#This Row],[AverageScore]]&gt;=70,"C",StudentsTable[[#This Row],[AverageScore]]&gt;=60,"D",TRUE,"F")</f>
        <v>F</v>
      </c>
      <c r="L60" t="str">
        <f>IF(StudentsTable[[#This Row],[AverageScore]]&gt;=60,"Pass","Fail")</f>
        <v>Fail</v>
      </c>
      <c r="M60" t="str" cm="1">
        <f t="array" ref="M60">_xlfn.IFS(StudentsTable[[#This Row],[AverageScore]]&gt;=85,"Advanced",StudentsTable[[#This Row],[AverageScore]]&gt;=70,"Intermediate",StudentsTable[[#This Row],[AverageScore]]&gt;=60,"Basic",TRUE,"Needs Help")</f>
        <v>Needs Help</v>
      </c>
      <c r="N60">
        <f>RANK(StudentsTable[[#This Row],[AverageScore]],StudentsTable[AverageScore])</f>
        <v>745</v>
      </c>
      <c r="O60">
        <f>(StudentsTable[[#This Row],[AverageScore]]-MIN(StudentsTable[AverageScore]))/(MAX(StudentsTable[AverageScore])-MIN(StudentsTable[AverageScore]))*100</f>
        <v>54.212454212454219</v>
      </c>
    </row>
    <row r="61" spans="1:15" x14ac:dyDescent="0.3">
      <c r="A61" t="s">
        <v>8</v>
      </c>
      <c r="B61" t="s">
        <v>13</v>
      </c>
      <c r="C61" t="s">
        <v>23</v>
      </c>
      <c r="D61" t="s">
        <v>20</v>
      </c>
      <c r="E61" t="s">
        <v>12</v>
      </c>
      <c r="F61">
        <v>0</v>
      </c>
      <c r="G61">
        <v>17</v>
      </c>
      <c r="H61">
        <v>10</v>
      </c>
      <c r="I61">
        <f>StudentsTable[[#This Row],[math score]]+StudentsTable[[#This Row],[reading score]]+StudentsTable[[#This Row],[writing score]]</f>
        <v>27</v>
      </c>
      <c r="J61">
        <f>StudentsTable[[#This Row],[TotalScore]]/3</f>
        <v>9</v>
      </c>
      <c r="K61" t="str" cm="1">
        <f t="array" ref="K61">_xlfn.IFS(StudentsTable[[#This Row],[AverageScore]]&gt;=90,"A",StudentsTable[[#This Row],[AverageScore]]&gt;=80,"B",StudentsTable[[#This Row],[AverageScore]]&gt;=70,"C",StudentsTable[[#This Row],[AverageScore]]&gt;=60,"D",TRUE,"F")</f>
        <v>F</v>
      </c>
      <c r="L61" t="str">
        <f>IF(StudentsTable[[#This Row],[AverageScore]]&gt;=60,"Pass","Fail")</f>
        <v>Fail</v>
      </c>
      <c r="M61" t="str" cm="1">
        <f t="array" ref="M61">_xlfn.IFS(StudentsTable[[#This Row],[AverageScore]]&gt;=85,"Advanced",StudentsTable[[#This Row],[AverageScore]]&gt;=70,"Intermediate",StudentsTable[[#This Row],[AverageScore]]&gt;=60,"Basic",TRUE,"Needs Help")</f>
        <v>Needs Help</v>
      </c>
      <c r="N61">
        <f>RANK(StudentsTable[[#This Row],[AverageScore]],StudentsTable[AverageScore])</f>
        <v>1000</v>
      </c>
      <c r="O61">
        <f>(StudentsTable[[#This Row],[AverageScore]]-MIN(StudentsTable[AverageScore]))/(MAX(StudentsTable[AverageScore])-MIN(StudentsTable[AverageScore]))*100</f>
        <v>0</v>
      </c>
    </row>
    <row r="62" spans="1:15" x14ac:dyDescent="0.3">
      <c r="A62" t="s">
        <v>17</v>
      </c>
      <c r="B62" t="s">
        <v>24</v>
      </c>
      <c r="C62" t="s">
        <v>10</v>
      </c>
      <c r="D62" t="s">
        <v>20</v>
      </c>
      <c r="E62" t="s">
        <v>15</v>
      </c>
      <c r="F62">
        <v>79</v>
      </c>
      <c r="G62">
        <v>74</v>
      </c>
      <c r="H62">
        <v>72</v>
      </c>
      <c r="I62">
        <f>StudentsTable[[#This Row],[math score]]+StudentsTable[[#This Row],[reading score]]+StudentsTable[[#This Row],[writing score]]</f>
        <v>225</v>
      </c>
      <c r="J62">
        <f>StudentsTable[[#This Row],[TotalScore]]/3</f>
        <v>75</v>
      </c>
      <c r="K62" t="str" cm="1">
        <f t="array" ref="K62">_xlfn.IFS(StudentsTable[[#This Row],[AverageScore]]&gt;=90,"A",StudentsTable[[#This Row],[AverageScore]]&gt;=80,"B",StudentsTable[[#This Row],[AverageScore]]&gt;=70,"C",StudentsTable[[#This Row],[AverageScore]]&gt;=60,"D",TRUE,"F")</f>
        <v>C</v>
      </c>
      <c r="L62" t="str">
        <f>IF(StudentsTable[[#This Row],[AverageScore]]&gt;=60,"Pass","Fail")</f>
        <v>Pass</v>
      </c>
      <c r="M62" t="str" cm="1">
        <f t="array" ref="M62">_xlfn.IFS(StudentsTable[[#This Row],[AverageScore]]&gt;=85,"Advanced",StudentsTable[[#This Row],[AverageScore]]&gt;=70,"Intermediate",StudentsTable[[#This Row],[AverageScore]]&gt;=60,"Basic",TRUE,"Needs Help")</f>
        <v>Intermediate</v>
      </c>
      <c r="N62">
        <f>RANK(StudentsTable[[#This Row],[AverageScore]],StudentsTable[AverageScore])</f>
        <v>314</v>
      </c>
      <c r="O62">
        <f>(StudentsTable[[#This Row],[AverageScore]]-MIN(StudentsTable[AverageScore]))/(MAX(StudentsTable[AverageScore])-MIN(StudentsTable[AverageScore]))*100</f>
        <v>72.527472527472526</v>
      </c>
    </row>
    <row r="63" spans="1:15" x14ac:dyDescent="0.3">
      <c r="A63" t="s">
        <v>17</v>
      </c>
      <c r="B63" t="s">
        <v>18</v>
      </c>
      <c r="C63" t="s">
        <v>23</v>
      </c>
      <c r="D63" t="s">
        <v>20</v>
      </c>
      <c r="E63" t="s">
        <v>12</v>
      </c>
      <c r="F63">
        <v>39</v>
      </c>
      <c r="G63">
        <v>39</v>
      </c>
      <c r="H63">
        <v>34</v>
      </c>
      <c r="I63">
        <f>StudentsTable[[#This Row],[math score]]+StudentsTable[[#This Row],[reading score]]+StudentsTable[[#This Row],[writing score]]</f>
        <v>112</v>
      </c>
      <c r="J63">
        <f>StudentsTable[[#This Row],[TotalScore]]/3</f>
        <v>37.333333333333336</v>
      </c>
      <c r="K63" t="str" cm="1">
        <f t="array" ref="K63">_xlfn.IFS(StudentsTable[[#This Row],[AverageScore]]&gt;=90,"A",StudentsTable[[#This Row],[AverageScore]]&gt;=80,"B",StudentsTable[[#This Row],[AverageScore]]&gt;=70,"C",StudentsTable[[#This Row],[AverageScore]]&gt;=60,"D",TRUE,"F")</f>
        <v>F</v>
      </c>
      <c r="L63" t="str">
        <f>IF(StudentsTable[[#This Row],[AverageScore]]&gt;=60,"Pass","Fail")</f>
        <v>Fail</v>
      </c>
      <c r="M63" t="str" cm="1">
        <f t="array" ref="M63">_xlfn.IFS(StudentsTable[[#This Row],[AverageScore]]&gt;=85,"Advanced",StudentsTable[[#This Row],[AverageScore]]&gt;=70,"Intermediate",StudentsTable[[#This Row],[AverageScore]]&gt;=60,"Basic",TRUE,"Needs Help")</f>
        <v>Needs Help</v>
      </c>
      <c r="N63">
        <f>RANK(StudentsTable[[#This Row],[AverageScore]],StudentsTable[AverageScore])</f>
        <v>982</v>
      </c>
      <c r="O63">
        <f>(StudentsTable[[#This Row],[AverageScore]]-MIN(StudentsTable[AverageScore]))/(MAX(StudentsTable[AverageScore])-MIN(StudentsTable[AverageScore]))*100</f>
        <v>31.135531135531135</v>
      </c>
    </row>
    <row r="64" spans="1:15" x14ac:dyDescent="0.3">
      <c r="A64" t="s">
        <v>17</v>
      </c>
      <c r="B64" t="s">
        <v>18</v>
      </c>
      <c r="C64" t="s">
        <v>19</v>
      </c>
      <c r="D64" t="s">
        <v>20</v>
      </c>
      <c r="E64" t="s">
        <v>12</v>
      </c>
      <c r="F64">
        <v>62</v>
      </c>
      <c r="G64">
        <v>61</v>
      </c>
      <c r="H64">
        <v>55</v>
      </c>
      <c r="I64">
        <f>StudentsTable[[#This Row],[math score]]+StudentsTable[[#This Row],[reading score]]+StudentsTable[[#This Row],[writing score]]</f>
        <v>178</v>
      </c>
      <c r="J64">
        <f>StudentsTable[[#This Row],[TotalScore]]/3</f>
        <v>59.333333333333336</v>
      </c>
      <c r="K64" t="str" cm="1">
        <f t="array" ref="K64">_xlfn.IFS(StudentsTable[[#This Row],[AverageScore]]&gt;=90,"A",StudentsTable[[#This Row],[AverageScore]]&gt;=80,"B",StudentsTable[[#This Row],[AverageScore]]&gt;=70,"C",StudentsTable[[#This Row],[AverageScore]]&gt;=60,"D",TRUE,"F")</f>
        <v>F</v>
      </c>
      <c r="L64" t="str">
        <f>IF(StudentsTable[[#This Row],[AverageScore]]&gt;=60,"Pass","Fail")</f>
        <v>Fail</v>
      </c>
      <c r="M64" t="str" cm="1">
        <f t="array" ref="M64">_xlfn.IFS(StudentsTable[[#This Row],[AverageScore]]&gt;=85,"Advanced",StudentsTable[[#This Row],[AverageScore]]&gt;=70,"Intermediate",StudentsTable[[#This Row],[AverageScore]]&gt;=60,"Basic",TRUE,"Needs Help")</f>
        <v>Needs Help</v>
      </c>
      <c r="N64">
        <f>RANK(StudentsTable[[#This Row],[AverageScore]],StudentsTable[AverageScore])</f>
        <v>721</v>
      </c>
      <c r="O64">
        <f>(StudentsTable[[#This Row],[AverageScore]]-MIN(StudentsTable[AverageScore]))/(MAX(StudentsTable[AverageScore])-MIN(StudentsTable[AverageScore]))*100</f>
        <v>55.311355311355314</v>
      </c>
    </row>
    <row r="65" spans="1:15" x14ac:dyDescent="0.3">
      <c r="A65" t="s">
        <v>8</v>
      </c>
      <c r="B65" t="s">
        <v>13</v>
      </c>
      <c r="C65" t="s">
        <v>19</v>
      </c>
      <c r="D65" t="s">
        <v>11</v>
      </c>
      <c r="E65" t="s">
        <v>12</v>
      </c>
      <c r="F65">
        <v>69</v>
      </c>
      <c r="G65">
        <v>80</v>
      </c>
      <c r="H65">
        <v>71</v>
      </c>
      <c r="I65">
        <f>StudentsTable[[#This Row],[math score]]+StudentsTable[[#This Row],[reading score]]+StudentsTable[[#This Row],[writing score]]</f>
        <v>220</v>
      </c>
      <c r="J65">
        <f>StudentsTable[[#This Row],[TotalScore]]/3</f>
        <v>73.333333333333329</v>
      </c>
      <c r="K65" t="str" cm="1">
        <f t="array" ref="K65">_xlfn.IFS(StudentsTable[[#This Row],[AverageScore]]&gt;=90,"A",StudentsTable[[#This Row],[AverageScore]]&gt;=80,"B",StudentsTable[[#This Row],[AverageScore]]&gt;=70,"C",StudentsTable[[#This Row],[AverageScore]]&gt;=60,"D",TRUE,"F")</f>
        <v>C</v>
      </c>
      <c r="L65" t="str">
        <f>IF(StudentsTable[[#This Row],[AverageScore]]&gt;=60,"Pass","Fail")</f>
        <v>Pass</v>
      </c>
      <c r="M65" t="str" cm="1">
        <f t="array" ref="M65">_xlfn.IFS(StudentsTable[[#This Row],[AverageScore]]&gt;=85,"Advanced",StudentsTable[[#This Row],[AverageScore]]&gt;=70,"Intermediate",StudentsTable[[#This Row],[AverageScore]]&gt;=60,"Basic",TRUE,"Needs Help")</f>
        <v>Intermediate</v>
      </c>
      <c r="N65">
        <f>RANK(StudentsTable[[#This Row],[AverageScore]],StudentsTable[AverageScore])</f>
        <v>356</v>
      </c>
      <c r="O65">
        <f>(StudentsTable[[#This Row],[AverageScore]]-MIN(StudentsTable[AverageScore]))/(MAX(StudentsTable[AverageScore])-MIN(StudentsTable[AverageScore]))*100</f>
        <v>70.695970695970686</v>
      </c>
    </row>
    <row r="66" spans="1:15" x14ac:dyDescent="0.3">
      <c r="A66" t="s">
        <v>8</v>
      </c>
      <c r="B66" t="s">
        <v>21</v>
      </c>
      <c r="C66" t="s">
        <v>23</v>
      </c>
      <c r="D66" t="s">
        <v>11</v>
      </c>
      <c r="E66" t="s">
        <v>12</v>
      </c>
      <c r="F66">
        <v>59</v>
      </c>
      <c r="G66">
        <v>58</v>
      </c>
      <c r="H66">
        <v>59</v>
      </c>
      <c r="I66">
        <f>StudentsTable[[#This Row],[math score]]+StudentsTable[[#This Row],[reading score]]+StudentsTable[[#This Row],[writing score]]</f>
        <v>176</v>
      </c>
      <c r="J66">
        <f>StudentsTable[[#This Row],[TotalScore]]/3</f>
        <v>58.666666666666664</v>
      </c>
      <c r="K66" t="str" cm="1">
        <f t="array" ref="K66">_xlfn.IFS(StudentsTable[[#This Row],[AverageScore]]&gt;=90,"A",StudentsTable[[#This Row],[AverageScore]]&gt;=80,"B",StudentsTable[[#This Row],[AverageScore]]&gt;=70,"C",StudentsTable[[#This Row],[AverageScore]]&gt;=60,"D",TRUE,"F")</f>
        <v>F</v>
      </c>
      <c r="L66" t="str">
        <f>IF(StudentsTable[[#This Row],[AverageScore]]&gt;=60,"Pass","Fail")</f>
        <v>Fail</v>
      </c>
      <c r="M66" t="str" cm="1">
        <f t="array" ref="M66">_xlfn.IFS(StudentsTable[[#This Row],[AverageScore]]&gt;=85,"Advanced",StudentsTable[[#This Row],[AverageScore]]&gt;=70,"Intermediate",StudentsTable[[#This Row],[AverageScore]]&gt;=60,"Basic",TRUE,"Needs Help")</f>
        <v>Needs Help</v>
      </c>
      <c r="N66">
        <f>RANK(StudentsTable[[#This Row],[AverageScore]],StudentsTable[AverageScore])</f>
        <v>736</v>
      </c>
      <c r="O66">
        <f>(StudentsTable[[#This Row],[AverageScore]]-MIN(StudentsTable[AverageScore]))/(MAX(StudentsTable[AverageScore])-MIN(StudentsTable[AverageScore]))*100</f>
        <v>54.578754578754577</v>
      </c>
    </row>
    <row r="67" spans="1:15" x14ac:dyDescent="0.3">
      <c r="A67" t="s">
        <v>17</v>
      </c>
      <c r="B67" t="s">
        <v>9</v>
      </c>
      <c r="C67" t="s">
        <v>23</v>
      </c>
      <c r="D67" t="s">
        <v>11</v>
      </c>
      <c r="E67" t="s">
        <v>12</v>
      </c>
      <c r="F67">
        <v>67</v>
      </c>
      <c r="G67">
        <v>64</v>
      </c>
      <c r="H67">
        <v>61</v>
      </c>
      <c r="I67">
        <f>StudentsTable[[#This Row],[math score]]+StudentsTable[[#This Row],[reading score]]+StudentsTable[[#This Row],[writing score]]</f>
        <v>192</v>
      </c>
      <c r="J67">
        <f>StudentsTable[[#This Row],[TotalScore]]/3</f>
        <v>64</v>
      </c>
      <c r="K67" t="str" cm="1">
        <f t="array" ref="K67">_xlfn.IFS(StudentsTable[[#This Row],[AverageScore]]&gt;=90,"A",StudentsTable[[#This Row],[AverageScore]]&gt;=80,"B",StudentsTable[[#This Row],[AverageScore]]&gt;=70,"C",StudentsTable[[#This Row],[AverageScore]]&gt;=60,"D",TRUE,"F")</f>
        <v>D</v>
      </c>
      <c r="L67" t="str">
        <f>IF(StudentsTable[[#This Row],[AverageScore]]&gt;=60,"Pass","Fail")</f>
        <v>Pass</v>
      </c>
      <c r="M67" t="str" cm="1">
        <f t="array" ref="M67">_xlfn.IFS(StudentsTable[[#This Row],[AverageScore]]&gt;=85,"Advanced",StudentsTable[[#This Row],[AverageScore]]&gt;=70,"Intermediate",StudentsTable[[#This Row],[AverageScore]]&gt;=60,"Basic",TRUE,"Needs Help")</f>
        <v>Basic</v>
      </c>
      <c r="N67">
        <f>RANK(StudentsTable[[#This Row],[AverageScore]],StudentsTable[AverageScore])</f>
        <v>623</v>
      </c>
      <c r="O67">
        <f>(StudentsTable[[#This Row],[AverageScore]]-MIN(StudentsTable[AverageScore]))/(MAX(StudentsTable[AverageScore])-MIN(StudentsTable[AverageScore]))*100</f>
        <v>60.439560439560438</v>
      </c>
    </row>
    <row r="68" spans="1:15" x14ac:dyDescent="0.3">
      <c r="A68" t="s">
        <v>17</v>
      </c>
      <c r="B68" t="s">
        <v>21</v>
      </c>
      <c r="C68" t="s">
        <v>23</v>
      </c>
      <c r="D68" t="s">
        <v>20</v>
      </c>
      <c r="E68" t="s">
        <v>12</v>
      </c>
      <c r="F68">
        <v>45</v>
      </c>
      <c r="G68">
        <v>37</v>
      </c>
      <c r="H68">
        <v>37</v>
      </c>
      <c r="I68">
        <f>StudentsTable[[#This Row],[math score]]+StudentsTable[[#This Row],[reading score]]+StudentsTable[[#This Row],[writing score]]</f>
        <v>119</v>
      </c>
      <c r="J68">
        <f>StudentsTable[[#This Row],[TotalScore]]/3</f>
        <v>39.666666666666664</v>
      </c>
      <c r="K68" t="str" cm="1">
        <f t="array" ref="K68">_xlfn.IFS(StudentsTable[[#This Row],[AverageScore]]&gt;=90,"A",StudentsTable[[#This Row],[AverageScore]]&gt;=80,"B",StudentsTable[[#This Row],[AverageScore]]&gt;=70,"C",StudentsTable[[#This Row],[AverageScore]]&gt;=60,"D",TRUE,"F")</f>
        <v>F</v>
      </c>
      <c r="L68" t="str">
        <f>IF(StudentsTable[[#This Row],[AverageScore]]&gt;=60,"Pass","Fail")</f>
        <v>Fail</v>
      </c>
      <c r="M68" t="str" cm="1">
        <f t="array" ref="M68">_xlfn.IFS(StudentsTable[[#This Row],[AverageScore]]&gt;=85,"Advanced",StudentsTable[[#This Row],[AverageScore]]&gt;=70,"Intermediate",StudentsTable[[#This Row],[AverageScore]]&gt;=60,"Basic",TRUE,"Needs Help")</f>
        <v>Needs Help</v>
      </c>
      <c r="N68">
        <f>RANK(StudentsTable[[#This Row],[AverageScore]],StudentsTable[AverageScore])</f>
        <v>971</v>
      </c>
      <c r="O68">
        <f>(StudentsTable[[#This Row],[AverageScore]]-MIN(StudentsTable[AverageScore]))/(MAX(StudentsTable[AverageScore])-MIN(StudentsTable[AverageScore]))*100</f>
        <v>33.699633699633694</v>
      </c>
    </row>
    <row r="69" spans="1:15" x14ac:dyDescent="0.3">
      <c r="A69" t="s">
        <v>8</v>
      </c>
      <c r="B69" t="s">
        <v>13</v>
      </c>
      <c r="C69" t="s">
        <v>14</v>
      </c>
      <c r="D69" t="s">
        <v>11</v>
      </c>
      <c r="E69" t="s">
        <v>12</v>
      </c>
      <c r="F69">
        <v>60</v>
      </c>
      <c r="G69">
        <v>72</v>
      </c>
      <c r="H69">
        <v>74</v>
      </c>
      <c r="I69">
        <f>StudentsTable[[#This Row],[math score]]+StudentsTable[[#This Row],[reading score]]+StudentsTable[[#This Row],[writing score]]</f>
        <v>206</v>
      </c>
      <c r="J69">
        <f>StudentsTable[[#This Row],[TotalScore]]/3</f>
        <v>68.666666666666671</v>
      </c>
      <c r="K69" t="str" cm="1">
        <f t="array" ref="K69">_xlfn.IFS(StudentsTable[[#This Row],[AverageScore]]&gt;=90,"A",StudentsTable[[#This Row],[AverageScore]]&gt;=80,"B",StudentsTable[[#This Row],[AverageScore]]&gt;=70,"C",StudentsTable[[#This Row],[AverageScore]]&gt;=60,"D",TRUE,"F")</f>
        <v>D</v>
      </c>
      <c r="L69" t="str">
        <f>IF(StudentsTable[[#This Row],[AverageScore]]&gt;=60,"Pass","Fail")</f>
        <v>Pass</v>
      </c>
      <c r="M69" t="str" cm="1">
        <f t="array" ref="M69">_xlfn.IFS(StudentsTable[[#This Row],[AverageScore]]&gt;=85,"Advanced",StudentsTable[[#This Row],[AverageScore]]&gt;=70,"Intermediate",StudentsTable[[#This Row],[AverageScore]]&gt;=60,"Basic",TRUE,"Needs Help")</f>
        <v>Basic</v>
      </c>
      <c r="N69">
        <f>RANK(StudentsTable[[#This Row],[AverageScore]],StudentsTable[AverageScore])</f>
        <v>487</v>
      </c>
      <c r="O69">
        <f>(StudentsTable[[#This Row],[AverageScore]]-MIN(StudentsTable[AverageScore]))/(MAX(StudentsTable[AverageScore])-MIN(StudentsTable[AverageScore]))*100</f>
        <v>65.567765567765562</v>
      </c>
    </row>
    <row r="70" spans="1:15" x14ac:dyDescent="0.3">
      <c r="A70" t="s">
        <v>17</v>
      </c>
      <c r="B70" t="s">
        <v>9</v>
      </c>
      <c r="C70" t="s">
        <v>19</v>
      </c>
      <c r="D70" t="s">
        <v>20</v>
      </c>
      <c r="E70" t="s">
        <v>12</v>
      </c>
      <c r="F70">
        <v>61</v>
      </c>
      <c r="G70">
        <v>58</v>
      </c>
      <c r="H70">
        <v>56</v>
      </c>
      <c r="I70">
        <f>StudentsTable[[#This Row],[math score]]+StudentsTable[[#This Row],[reading score]]+StudentsTable[[#This Row],[writing score]]</f>
        <v>175</v>
      </c>
      <c r="J70">
        <f>StudentsTable[[#This Row],[TotalScore]]/3</f>
        <v>58.333333333333336</v>
      </c>
      <c r="K70" t="str" cm="1">
        <f t="array" ref="K70">_xlfn.IFS(StudentsTable[[#This Row],[AverageScore]]&gt;=90,"A",StudentsTable[[#This Row],[AverageScore]]&gt;=80,"B",StudentsTable[[#This Row],[AverageScore]]&gt;=70,"C",StudentsTable[[#This Row],[AverageScore]]&gt;=60,"D",TRUE,"F")</f>
        <v>F</v>
      </c>
      <c r="L70" t="str">
        <f>IF(StudentsTable[[#This Row],[AverageScore]]&gt;=60,"Pass","Fail")</f>
        <v>Fail</v>
      </c>
      <c r="M70" t="str" cm="1">
        <f t="array" ref="M70">_xlfn.IFS(StudentsTable[[#This Row],[AverageScore]]&gt;=85,"Advanced",StudentsTable[[#This Row],[AverageScore]]&gt;=70,"Intermediate",StudentsTable[[#This Row],[AverageScore]]&gt;=60,"Basic",TRUE,"Needs Help")</f>
        <v>Needs Help</v>
      </c>
      <c r="N70">
        <f>RANK(StudentsTable[[#This Row],[AverageScore]],StudentsTable[AverageScore])</f>
        <v>745</v>
      </c>
      <c r="O70">
        <f>(StudentsTable[[#This Row],[AverageScore]]-MIN(StudentsTable[AverageScore]))/(MAX(StudentsTable[AverageScore])-MIN(StudentsTable[AverageScore]))*100</f>
        <v>54.212454212454219</v>
      </c>
    </row>
    <row r="71" spans="1:15" x14ac:dyDescent="0.3">
      <c r="A71" t="s">
        <v>8</v>
      </c>
      <c r="B71" t="s">
        <v>13</v>
      </c>
      <c r="C71" t="s">
        <v>19</v>
      </c>
      <c r="D71" t="s">
        <v>11</v>
      </c>
      <c r="E71" t="s">
        <v>12</v>
      </c>
      <c r="F71">
        <v>39</v>
      </c>
      <c r="G71">
        <v>64</v>
      </c>
      <c r="H71">
        <v>57</v>
      </c>
      <c r="I71">
        <f>StudentsTable[[#This Row],[math score]]+StudentsTable[[#This Row],[reading score]]+StudentsTable[[#This Row],[writing score]]</f>
        <v>160</v>
      </c>
      <c r="J71">
        <f>StudentsTable[[#This Row],[TotalScore]]/3</f>
        <v>53.333333333333336</v>
      </c>
      <c r="K71" t="str" cm="1">
        <f t="array" ref="K71">_xlfn.IFS(StudentsTable[[#This Row],[AverageScore]]&gt;=90,"A",StudentsTable[[#This Row],[AverageScore]]&gt;=80,"B",StudentsTable[[#This Row],[AverageScore]]&gt;=70,"C",StudentsTable[[#This Row],[AverageScore]]&gt;=60,"D",TRUE,"F")</f>
        <v>F</v>
      </c>
      <c r="L71" t="str">
        <f>IF(StudentsTable[[#This Row],[AverageScore]]&gt;=60,"Pass","Fail")</f>
        <v>Fail</v>
      </c>
      <c r="M71" t="str" cm="1">
        <f t="array" ref="M71">_xlfn.IFS(StudentsTable[[#This Row],[AverageScore]]&gt;=85,"Advanced",StudentsTable[[#This Row],[AverageScore]]&gt;=70,"Intermediate",StudentsTable[[#This Row],[AverageScore]]&gt;=60,"Basic",TRUE,"Needs Help")</f>
        <v>Needs Help</v>
      </c>
      <c r="N71">
        <f>RANK(StudentsTable[[#This Row],[AverageScore]],StudentsTable[AverageScore])</f>
        <v>837</v>
      </c>
      <c r="O71">
        <f>(StudentsTable[[#This Row],[AverageScore]]-MIN(StudentsTable[AverageScore]))/(MAX(StudentsTable[AverageScore])-MIN(StudentsTable[AverageScore]))*100</f>
        <v>48.717948717948723</v>
      </c>
    </row>
    <row r="72" spans="1:15" x14ac:dyDescent="0.3">
      <c r="A72" t="s">
        <v>8</v>
      </c>
      <c r="B72" t="s">
        <v>21</v>
      </c>
      <c r="C72" t="s">
        <v>14</v>
      </c>
      <c r="D72" t="s">
        <v>20</v>
      </c>
      <c r="E72" t="s">
        <v>15</v>
      </c>
      <c r="F72">
        <v>58</v>
      </c>
      <c r="G72">
        <v>63</v>
      </c>
      <c r="H72">
        <v>73</v>
      </c>
      <c r="I72">
        <f>StudentsTable[[#This Row],[math score]]+StudentsTable[[#This Row],[reading score]]+StudentsTable[[#This Row],[writing score]]</f>
        <v>194</v>
      </c>
      <c r="J72">
        <f>StudentsTable[[#This Row],[TotalScore]]/3</f>
        <v>64.666666666666671</v>
      </c>
      <c r="K72" t="str" cm="1">
        <f t="array" ref="K72">_xlfn.IFS(StudentsTable[[#This Row],[AverageScore]]&gt;=90,"A",StudentsTable[[#This Row],[AverageScore]]&gt;=80,"B",StudentsTable[[#This Row],[AverageScore]]&gt;=70,"C",StudentsTable[[#This Row],[AverageScore]]&gt;=60,"D",TRUE,"F")</f>
        <v>D</v>
      </c>
      <c r="L72" t="str">
        <f>IF(StudentsTable[[#This Row],[AverageScore]]&gt;=60,"Pass","Fail")</f>
        <v>Pass</v>
      </c>
      <c r="M72" t="str" cm="1">
        <f t="array" ref="M72">_xlfn.IFS(StudentsTable[[#This Row],[AverageScore]]&gt;=85,"Advanced",StudentsTable[[#This Row],[AverageScore]]&gt;=70,"Intermediate",StudentsTable[[#This Row],[AverageScore]]&gt;=60,"Basic",TRUE,"Needs Help")</f>
        <v>Basic</v>
      </c>
      <c r="N72">
        <f>RANK(StudentsTable[[#This Row],[AverageScore]],StudentsTable[AverageScore])</f>
        <v>602</v>
      </c>
      <c r="O72">
        <f>(StudentsTable[[#This Row],[AverageScore]]-MIN(StudentsTable[AverageScore]))/(MAX(StudentsTable[AverageScore])-MIN(StudentsTable[AverageScore]))*100</f>
        <v>61.172161172161175</v>
      </c>
    </row>
    <row r="73" spans="1:15" x14ac:dyDescent="0.3">
      <c r="A73" t="s">
        <v>17</v>
      </c>
      <c r="B73" t="s">
        <v>21</v>
      </c>
      <c r="C73" t="s">
        <v>14</v>
      </c>
      <c r="D73" t="s">
        <v>11</v>
      </c>
      <c r="E73" t="s">
        <v>15</v>
      </c>
      <c r="F73">
        <v>63</v>
      </c>
      <c r="G73">
        <v>55</v>
      </c>
      <c r="H73">
        <v>63</v>
      </c>
      <c r="I73">
        <f>StudentsTable[[#This Row],[math score]]+StudentsTable[[#This Row],[reading score]]+StudentsTable[[#This Row],[writing score]]</f>
        <v>181</v>
      </c>
      <c r="J73">
        <f>StudentsTable[[#This Row],[TotalScore]]/3</f>
        <v>60.333333333333336</v>
      </c>
      <c r="K73" t="str" cm="1">
        <f t="array" ref="K73">_xlfn.IFS(StudentsTable[[#This Row],[AverageScore]]&gt;=90,"A",StudentsTable[[#This Row],[AverageScore]]&gt;=80,"B",StudentsTable[[#This Row],[AverageScore]]&gt;=70,"C",StudentsTable[[#This Row],[AverageScore]]&gt;=60,"D",TRUE,"F")</f>
        <v>D</v>
      </c>
      <c r="L73" t="str">
        <f>IF(StudentsTable[[#This Row],[AverageScore]]&gt;=60,"Pass","Fail")</f>
        <v>Pass</v>
      </c>
      <c r="M73" t="str" cm="1">
        <f t="array" ref="M73">_xlfn.IFS(StudentsTable[[#This Row],[AverageScore]]&gt;=85,"Advanced",StudentsTable[[#This Row],[AverageScore]]&gt;=70,"Intermediate",StudentsTable[[#This Row],[AverageScore]]&gt;=60,"Basic",TRUE,"Needs Help")</f>
        <v>Basic</v>
      </c>
      <c r="N73">
        <f>RANK(StudentsTable[[#This Row],[AverageScore]],StudentsTable[AverageScore])</f>
        <v>700</v>
      </c>
      <c r="O73">
        <f>(StudentsTable[[#This Row],[AverageScore]]-MIN(StudentsTable[AverageScore]))/(MAX(StudentsTable[AverageScore])-MIN(StudentsTable[AverageScore]))*100</f>
        <v>56.410256410256409</v>
      </c>
    </row>
    <row r="74" spans="1:15" x14ac:dyDescent="0.3">
      <c r="A74" t="s">
        <v>8</v>
      </c>
      <c r="B74" t="s">
        <v>18</v>
      </c>
      <c r="C74" t="s">
        <v>19</v>
      </c>
      <c r="D74" t="s">
        <v>20</v>
      </c>
      <c r="E74" t="s">
        <v>12</v>
      </c>
      <c r="F74">
        <v>41</v>
      </c>
      <c r="G74">
        <v>51</v>
      </c>
      <c r="H74">
        <v>48</v>
      </c>
      <c r="I74">
        <f>StudentsTable[[#This Row],[math score]]+StudentsTable[[#This Row],[reading score]]+StudentsTable[[#This Row],[writing score]]</f>
        <v>140</v>
      </c>
      <c r="J74">
        <f>StudentsTable[[#This Row],[TotalScore]]/3</f>
        <v>46.666666666666664</v>
      </c>
      <c r="K74" t="str" cm="1">
        <f t="array" ref="K74">_xlfn.IFS(StudentsTable[[#This Row],[AverageScore]]&gt;=90,"A",StudentsTable[[#This Row],[AverageScore]]&gt;=80,"B",StudentsTable[[#This Row],[AverageScore]]&gt;=70,"C",StudentsTable[[#This Row],[AverageScore]]&gt;=60,"D",TRUE,"F")</f>
        <v>F</v>
      </c>
      <c r="L74" t="str">
        <f>IF(StudentsTable[[#This Row],[AverageScore]]&gt;=60,"Pass","Fail")</f>
        <v>Fail</v>
      </c>
      <c r="M74" t="str" cm="1">
        <f t="array" ref="M74">_xlfn.IFS(StudentsTable[[#This Row],[AverageScore]]&gt;=85,"Advanced",StudentsTable[[#This Row],[AverageScore]]&gt;=70,"Intermediate",StudentsTable[[#This Row],[AverageScore]]&gt;=60,"Basic",TRUE,"Needs Help")</f>
        <v>Needs Help</v>
      </c>
      <c r="N74">
        <f>RANK(StudentsTable[[#This Row],[AverageScore]],StudentsTable[AverageScore])</f>
        <v>930</v>
      </c>
      <c r="O74">
        <f>(StudentsTable[[#This Row],[AverageScore]]-MIN(StudentsTable[AverageScore]))/(MAX(StudentsTable[AverageScore])-MIN(StudentsTable[AverageScore]))*100</f>
        <v>41.391941391941387</v>
      </c>
    </row>
    <row r="75" spans="1:15" x14ac:dyDescent="0.3">
      <c r="A75" t="s">
        <v>17</v>
      </c>
      <c r="B75" t="s">
        <v>13</v>
      </c>
      <c r="C75" t="s">
        <v>23</v>
      </c>
      <c r="D75" t="s">
        <v>20</v>
      </c>
      <c r="E75" t="s">
        <v>12</v>
      </c>
      <c r="F75">
        <v>61</v>
      </c>
      <c r="G75">
        <v>57</v>
      </c>
      <c r="H75">
        <v>56</v>
      </c>
      <c r="I75">
        <f>StudentsTable[[#This Row],[math score]]+StudentsTable[[#This Row],[reading score]]+StudentsTable[[#This Row],[writing score]]</f>
        <v>174</v>
      </c>
      <c r="J75">
        <f>StudentsTable[[#This Row],[TotalScore]]/3</f>
        <v>58</v>
      </c>
      <c r="K75" t="str" cm="1">
        <f t="array" ref="K75">_xlfn.IFS(StudentsTable[[#This Row],[AverageScore]]&gt;=90,"A",StudentsTable[[#This Row],[AverageScore]]&gt;=80,"B",StudentsTable[[#This Row],[AverageScore]]&gt;=70,"C",StudentsTable[[#This Row],[AverageScore]]&gt;=60,"D",TRUE,"F")</f>
        <v>F</v>
      </c>
      <c r="L75" t="str">
        <f>IF(StudentsTable[[#This Row],[AverageScore]]&gt;=60,"Pass","Fail")</f>
        <v>Fail</v>
      </c>
      <c r="M75" t="str" cm="1">
        <f t="array" ref="M75">_xlfn.IFS(StudentsTable[[#This Row],[AverageScore]]&gt;=85,"Advanced",StudentsTable[[#This Row],[AverageScore]]&gt;=70,"Intermediate",StudentsTable[[#This Row],[AverageScore]]&gt;=60,"Basic",TRUE,"Needs Help")</f>
        <v>Needs Help</v>
      </c>
      <c r="N75">
        <f>RANK(StudentsTable[[#This Row],[AverageScore]],StudentsTable[AverageScore])</f>
        <v>754</v>
      </c>
      <c r="O75">
        <f>(StudentsTable[[#This Row],[AverageScore]]-MIN(StudentsTable[AverageScore]))/(MAX(StudentsTable[AverageScore])-MIN(StudentsTable[AverageScore]))*100</f>
        <v>53.846153846153847</v>
      </c>
    </row>
    <row r="76" spans="1:15" x14ac:dyDescent="0.3">
      <c r="A76" t="s">
        <v>17</v>
      </c>
      <c r="B76" t="s">
        <v>13</v>
      </c>
      <c r="C76" t="s">
        <v>23</v>
      </c>
      <c r="D76" t="s">
        <v>11</v>
      </c>
      <c r="E76" t="s">
        <v>12</v>
      </c>
      <c r="F76">
        <v>49</v>
      </c>
      <c r="G76">
        <v>49</v>
      </c>
      <c r="H76">
        <v>41</v>
      </c>
      <c r="I76">
        <f>StudentsTable[[#This Row],[math score]]+StudentsTable[[#This Row],[reading score]]+StudentsTable[[#This Row],[writing score]]</f>
        <v>139</v>
      </c>
      <c r="J76">
        <f>StudentsTable[[#This Row],[TotalScore]]/3</f>
        <v>46.333333333333336</v>
      </c>
      <c r="K76" t="str" cm="1">
        <f t="array" ref="K76">_xlfn.IFS(StudentsTable[[#This Row],[AverageScore]]&gt;=90,"A",StudentsTable[[#This Row],[AverageScore]]&gt;=80,"B",StudentsTable[[#This Row],[AverageScore]]&gt;=70,"C",StudentsTable[[#This Row],[AverageScore]]&gt;=60,"D",TRUE,"F")</f>
        <v>F</v>
      </c>
      <c r="L76" t="str">
        <f>IF(StudentsTable[[#This Row],[AverageScore]]&gt;=60,"Pass","Fail")</f>
        <v>Fail</v>
      </c>
      <c r="M76" t="str" cm="1">
        <f t="array" ref="M76">_xlfn.IFS(StudentsTable[[#This Row],[AverageScore]]&gt;=85,"Advanced",StudentsTable[[#This Row],[AverageScore]]&gt;=70,"Intermediate",StudentsTable[[#This Row],[AverageScore]]&gt;=60,"Basic",TRUE,"Needs Help")</f>
        <v>Needs Help</v>
      </c>
      <c r="N76">
        <f>RANK(StudentsTable[[#This Row],[AverageScore]],StudentsTable[AverageScore])</f>
        <v>934</v>
      </c>
      <c r="O76">
        <f>(StudentsTable[[#This Row],[AverageScore]]-MIN(StudentsTable[AverageScore]))/(MAX(StudentsTable[AverageScore])-MIN(StudentsTable[AverageScore]))*100</f>
        <v>41.025641025641029</v>
      </c>
    </row>
    <row r="77" spans="1:15" x14ac:dyDescent="0.3">
      <c r="A77" t="s">
        <v>17</v>
      </c>
      <c r="B77" t="s">
        <v>9</v>
      </c>
      <c r="C77" t="s">
        <v>19</v>
      </c>
      <c r="D77" t="s">
        <v>20</v>
      </c>
      <c r="E77" t="s">
        <v>12</v>
      </c>
      <c r="F77">
        <v>44</v>
      </c>
      <c r="G77">
        <v>41</v>
      </c>
      <c r="H77">
        <v>38</v>
      </c>
      <c r="I77">
        <f>StudentsTable[[#This Row],[math score]]+StudentsTable[[#This Row],[reading score]]+StudentsTable[[#This Row],[writing score]]</f>
        <v>123</v>
      </c>
      <c r="J77">
        <f>StudentsTable[[#This Row],[TotalScore]]/3</f>
        <v>41</v>
      </c>
      <c r="K77" t="str" cm="1">
        <f t="array" ref="K77">_xlfn.IFS(StudentsTable[[#This Row],[AverageScore]]&gt;=90,"A",StudentsTable[[#This Row],[AverageScore]]&gt;=80,"B",StudentsTable[[#This Row],[AverageScore]]&gt;=70,"C",StudentsTable[[#This Row],[AverageScore]]&gt;=60,"D",TRUE,"F")</f>
        <v>F</v>
      </c>
      <c r="L77" t="str">
        <f>IF(StudentsTable[[#This Row],[AverageScore]]&gt;=60,"Pass","Fail")</f>
        <v>Fail</v>
      </c>
      <c r="M77" t="str" cm="1">
        <f t="array" ref="M77">_xlfn.IFS(StudentsTable[[#This Row],[AverageScore]]&gt;=85,"Advanced",StudentsTable[[#This Row],[AverageScore]]&gt;=70,"Intermediate",StudentsTable[[#This Row],[AverageScore]]&gt;=60,"Basic",TRUE,"Needs Help")</f>
        <v>Needs Help</v>
      </c>
      <c r="N77">
        <f>RANK(StudentsTable[[#This Row],[AverageScore]],StudentsTable[AverageScore])</f>
        <v>965</v>
      </c>
      <c r="O77">
        <f>(StudentsTable[[#This Row],[AverageScore]]-MIN(StudentsTable[AverageScore]))/(MAX(StudentsTable[AverageScore])-MIN(StudentsTable[AverageScore]))*100</f>
        <v>35.164835164835168</v>
      </c>
    </row>
    <row r="78" spans="1:15" x14ac:dyDescent="0.3">
      <c r="A78" t="s">
        <v>17</v>
      </c>
      <c r="B78" t="s">
        <v>24</v>
      </c>
      <c r="C78" t="s">
        <v>23</v>
      </c>
      <c r="D78" t="s">
        <v>11</v>
      </c>
      <c r="E78" t="s">
        <v>12</v>
      </c>
      <c r="F78">
        <v>30</v>
      </c>
      <c r="G78">
        <v>26</v>
      </c>
      <c r="H78">
        <v>22</v>
      </c>
      <c r="I78">
        <f>StudentsTable[[#This Row],[math score]]+StudentsTable[[#This Row],[reading score]]+StudentsTable[[#This Row],[writing score]]</f>
        <v>78</v>
      </c>
      <c r="J78">
        <f>StudentsTable[[#This Row],[TotalScore]]/3</f>
        <v>26</v>
      </c>
      <c r="K78" t="str" cm="1">
        <f t="array" ref="K78">_xlfn.IFS(StudentsTable[[#This Row],[AverageScore]]&gt;=90,"A",StudentsTable[[#This Row],[AverageScore]]&gt;=80,"B",StudentsTable[[#This Row],[AverageScore]]&gt;=70,"C",StudentsTable[[#This Row],[AverageScore]]&gt;=60,"D",TRUE,"F")</f>
        <v>F</v>
      </c>
      <c r="L78" t="str">
        <f>IF(StudentsTable[[#This Row],[AverageScore]]&gt;=60,"Pass","Fail")</f>
        <v>Fail</v>
      </c>
      <c r="M78" t="str" cm="1">
        <f t="array" ref="M78">_xlfn.IFS(StudentsTable[[#This Row],[AverageScore]]&gt;=85,"Advanced",StudentsTable[[#This Row],[AverageScore]]&gt;=70,"Intermediate",StudentsTable[[#This Row],[AverageScore]]&gt;=60,"Basic",TRUE,"Needs Help")</f>
        <v>Needs Help</v>
      </c>
      <c r="N78">
        <f>RANK(StudentsTable[[#This Row],[AverageScore]],StudentsTable[AverageScore])</f>
        <v>995</v>
      </c>
      <c r="O78">
        <f>(StudentsTable[[#This Row],[AverageScore]]-MIN(StudentsTable[AverageScore]))/(MAX(StudentsTable[AverageScore])-MIN(StudentsTable[AverageScore]))*100</f>
        <v>18.681318681318682</v>
      </c>
    </row>
    <row r="79" spans="1:15" x14ac:dyDescent="0.3">
      <c r="A79" t="s">
        <v>17</v>
      </c>
      <c r="B79" t="s">
        <v>18</v>
      </c>
      <c r="C79" t="s">
        <v>10</v>
      </c>
      <c r="D79" t="s">
        <v>11</v>
      </c>
      <c r="E79" t="s">
        <v>15</v>
      </c>
      <c r="F79">
        <v>80</v>
      </c>
      <c r="G79">
        <v>78</v>
      </c>
      <c r="H79">
        <v>81</v>
      </c>
      <c r="I79">
        <f>StudentsTable[[#This Row],[math score]]+StudentsTable[[#This Row],[reading score]]+StudentsTable[[#This Row],[writing score]]</f>
        <v>239</v>
      </c>
      <c r="J79">
        <f>StudentsTable[[#This Row],[TotalScore]]/3</f>
        <v>79.666666666666671</v>
      </c>
      <c r="K79" t="str" cm="1">
        <f t="array" ref="K79">_xlfn.IFS(StudentsTable[[#This Row],[AverageScore]]&gt;=90,"A",StudentsTable[[#This Row],[AverageScore]]&gt;=80,"B",StudentsTable[[#This Row],[AverageScore]]&gt;=70,"C",StudentsTable[[#This Row],[AverageScore]]&gt;=60,"D",TRUE,"F")</f>
        <v>C</v>
      </c>
      <c r="L79" t="str">
        <f>IF(StudentsTable[[#This Row],[AverageScore]]&gt;=60,"Pass","Fail")</f>
        <v>Pass</v>
      </c>
      <c r="M79" t="str" cm="1">
        <f t="array" ref="M79">_xlfn.IFS(StudentsTable[[#This Row],[AverageScore]]&gt;=85,"Advanced",StudentsTable[[#This Row],[AverageScore]]&gt;=70,"Intermediate",StudentsTable[[#This Row],[AverageScore]]&gt;=60,"Basic",TRUE,"Needs Help")</f>
        <v>Intermediate</v>
      </c>
      <c r="N79">
        <f>RANK(StudentsTable[[#This Row],[AverageScore]],StudentsTable[AverageScore])</f>
        <v>199</v>
      </c>
      <c r="O79">
        <f>(StudentsTable[[#This Row],[AverageScore]]-MIN(StudentsTable[AverageScore]))/(MAX(StudentsTable[AverageScore])-MIN(StudentsTable[AverageScore]))*100</f>
        <v>77.655677655677664</v>
      </c>
    </row>
    <row r="80" spans="1:15" x14ac:dyDescent="0.3">
      <c r="A80" t="s">
        <v>8</v>
      </c>
      <c r="B80" t="s">
        <v>21</v>
      </c>
      <c r="C80" t="s">
        <v>23</v>
      </c>
      <c r="D80" t="s">
        <v>11</v>
      </c>
      <c r="E80" t="s">
        <v>15</v>
      </c>
      <c r="F80">
        <v>61</v>
      </c>
      <c r="G80">
        <v>74</v>
      </c>
      <c r="H80">
        <v>72</v>
      </c>
      <c r="I80">
        <f>StudentsTable[[#This Row],[math score]]+StudentsTable[[#This Row],[reading score]]+StudentsTable[[#This Row],[writing score]]</f>
        <v>207</v>
      </c>
      <c r="J80">
        <f>StudentsTable[[#This Row],[TotalScore]]/3</f>
        <v>69</v>
      </c>
      <c r="K80" t="str" cm="1">
        <f t="array" ref="K80">_xlfn.IFS(StudentsTable[[#This Row],[AverageScore]]&gt;=90,"A",StudentsTable[[#This Row],[AverageScore]]&gt;=80,"B",StudentsTable[[#This Row],[AverageScore]]&gt;=70,"C",StudentsTable[[#This Row],[AverageScore]]&gt;=60,"D",TRUE,"F")</f>
        <v>D</v>
      </c>
      <c r="L80" t="str">
        <f>IF(StudentsTable[[#This Row],[AverageScore]]&gt;=60,"Pass","Fail")</f>
        <v>Pass</v>
      </c>
      <c r="M80" t="str" cm="1">
        <f t="array" ref="M80">_xlfn.IFS(StudentsTable[[#This Row],[AverageScore]]&gt;=85,"Advanced",StudentsTable[[#This Row],[AverageScore]]&gt;=70,"Intermediate",StudentsTable[[#This Row],[AverageScore]]&gt;=60,"Basic",TRUE,"Needs Help")</f>
        <v>Basic</v>
      </c>
      <c r="N80">
        <f>RANK(StudentsTable[[#This Row],[AverageScore]],StudentsTable[AverageScore])</f>
        <v>475</v>
      </c>
      <c r="O80">
        <f>(StudentsTable[[#This Row],[AverageScore]]-MIN(StudentsTable[AverageScore]))/(MAX(StudentsTable[AverageScore])-MIN(StudentsTable[AverageScore]))*100</f>
        <v>65.934065934065927</v>
      </c>
    </row>
    <row r="81" spans="1:15" x14ac:dyDescent="0.3">
      <c r="A81" t="s">
        <v>8</v>
      </c>
      <c r="B81" t="s">
        <v>24</v>
      </c>
      <c r="C81" t="s">
        <v>16</v>
      </c>
      <c r="D81" t="s">
        <v>11</v>
      </c>
      <c r="E81" t="s">
        <v>12</v>
      </c>
      <c r="F81">
        <v>62</v>
      </c>
      <c r="G81">
        <v>68</v>
      </c>
      <c r="H81">
        <v>68</v>
      </c>
      <c r="I81">
        <f>StudentsTable[[#This Row],[math score]]+StudentsTable[[#This Row],[reading score]]+StudentsTable[[#This Row],[writing score]]</f>
        <v>198</v>
      </c>
      <c r="J81">
        <f>StudentsTable[[#This Row],[TotalScore]]/3</f>
        <v>66</v>
      </c>
      <c r="K81" t="str" cm="1">
        <f t="array" ref="K81">_xlfn.IFS(StudentsTable[[#This Row],[AverageScore]]&gt;=90,"A",StudentsTable[[#This Row],[AverageScore]]&gt;=80,"B",StudentsTable[[#This Row],[AverageScore]]&gt;=70,"C",StudentsTable[[#This Row],[AverageScore]]&gt;=60,"D",TRUE,"F")</f>
        <v>D</v>
      </c>
      <c r="L81" t="str">
        <f>IF(StudentsTable[[#This Row],[AverageScore]]&gt;=60,"Pass","Fail")</f>
        <v>Pass</v>
      </c>
      <c r="M81" t="str" cm="1">
        <f t="array" ref="M81">_xlfn.IFS(StudentsTable[[#This Row],[AverageScore]]&gt;=85,"Advanced",StudentsTable[[#This Row],[AverageScore]]&gt;=70,"Intermediate",StudentsTable[[#This Row],[AverageScore]]&gt;=60,"Basic",TRUE,"Needs Help")</f>
        <v>Basic</v>
      </c>
      <c r="N81">
        <f>RANK(StudentsTable[[#This Row],[AverageScore]],StudentsTable[AverageScore])</f>
        <v>562</v>
      </c>
      <c r="O81">
        <f>(StudentsTable[[#This Row],[AverageScore]]-MIN(StudentsTable[AverageScore]))/(MAX(StudentsTable[AverageScore])-MIN(StudentsTable[AverageScore]))*100</f>
        <v>62.637362637362635</v>
      </c>
    </row>
    <row r="82" spans="1:15" x14ac:dyDescent="0.3">
      <c r="A82" t="s">
        <v>8</v>
      </c>
      <c r="B82" t="s">
        <v>9</v>
      </c>
      <c r="C82" t="s">
        <v>19</v>
      </c>
      <c r="D82" t="s">
        <v>11</v>
      </c>
      <c r="E82" t="s">
        <v>12</v>
      </c>
      <c r="F82">
        <v>47</v>
      </c>
      <c r="G82">
        <v>49</v>
      </c>
      <c r="H82">
        <v>50</v>
      </c>
      <c r="I82">
        <f>StudentsTable[[#This Row],[math score]]+StudentsTable[[#This Row],[reading score]]+StudentsTable[[#This Row],[writing score]]</f>
        <v>146</v>
      </c>
      <c r="J82">
        <f>StudentsTable[[#This Row],[TotalScore]]/3</f>
        <v>48.666666666666664</v>
      </c>
      <c r="K82" t="str" cm="1">
        <f t="array" ref="K82">_xlfn.IFS(StudentsTable[[#This Row],[AverageScore]]&gt;=90,"A",StudentsTable[[#This Row],[AverageScore]]&gt;=80,"B",StudentsTable[[#This Row],[AverageScore]]&gt;=70,"C",StudentsTable[[#This Row],[AverageScore]]&gt;=60,"D",TRUE,"F")</f>
        <v>F</v>
      </c>
      <c r="L82" t="str">
        <f>IF(StudentsTable[[#This Row],[AverageScore]]&gt;=60,"Pass","Fail")</f>
        <v>Fail</v>
      </c>
      <c r="M82" t="str" cm="1">
        <f t="array" ref="M82">_xlfn.IFS(StudentsTable[[#This Row],[AverageScore]]&gt;=85,"Advanced",StudentsTable[[#This Row],[AverageScore]]&gt;=70,"Intermediate",StudentsTable[[#This Row],[AverageScore]]&gt;=60,"Basic",TRUE,"Needs Help")</f>
        <v>Needs Help</v>
      </c>
      <c r="N82">
        <f>RANK(StudentsTable[[#This Row],[AverageScore]],StudentsTable[AverageScore])</f>
        <v>911</v>
      </c>
      <c r="O82">
        <f>(StudentsTable[[#This Row],[AverageScore]]-MIN(StudentsTable[AverageScore]))/(MAX(StudentsTable[AverageScore])-MIN(StudentsTable[AverageScore]))*100</f>
        <v>43.589743589743584</v>
      </c>
    </row>
    <row r="83" spans="1:15" x14ac:dyDescent="0.3">
      <c r="A83" t="s">
        <v>17</v>
      </c>
      <c r="B83" t="s">
        <v>9</v>
      </c>
      <c r="C83" t="s">
        <v>22</v>
      </c>
      <c r="D83" t="s">
        <v>20</v>
      </c>
      <c r="E83" t="s">
        <v>12</v>
      </c>
      <c r="F83">
        <v>49</v>
      </c>
      <c r="G83">
        <v>45</v>
      </c>
      <c r="H83">
        <v>45</v>
      </c>
      <c r="I83">
        <f>StudentsTable[[#This Row],[math score]]+StudentsTable[[#This Row],[reading score]]+StudentsTable[[#This Row],[writing score]]</f>
        <v>139</v>
      </c>
      <c r="J83">
        <f>StudentsTable[[#This Row],[TotalScore]]/3</f>
        <v>46.333333333333336</v>
      </c>
      <c r="K83" t="str" cm="1">
        <f t="array" ref="K83">_xlfn.IFS(StudentsTable[[#This Row],[AverageScore]]&gt;=90,"A",StudentsTable[[#This Row],[AverageScore]]&gt;=80,"B",StudentsTable[[#This Row],[AverageScore]]&gt;=70,"C",StudentsTable[[#This Row],[AverageScore]]&gt;=60,"D",TRUE,"F")</f>
        <v>F</v>
      </c>
      <c r="L83" t="str">
        <f>IF(StudentsTable[[#This Row],[AverageScore]]&gt;=60,"Pass","Fail")</f>
        <v>Fail</v>
      </c>
      <c r="M83" t="str" cm="1">
        <f t="array" ref="M83">_xlfn.IFS(StudentsTable[[#This Row],[AverageScore]]&gt;=85,"Advanced",StudentsTable[[#This Row],[AverageScore]]&gt;=70,"Intermediate",StudentsTable[[#This Row],[AverageScore]]&gt;=60,"Basic",TRUE,"Needs Help")</f>
        <v>Needs Help</v>
      </c>
      <c r="N83">
        <f>RANK(StudentsTable[[#This Row],[AverageScore]],StudentsTable[AverageScore])</f>
        <v>934</v>
      </c>
      <c r="O83">
        <f>(StudentsTable[[#This Row],[AverageScore]]-MIN(StudentsTable[AverageScore]))/(MAX(StudentsTable[AverageScore])-MIN(StudentsTable[AverageScore]))*100</f>
        <v>41.025641025641029</v>
      </c>
    </row>
    <row r="84" spans="1:15" x14ac:dyDescent="0.3">
      <c r="A84" t="s">
        <v>17</v>
      </c>
      <c r="B84" t="s">
        <v>18</v>
      </c>
      <c r="C84" t="s">
        <v>14</v>
      </c>
      <c r="D84" t="s">
        <v>20</v>
      </c>
      <c r="E84" t="s">
        <v>15</v>
      </c>
      <c r="F84">
        <v>50</v>
      </c>
      <c r="G84">
        <v>47</v>
      </c>
      <c r="H84">
        <v>54</v>
      </c>
      <c r="I84">
        <f>StudentsTable[[#This Row],[math score]]+StudentsTable[[#This Row],[reading score]]+StudentsTable[[#This Row],[writing score]]</f>
        <v>151</v>
      </c>
      <c r="J84">
        <f>StudentsTable[[#This Row],[TotalScore]]/3</f>
        <v>50.333333333333336</v>
      </c>
      <c r="K84" t="str" cm="1">
        <f t="array" ref="K84">_xlfn.IFS(StudentsTable[[#This Row],[AverageScore]]&gt;=90,"A",StudentsTable[[#This Row],[AverageScore]]&gt;=80,"B",StudentsTable[[#This Row],[AverageScore]]&gt;=70,"C",StudentsTable[[#This Row],[AverageScore]]&gt;=60,"D",TRUE,"F")</f>
        <v>F</v>
      </c>
      <c r="L84" t="str">
        <f>IF(StudentsTable[[#This Row],[AverageScore]]&gt;=60,"Pass","Fail")</f>
        <v>Fail</v>
      </c>
      <c r="M84" t="str" cm="1">
        <f t="array" ref="M84">_xlfn.IFS(StudentsTable[[#This Row],[AverageScore]]&gt;=85,"Advanced",StudentsTable[[#This Row],[AverageScore]]&gt;=70,"Intermediate",StudentsTable[[#This Row],[AverageScore]]&gt;=60,"Basic",TRUE,"Needs Help")</f>
        <v>Needs Help</v>
      </c>
      <c r="N84">
        <f>RANK(StudentsTable[[#This Row],[AverageScore]],StudentsTable[AverageScore])</f>
        <v>884</v>
      </c>
      <c r="O84">
        <f>(StudentsTable[[#This Row],[AverageScore]]-MIN(StudentsTable[AverageScore]))/(MAX(StudentsTable[AverageScore])-MIN(StudentsTable[AverageScore]))*100</f>
        <v>45.421245421245423</v>
      </c>
    </row>
    <row r="85" spans="1:15" x14ac:dyDescent="0.3">
      <c r="A85" t="s">
        <v>17</v>
      </c>
      <c r="B85" t="s">
        <v>24</v>
      </c>
      <c r="C85" t="s">
        <v>19</v>
      </c>
      <c r="D85" t="s">
        <v>11</v>
      </c>
      <c r="E85" t="s">
        <v>12</v>
      </c>
      <c r="F85">
        <v>72</v>
      </c>
      <c r="G85">
        <v>64</v>
      </c>
      <c r="H85">
        <v>63</v>
      </c>
      <c r="I85">
        <f>StudentsTable[[#This Row],[math score]]+StudentsTable[[#This Row],[reading score]]+StudentsTable[[#This Row],[writing score]]</f>
        <v>199</v>
      </c>
      <c r="J85">
        <f>StudentsTable[[#This Row],[TotalScore]]/3</f>
        <v>66.333333333333329</v>
      </c>
      <c r="K85" t="str" cm="1">
        <f t="array" ref="K85">_xlfn.IFS(StudentsTable[[#This Row],[AverageScore]]&gt;=90,"A",StudentsTable[[#This Row],[AverageScore]]&gt;=80,"B",StudentsTable[[#This Row],[AverageScore]]&gt;=70,"C",StudentsTable[[#This Row],[AverageScore]]&gt;=60,"D",TRUE,"F")</f>
        <v>D</v>
      </c>
      <c r="L85" t="str">
        <f>IF(StudentsTable[[#This Row],[AverageScore]]&gt;=60,"Pass","Fail")</f>
        <v>Pass</v>
      </c>
      <c r="M85" t="str" cm="1">
        <f t="array" ref="M85">_xlfn.IFS(StudentsTable[[#This Row],[AverageScore]]&gt;=85,"Advanced",StudentsTable[[#This Row],[AverageScore]]&gt;=70,"Intermediate",StudentsTable[[#This Row],[AverageScore]]&gt;=60,"Basic",TRUE,"Needs Help")</f>
        <v>Basic</v>
      </c>
      <c r="N85">
        <f>RANK(StudentsTable[[#This Row],[AverageScore]],StudentsTable[AverageScore])</f>
        <v>557</v>
      </c>
      <c r="O85">
        <f>(StudentsTable[[#This Row],[AverageScore]]-MIN(StudentsTable[AverageScore]))/(MAX(StudentsTable[AverageScore])-MIN(StudentsTable[AverageScore]))*100</f>
        <v>63.003663003663</v>
      </c>
    </row>
    <row r="86" spans="1:15" x14ac:dyDescent="0.3">
      <c r="A86" t="s">
        <v>17</v>
      </c>
      <c r="B86" t="s">
        <v>21</v>
      </c>
      <c r="C86" t="s">
        <v>22</v>
      </c>
      <c r="D86" t="s">
        <v>20</v>
      </c>
      <c r="E86" t="s">
        <v>12</v>
      </c>
      <c r="F86">
        <v>42</v>
      </c>
      <c r="G86">
        <v>39</v>
      </c>
      <c r="H86">
        <v>34</v>
      </c>
      <c r="I86">
        <f>StudentsTable[[#This Row],[math score]]+StudentsTable[[#This Row],[reading score]]+StudentsTable[[#This Row],[writing score]]</f>
        <v>115</v>
      </c>
      <c r="J86">
        <f>StudentsTable[[#This Row],[TotalScore]]/3</f>
        <v>38.333333333333336</v>
      </c>
      <c r="K86" t="str" cm="1">
        <f t="array" ref="K86">_xlfn.IFS(StudentsTable[[#This Row],[AverageScore]]&gt;=90,"A",StudentsTable[[#This Row],[AverageScore]]&gt;=80,"B",StudentsTable[[#This Row],[AverageScore]]&gt;=70,"C",StudentsTable[[#This Row],[AverageScore]]&gt;=60,"D",TRUE,"F")</f>
        <v>F</v>
      </c>
      <c r="L86" t="str">
        <f>IF(StudentsTable[[#This Row],[AverageScore]]&gt;=60,"Pass","Fail")</f>
        <v>Fail</v>
      </c>
      <c r="M86" t="str" cm="1">
        <f t="array" ref="M86">_xlfn.IFS(StudentsTable[[#This Row],[AverageScore]]&gt;=85,"Advanced",StudentsTable[[#This Row],[AverageScore]]&gt;=70,"Intermediate",StudentsTable[[#This Row],[AverageScore]]&gt;=60,"Basic",TRUE,"Needs Help")</f>
        <v>Needs Help</v>
      </c>
      <c r="N86">
        <f>RANK(StudentsTable[[#This Row],[AverageScore]],StudentsTable[AverageScore])</f>
        <v>978</v>
      </c>
      <c r="O86">
        <f>(StudentsTable[[#This Row],[AverageScore]]-MIN(StudentsTable[AverageScore]))/(MAX(StudentsTable[AverageScore])-MIN(StudentsTable[AverageScore]))*100</f>
        <v>32.234432234432234</v>
      </c>
    </row>
    <row r="87" spans="1:15" x14ac:dyDescent="0.3">
      <c r="A87" t="s">
        <v>8</v>
      </c>
      <c r="B87" t="s">
        <v>13</v>
      </c>
      <c r="C87" t="s">
        <v>14</v>
      </c>
      <c r="D87" t="s">
        <v>11</v>
      </c>
      <c r="E87" t="s">
        <v>12</v>
      </c>
      <c r="F87">
        <v>73</v>
      </c>
      <c r="G87">
        <v>80</v>
      </c>
      <c r="H87">
        <v>82</v>
      </c>
      <c r="I87">
        <f>StudentsTable[[#This Row],[math score]]+StudentsTable[[#This Row],[reading score]]+StudentsTable[[#This Row],[writing score]]</f>
        <v>235</v>
      </c>
      <c r="J87">
        <f>StudentsTable[[#This Row],[TotalScore]]/3</f>
        <v>78.333333333333329</v>
      </c>
      <c r="K87" t="str" cm="1">
        <f t="array" ref="K87">_xlfn.IFS(StudentsTable[[#This Row],[AverageScore]]&gt;=90,"A",StudentsTable[[#This Row],[AverageScore]]&gt;=80,"B",StudentsTable[[#This Row],[AverageScore]]&gt;=70,"C",StudentsTable[[#This Row],[AverageScore]]&gt;=60,"D",TRUE,"F")</f>
        <v>C</v>
      </c>
      <c r="L87" t="str">
        <f>IF(StudentsTable[[#This Row],[AverageScore]]&gt;=60,"Pass","Fail")</f>
        <v>Pass</v>
      </c>
      <c r="M87" t="str" cm="1">
        <f t="array" ref="M87">_xlfn.IFS(StudentsTable[[#This Row],[AverageScore]]&gt;=85,"Advanced",StudentsTable[[#This Row],[AverageScore]]&gt;=70,"Intermediate",StudentsTable[[#This Row],[AverageScore]]&gt;=60,"Basic",TRUE,"Needs Help")</f>
        <v>Intermediate</v>
      </c>
      <c r="N87">
        <f>RANK(StudentsTable[[#This Row],[AverageScore]],StudentsTable[AverageScore])</f>
        <v>231</v>
      </c>
      <c r="O87">
        <f>(StudentsTable[[#This Row],[AverageScore]]-MIN(StudentsTable[AverageScore]))/(MAX(StudentsTable[AverageScore])-MIN(StudentsTable[AverageScore]))*100</f>
        <v>76.19047619047619</v>
      </c>
    </row>
    <row r="88" spans="1:15" x14ac:dyDescent="0.3">
      <c r="A88" t="s">
        <v>8</v>
      </c>
      <c r="B88" t="s">
        <v>13</v>
      </c>
      <c r="C88" t="s">
        <v>14</v>
      </c>
      <c r="D88" t="s">
        <v>20</v>
      </c>
      <c r="E88" t="s">
        <v>12</v>
      </c>
      <c r="F88">
        <v>76</v>
      </c>
      <c r="G88">
        <v>83</v>
      </c>
      <c r="H88">
        <v>88</v>
      </c>
      <c r="I88">
        <f>StudentsTable[[#This Row],[math score]]+StudentsTable[[#This Row],[reading score]]+StudentsTable[[#This Row],[writing score]]</f>
        <v>247</v>
      </c>
      <c r="J88">
        <f>StudentsTable[[#This Row],[TotalScore]]/3</f>
        <v>82.333333333333329</v>
      </c>
      <c r="K88" t="str" cm="1">
        <f t="array" ref="K88">_xlfn.IFS(StudentsTable[[#This Row],[AverageScore]]&gt;=90,"A",StudentsTable[[#This Row],[AverageScore]]&gt;=80,"B",StudentsTable[[#This Row],[AverageScore]]&gt;=70,"C",StudentsTable[[#This Row],[AverageScore]]&gt;=60,"D",TRUE,"F")</f>
        <v>B</v>
      </c>
      <c r="L88" t="str">
        <f>IF(StudentsTable[[#This Row],[AverageScore]]&gt;=60,"Pass","Fail")</f>
        <v>Pass</v>
      </c>
      <c r="M88" t="str" cm="1">
        <f t="array" ref="M88">_xlfn.IFS(StudentsTable[[#This Row],[AverageScore]]&gt;=85,"Advanced",StudentsTable[[#This Row],[AverageScore]]&gt;=70,"Intermediate",StudentsTable[[#This Row],[AverageScore]]&gt;=60,"Basic",TRUE,"Needs Help")</f>
        <v>Intermediate</v>
      </c>
      <c r="N88">
        <f>RANK(StudentsTable[[#This Row],[AverageScore]],StudentsTable[AverageScore])</f>
        <v>155</v>
      </c>
      <c r="O88">
        <f>(StudentsTable[[#This Row],[AverageScore]]-MIN(StudentsTable[AverageScore]))/(MAX(StudentsTable[AverageScore])-MIN(StudentsTable[AverageScore]))*100</f>
        <v>80.586080586080584</v>
      </c>
    </row>
    <row r="89" spans="1:15" x14ac:dyDescent="0.3">
      <c r="A89" t="s">
        <v>8</v>
      </c>
      <c r="B89" t="s">
        <v>21</v>
      </c>
      <c r="C89" t="s">
        <v>19</v>
      </c>
      <c r="D89" t="s">
        <v>11</v>
      </c>
      <c r="E89" t="s">
        <v>12</v>
      </c>
      <c r="F89">
        <v>71</v>
      </c>
      <c r="G89">
        <v>71</v>
      </c>
      <c r="H89">
        <v>74</v>
      </c>
      <c r="I89">
        <f>StudentsTable[[#This Row],[math score]]+StudentsTable[[#This Row],[reading score]]+StudentsTable[[#This Row],[writing score]]</f>
        <v>216</v>
      </c>
      <c r="J89">
        <f>StudentsTable[[#This Row],[TotalScore]]/3</f>
        <v>72</v>
      </c>
      <c r="K89" t="str" cm="1">
        <f t="array" ref="K89">_xlfn.IFS(StudentsTable[[#This Row],[AverageScore]]&gt;=90,"A",StudentsTable[[#This Row],[AverageScore]]&gt;=80,"B",StudentsTable[[#This Row],[AverageScore]]&gt;=70,"C",StudentsTable[[#This Row],[AverageScore]]&gt;=60,"D",TRUE,"F")</f>
        <v>C</v>
      </c>
      <c r="L89" t="str">
        <f>IF(StudentsTable[[#This Row],[AverageScore]]&gt;=60,"Pass","Fail")</f>
        <v>Pass</v>
      </c>
      <c r="M89" t="str" cm="1">
        <f t="array" ref="M89">_xlfn.IFS(StudentsTable[[#This Row],[AverageScore]]&gt;=85,"Advanced",StudentsTable[[#This Row],[AverageScore]]&gt;=70,"Intermediate",StudentsTable[[#This Row],[AverageScore]]&gt;=60,"Basic",TRUE,"Needs Help")</f>
        <v>Intermediate</v>
      </c>
      <c r="N89">
        <f>RANK(StudentsTable[[#This Row],[AverageScore]],StudentsTable[AverageScore])</f>
        <v>395</v>
      </c>
      <c r="O89">
        <f>(StudentsTable[[#This Row],[AverageScore]]-MIN(StudentsTable[AverageScore]))/(MAX(StudentsTable[AverageScore])-MIN(StudentsTable[AverageScore]))*100</f>
        <v>69.230769230769226</v>
      </c>
    </row>
    <row r="90" spans="1:15" x14ac:dyDescent="0.3">
      <c r="A90" t="s">
        <v>8</v>
      </c>
      <c r="B90" t="s">
        <v>18</v>
      </c>
      <c r="C90" t="s">
        <v>14</v>
      </c>
      <c r="D90" t="s">
        <v>11</v>
      </c>
      <c r="E90" t="s">
        <v>12</v>
      </c>
      <c r="F90">
        <v>58</v>
      </c>
      <c r="G90">
        <v>70</v>
      </c>
      <c r="H90">
        <v>67</v>
      </c>
      <c r="I90">
        <f>StudentsTable[[#This Row],[math score]]+StudentsTable[[#This Row],[reading score]]+StudentsTable[[#This Row],[writing score]]</f>
        <v>195</v>
      </c>
      <c r="J90">
        <f>StudentsTable[[#This Row],[TotalScore]]/3</f>
        <v>65</v>
      </c>
      <c r="K90" t="str" cm="1">
        <f t="array" ref="K90">_xlfn.IFS(StudentsTable[[#This Row],[AverageScore]]&gt;=90,"A",StudentsTable[[#This Row],[AverageScore]]&gt;=80,"B",StudentsTable[[#This Row],[AverageScore]]&gt;=70,"C",StudentsTable[[#This Row],[AverageScore]]&gt;=60,"D",TRUE,"F")</f>
        <v>D</v>
      </c>
      <c r="L90" t="str">
        <f>IF(StudentsTable[[#This Row],[AverageScore]]&gt;=60,"Pass","Fail")</f>
        <v>Pass</v>
      </c>
      <c r="M90" t="str" cm="1">
        <f t="array" ref="M90">_xlfn.IFS(StudentsTable[[#This Row],[AverageScore]]&gt;=85,"Advanced",StudentsTable[[#This Row],[AverageScore]]&gt;=70,"Intermediate",StudentsTable[[#This Row],[AverageScore]]&gt;=60,"Basic",TRUE,"Needs Help")</f>
        <v>Basic</v>
      </c>
      <c r="N90">
        <f>RANK(StudentsTable[[#This Row],[AverageScore]],StudentsTable[AverageScore])</f>
        <v>593</v>
      </c>
      <c r="O90">
        <f>(StudentsTable[[#This Row],[AverageScore]]-MIN(StudentsTable[AverageScore]))/(MAX(StudentsTable[AverageScore])-MIN(StudentsTable[AverageScore]))*100</f>
        <v>61.53846153846154</v>
      </c>
    </row>
    <row r="91" spans="1:15" x14ac:dyDescent="0.3">
      <c r="A91" t="s">
        <v>8</v>
      </c>
      <c r="B91" t="s">
        <v>21</v>
      </c>
      <c r="C91" t="s">
        <v>23</v>
      </c>
      <c r="D91" t="s">
        <v>11</v>
      </c>
      <c r="E91" t="s">
        <v>12</v>
      </c>
      <c r="F91">
        <v>73</v>
      </c>
      <c r="G91">
        <v>86</v>
      </c>
      <c r="H91">
        <v>82</v>
      </c>
      <c r="I91">
        <f>StudentsTable[[#This Row],[math score]]+StudentsTable[[#This Row],[reading score]]+StudentsTable[[#This Row],[writing score]]</f>
        <v>241</v>
      </c>
      <c r="J91">
        <f>StudentsTable[[#This Row],[TotalScore]]/3</f>
        <v>80.333333333333329</v>
      </c>
      <c r="K91" t="str" cm="1">
        <f t="array" ref="K91">_xlfn.IFS(StudentsTable[[#This Row],[AverageScore]]&gt;=90,"A",StudentsTable[[#This Row],[AverageScore]]&gt;=80,"B",StudentsTable[[#This Row],[AverageScore]]&gt;=70,"C",StudentsTable[[#This Row],[AverageScore]]&gt;=60,"D",TRUE,"F")</f>
        <v>B</v>
      </c>
      <c r="L91" t="str">
        <f>IF(StudentsTable[[#This Row],[AverageScore]]&gt;=60,"Pass","Fail")</f>
        <v>Pass</v>
      </c>
      <c r="M91" t="str" cm="1">
        <f t="array" ref="M91">_xlfn.IFS(StudentsTable[[#This Row],[AverageScore]]&gt;=85,"Advanced",StudentsTable[[#This Row],[AverageScore]]&gt;=70,"Intermediate",StudentsTable[[#This Row],[AverageScore]]&gt;=60,"Basic",TRUE,"Needs Help")</f>
        <v>Intermediate</v>
      </c>
      <c r="N91">
        <f>RANK(StudentsTable[[#This Row],[AverageScore]],StudentsTable[AverageScore])</f>
        <v>187</v>
      </c>
      <c r="O91">
        <f>(StudentsTable[[#This Row],[AverageScore]]-MIN(StudentsTable[AverageScore]))/(MAX(StudentsTable[AverageScore])-MIN(StudentsTable[AverageScore]))*100</f>
        <v>78.388278388278394</v>
      </c>
    </row>
    <row r="92" spans="1:15" x14ac:dyDescent="0.3">
      <c r="A92" t="s">
        <v>8</v>
      </c>
      <c r="B92" t="s">
        <v>13</v>
      </c>
      <c r="C92" t="s">
        <v>10</v>
      </c>
      <c r="D92" t="s">
        <v>11</v>
      </c>
      <c r="E92" t="s">
        <v>12</v>
      </c>
      <c r="F92">
        <v>65</v>
      </c>
      <c r="G92">
        <v>72</v>
      </c>
      <c r="H92">
        <v>74</v>
      </c>
      <c r="I92">
        <f>StudentsTable[[#This Row],[math score]]+StudentsTable[[#This Row],[reading score]]+StudentsTable[[#This Row],[writing score]]</f>
        <v>211</v>
      </c>
      <c r="J92">
        <f>StudentsTable[[#This Row],[TotalScore]]/3</f>
        <v>70.333333333333329</v>
      </c>
      <c r="K92" t="str" cm="1">
        <f t="array" ref="K92">_xlfn.IFS(StudentsTable[[#This Row],[AverageScore]]&gt;=90,"A",StudentsTable[[#This Row],[AverageScore]]&gt;=80,"B",StudentsTable[[#This Row],[AverageScore]]&gt;=70,"C",StudentsTable[[#This Row],[AverageScore]]&gt;=60,"D",TRUE,"F")</f>
        <v>C</v>
      </c>
      <c r="L92" t="str">
        <f>IF(StudentsTable[[#This Row],[AverageScore]]&gt;=60,"Pass","Fail")</f>
        <v>Pass</v>
      </c>
      <c r="M92" t="str" cm="1">
        <f t="array" ref="M92">_xlfn.IFS(StudentsTable[[#This Row],[AverageScore]]&gt;=85,"Advanced",StudentsTable[[#This Row],[AverageScore]]&gt;=70,"Intermediate",StudentsTable[[#This Row],[AverageScore]]&gt;=60,"Basic",TRUE,"Needs Help")</f>
        <v>Intermediate</v>
      </c>
      <c r="N92">
        <f>RANK(StudentsTable[[#This Row],[AverageScore]],StudentsTable[AverageScore])</f>
        <v>440</v>
      </c>
      <c r="O92">
        <f>(StudentsTable[[#This Row],[AverageScore]]-MIN(StudentsTable[AverageScore]))/(MAX(StudentsTable[AverageScore])-MIN(StudentsTable[AverageScore]))*100</f>
        <v>67.399267399267387</v>
      </c>
    </row>
    <row r="93" spans="1:15" x14ac:dyDescent="0.3">
      <c r="A93" t="s">
        <v>17</v>
      </c>
      <c r="B93" t="s">
        <v>13</v>
      </c>
      <c r="C93" t="s">
        <v>22</v>
      </c>
      <c r="D93" t="s">
        <v>20</v>
      </c>
      <c r="E93" t="s">
        <v>12</v>
      </c>
      <c r="F93">
        <v>27</v>
      </c>
      <c r="G93">
        <v>34</v>
      </c>
      <c r="H93">
        <v>36</v>
      </c>
      <c r="I93">
        <f>StudentsTable[[#This Row],[math score]]+StudentsTable[[#This Row],[reading score]]+StudentsTable[[#This Row],[writing score]]</f>
        <v>97</v>
      </c>
      <c r="J93">
        <f>StudentsTable[[#This Row],[TotalScore]]/3</f>
        <v>32.333333333333336</v>
      </c>
      <c r="K93" t="str" cm="1">
        <f t="array" ref="K93">_xlfn.IFS(StudentsTable[[#This Row],[AverageScore]]&gt;=90,"A",StudentsTable[[#This Row],[AverageScore]]&gt;=80,"B",StudentsTable[[#This Row],[AverageScore]]&gt;=70,"C",StudentsTable[[#This Row],[AverageScore]]&gt;=60,"D",TRUE,"F")</f>
        <v>F</v>
      </c>
      <c r="L93" t="str">
        <f>IF(StudentsTable[[#This Row],[AverageScore]]&gt;=60,"Pass","Fail")</f>
        <v>Fail</v>
      </c>
      <c r="M93" t="str" cm="1">
        <f t="array" ref="M93">_xlfn.IFS(StudentsTable[[#This Row],[AverageScore]]&gt;=85,"Advanced",StudentsTable[[#This Row],[AverageScore]]&gt;=70,"Intermediate",StudentsTable[[#This Row],[AverageScore]]&gt;=60,"Basic",TRUE,"Needs Help")</f>
        <v>Needs Help</v>
      </c>
      <c r="N93">
        <f>RANK(StudentsTable[[#This Row],[AverageScore]],StudentsTable[AverageScore])</f>
        <v>986</v>
      </c>
      <c r="O93">
        <f>(StudentsTable[[#This Row],[AverageScore]]-MIN(StudentsTable[AverageScore]))/(MAX(StudentsTable[AverageScore])-MIN(StudentsTable[AverageScore]))*100</f>
        <v>25.641025641025646</v>
      </c>
    </row>
    <row r="94" spans="1:15" x14ac:dyDescent="0.3">
      <c r="A94" t="s">
        <v>17</v>
      </c>
      <c r="B94" t="s">
        <v>13</v>
      </c>
      <c r="C94" t="s">
        <v>22</v>
      </c>
      <c r="D94" t="s">
        <v>11</v>
      </c>
      <c r="E94" t="s">
        <v>12</v>
      </c>
      <c r="F94">
        <v>71</v>
      </c>
      <c r="G94">
        <v>79</v>
      </c>
      <c r="H94">
        <v>71</v>
      </c>
      <c r="I94">
        <f>StudentsTable[[#This Row],[math score]]+StudentsTable[[#This Row],[reading score]]+StudentsTable[[#This Row],[writing score]]</f>
        <v>221</v>
      </c>
      <c r="J94">
        <f>StudentsTable[[#This Row],[TotalScore]]/3</f>
        <v>73.666666666666671</v>
      </c>
      <c r="K94" t="str" cm="1">
        <f t="array" ref="K94">_xlfn.IFS(StudentsTable[[#This Row],[AverageScore]]&gt;=90,"A",StudentsTable[[#This Row],[AverageScore]]&gt;=80,"B",StudentsTable[[#This Row],[AverageScore]]&gt;=70,"C",StudentsTable[[#This Row],[AverageScore]]&gt;=60,"D",TRUE,"F")</f>
        <v>C</v>
      </c>
      <c r="L94" t="str">
        <f>IF(StudentsTable[[#This Row],[AverageScore]]&gt;=60,"Pass","Fail")</f>
        <v>Pass</v>
      </c>
      <c r="M94" t="str" cm="1">
        <f t="array" ref="M94">_xlfn.IFS(StudentsTable[[#This Row],[AverageScore]]&gt;=85,"Advanced",StudentsTable[[#This Row],[AverageScore]]&gt;=70,"Intermediate",StudentsTable[[#This Row],[AverageScore]]&gt;=60,"Basic",TRUE,"Needs Help")</f>
        <v>Intermediate</v>
      </c>
      <c r="N94">
        <f>RANK(StudentsTable[[#This Row],[AverageScore]],StudentsTable[AverageScore])</f>
        <v>351</v>
      </c>
      <c r="O94">
        <f>(StudentsTable[[#This Row],[AverageScore]]-MIN(StudentsTable[AverageScore]))/(MAX(StudentsTable[AverageScore])-MIN(StudentsTable[AverageScore]))*100</f>
        <v>71.062271062271066</v>
      </c>
    </row>
    <row r="95" spans="1:15" x14ac:dyDescent="0.3">
      <c r="A95" t="s">
        <v>17</v>
      </c>
      <c r="B95" t="s">
        <v>13</v>
      </c>
      <c r="C95" t="s">
        <v>19</v>
      </c>
      <c r="D95" t="s">
        <v>20</v>
      </c>
      <c r="E95" t="s">
        <v>15</v>
      </c>
      <c r="F95">
        <v>43</v>
      </c>
      <c r="G95">
        <v>45</v>
      </c>
      <c r="H95">
        <v>50</v>
      </c>
      <c r="I95">
        <f>StudentsTable[[#This Row],[math score]]+StudentsTable[[#This Row],[reading score]]+StudentsTable[[#This Row],[writing score]]</f>
        <v>138</v>
      </c>
      <c r="J95">
        <f>StudentsTable[[#This Row],[TotalScore]]/3</f>
        <v>46</v>
      </c>
      <c r="K95" t="str" cm="1">
        <f t="array" ref="K95">_xlfn.IFS(StudentsTable[[#This Row],[AverageScore]]&gt;=90,"A",StudentsTable[[#This Row],[AverageScore]]&gt;=80,"B",StudentsTable[[#This Row],[AverageScore]]&gt;=70,"C",StudentsTable[[#This Row],[AverageScore]]&gt;=60,"D",TRUE,"F")</f>
        <v>F</v>
      </c>
      <c r="L95" t="str">
        <f>IF(StudentsTable[[#This Row],[AverageScore]]&gt;=60,"Pass","Fail")</f>
        <v>Fail</v>
      </c>
      <c r="M95" t="str" cm="1">
        <f t="array" ref="M95">_xlfn.IFS(StudentsTable[[#This Row],[AverageScore]]&gt;=85,"Advanced",StudentsTable[[#This Row],[AverageScore]]&gt;=70,"Intermediate",StudentsTable[[#This Row],[AverageScore]]&gt;=60,"Basic",TRUE,"Needs Help")</f>
        <v>Needs Help</v>
      </c>
      <c r="N95">
        <f>RANK(StudentsTable[[#This Row],[AverageScore]],StudentsTable[AverageScore])</f>
        <v>939</v>
      </c>
      <c r="O95">
        <f>(StudentsTable[[#This Row],[AverageScore]]-MIN(StudentsTable[AverageScore]))/(MAX(StudentsTable[AverageScore])-MIN(StudentsTable[AverageScore]))*100</f>
        <v>40.659340659340657</v>
      </c>
    </row>
    <row r="96" spans="1:15" x14ac:dyDescent="0.3">
      <c r="A96" t="s">
        <v>8</v>
      </c>
      <c r="B96" t="s">
        <v>9</v>
      </c>
      <c r="C96" t="s">
        <v>14</v>
      </c>
      <c r="D96" t="s">
        <v>11</v>
      </c>
      <c r="E96" t="s">
        <v>12</v>
      </c>
      <c r="F96">
        <v>79</v>
      </c>
      <c r="G96">
        <v>86</v>
      </c>
      <c r="H96">
        <v>92</v>
      </c>
      <c r="I96">
        <f>StudentsTable[[#This Row],[math score]]+StudentsTable[[#This Row],[reading score]]+StudentsTable[[#This Row],[writing score]]</f>
        <v>257</v>
      </c>
      <c r="J96">
        <f>StudentsTable[[#This Row],[TotalScore]]/3</f>
        <v>85.666666666666671</v>
      </c>
      <c r="K96" t="str" cm="1">
        <f t="array" ref="K96">_xlfn.IFS(StudentsTable[[#This Row],[AverageScore]]&gt;=90,"A",StudentsTable[[#This Row],[AverageScore]]&gt;=80,"B",StudentsTable[[#This Row],[AverageScore]]&gt;=70,"C",StudentsTable[[#This Row],[AverageScore]]&gt;=60,"D",TRUE,"F")</f>
        <v>B</v>
      </c>
      <c r="L96" t="str">
        <f>IF(StudentsTable[[#This Row],[AverageScore]]&gt;=60,"Pass","Fail")</f>
        <v>Pass</v>
      </c>
      <c r="M96" t="str" cm="1">
        <f t="array" ref="M96">_xlfn.IFS(StudentsTable[[#This Row],[AverageScore]]&gt;=85,"Advanced",StudentsTable[[#This Row],[AverageScore]]&gt;=70,"Intermediate",StudentsTable[[#This Row],[AverageScore]]&gt;=60,"Basic",TRUE,"Needs Help")</f>
        <v>Advanced</v>
      </c>
      <c r="N96">
        <f>RANK(StudentsTable[[#This Row],[AverageScore]],StudentsTable[AverageScore])</f>
        <v>103</v>
      </c>
      <c r="O96">
        <f>(StudentsTable[[#This Row],[AverageScore]]-MIN(StudentsTable[AverageScore]))/(MAX(StudentsTable[AverageScore])-MIN(StudentsTable[AverageScore]))*100</f>
        <v>84.249084249084248</v>
      </c>
    </row>
    <row r="97" spans="1:15" x14ac:dyDescent="0.3">
      <c r="A97" t="s">
        <v>17</v>
      </c>
      <c r="B97" t="s">
        <v>13</v>
      </c>
      <c r="C97" t="s">
        <v>19</v>
      </c>
      <c r="D97" t="s">
        <v>20</v>
      </c>
      <c r="E97" t="s">
        <v>15</v>
      </c>
      <c r="F97">
        <v>78</v>
      </c>
      <c r="G97">
        <v>81</v>
      </c>
      <c r="H97">
        <v>82</v>
      </c>
      <c r="I97">
        <f>StudentsTable[[#This Row],[math score]]+StudentsTable[[#This Row],[reading score]]+StudentsTable[[#This Row],[writing score]]</f>
        <v>241</v>
      </c>
      <c r="J97">
        <f>StudentsTable[[#This Row],[TotalScore]]/3</f>
        <v>80.333333333333329</v>
      </c>
      <c r="K97" t="str" cm="1">
        <f t="array" ref="K97">_xlfn.IFS(StudentsTable[[#This Row],[AverageScore]]&gt;=90,"A",StudentsTable[[#This Row],[AverageScore]]&gt;=80,"B",StudentsTable[[#This Row],[AverageScore]]&gt;=70,"C",StudentsTable[[#This Row],[AverageScore]]&gt;=60,"D",TRUE,"F")</f>
        <v>B</v>
      </c>
      <c r="L97" t="str">
        <f>IF(StudentsTable[[#This Row],[AverageScore]]&gt;=60,"Pass","Fail")</f>
        <v>Pass</v>
      </c>
      <c r="M97" t="str" cm="1">
        <f t="array" ref="M97">_xlfn.IFS(StudentsTable[[#This Row],[AverageScore]]&gt;=85,"Advanced",StudentsTable[[#This Row],[AverageScore]]&gt;=70,"Intermediate",StudentsTable[[#This Row],[AverageScore]]&gt;=60,"Basic",TRUE,"Needs Help")</f>
        <v>Intermediate</v>
      </c>
      <c r="N97">
        <f>RANK(StudentsTable[[#This Row],[AverageScore]],StudentsTable[AverageScore])</f>
        <v>187</v>
      </c>
      <c r="O97">
        <f>(StudentsTable[[#This Row],[AverageScore]]-MIN(StudentsTable[AverageScore]))/(MAX(StudentsTable[AverageScore])-MIN(StudentsTable[AverageScore]))*100</f>
        <v>78.388278388278394</v>
      </c>
    </row>
    <row r="98" spans="1:15" x14ac:dyDescent="0.3">
      <c r="A98" t="s">
        <v>17</v>
      </c>
      <c r="B98" t="s">
        <v>9</v>
      </c>
      <c r="C98" t="s">
        <v>23</v>
      </c>
      <c r="D98" t="s">
        <v>11</v>
      </c>
      <c r="E98" t="s">
        <v>15</v>
      </c>
      <c r="F98">
        <v>65</v>
      </c>
      <c r="G98">
        <v>66</v>
      </c>
      <c r="H98">
        <v>62</v>
      </c>
      <c r="I98">
        <f>StudentsTable[[#This Row],[math score]]+StudentsTable[[#This Row],[reading score]]+StudentsTable[[#This Row],[writing score]]</f>
        <v>193</v>
      </c>
      <c r="J98">
        <f>StudentsTable[[#This Row],[TotalScore]]/3</f>
        <v>64.333333333333329</v>
      </c>
      <c r="K98" t="str" cm="1">
        <f t="array" ref="K98">_xlfn.IFS(StudentsTable[[#This Row],[AverageScore]]&gt;=90,"A",StudentsTable[[#This Row],[AverageScore]]&gt;=80,"B",StudentsTable[[#This Row],[AverageScore]]&gt;=70,"C",StudentsTable[[#This Row],[AverageScore]]&gt;=60,"D",TRUE,"F")</f>
        <v>D</v>
      </c>
      <c r="L98" t="str">
        <f>IF(StudentsTable[[#This Row],[AverageScore]]&gt;=60,"Pass","Fail")</f>
        <v>Pass</v>
      </c>
      <c r="M98" t="str" cm="1">
        <f t="array" ref="M98">_xlfn.IFS(StudentsTable[[#This Row],[AverageScore]]&gt;=85,"Advanced",StudentsTable[[#This Row],[AverageScore]]&gt;=70,"Intermediate",StudentsTable[[#This Row],[AverageScore]]&gt;=60,"Basic",TRUE,"Needs Help")</f>
        <v>Basic</v>
      </c>
      <c r="N98">
        <f>RANK(StudentsTable[[#This Row],[AverageScore]],StudentsTable[AverageScore])</f>
        <v>613</v>
      </c>
      <c r="O98">
        <f>(StudentsTable[[#This Row],[AverageScore]]-MIN(StudentsTable[AverageScore]))/(MAX(StudentsTable[AverageScore])-MIN(StudentsTable[AverageScore]))*100</f>
        <v>60.805860805860803</v>
      </c>
    </row>
    <row r="99" spans="1:15" x14ac:dyDescent="0.3">
      <c r="A99" t="s">
        <v>8</v>
      </c>
      <c r="B99" t="s">
        <v>24</v>
      </c>
      <c r="C99" t="s">
        <v>14</v>
      </c>
      <c r="D99" t="s">
        <v>11</v>
      </c>
      <c r="E99" t="s">
        <v>15</v>
      </c>
      <c r="F99">
        <v>63</v>
      </c>
      <c r="G99">
        <v>72</v>
      </c>
      <c r="H99">
        <v>70</v>
      </c>
      <c r="I99">
        <f>StudentsTable[[#This Row],[math score]]+StudentsTable[[#This Row],[reading score]]+StudentsTable[[#This Row],[writing score]]</f>
        <v>205</v>
      </c>
      <c r="J99">
        <f>StudentsTable[[#This Row],[TotalScore]]/3</f>
        <v>68.333333333333329</v>
      </c>
      <c r="K99" t="str" cm="1">
        <f t="array" ref="K99">_xlfn.IFS(StudentsTable[[#This Row],[AverageScore]]&gt;=90,"A",StudentsTable[[#This Row],[AverageScore]]&gt;=80,"B",StudentsTable[[#This Row],[AverageScore]]&gt;=70,"C",StudentsTable[[#This Row],[AverageScore]]&gt;=60,"D",TRUE,"F")</f>
        <v>D</v>
      </c>
      <c r="L99" t="str">
        <f>IF(StudentsTable[[#This Row],[AverageScore]]&gt;=60,"Pass","Fail")</f>
        <v>Pass</v>
      </c>
      <c r="M99" t="str" cm="1">
        <f t="array" ref="M99">_xlfn.IFS(StudentsTable[[#This Row],[AverageScore]]&gt;=85,"Advanced",StudentsTable[[#This Row],[AverageScore]]&gt;=70,"Intermediate",StudentsTable[[#This Row],[AverageScore]]&gt;=60,"Basic",TRUE,"Needs Help")</f>
        <v>Basic</v>
      </c>
      <c r="N99">
        <f>RANK(StudentsTable[[#This Row],[AverageScore]],StudentsTable[AverageScore])</f>
        <v>499</v>
      </c>
      <c r="O99">
        <f>(StudentsTable[[#This Row],[AverageScore]]-MIN(StudentsTable[AverageScore]))/(MAX(StudentsTable[AverageScore])-MIN(StudentsTable[AverageScore]))*100</f>
        <v>65.201465201465197</v>
      </c>
    </row>
    <row r="100" spans="1:15" x14ac:dyDescent="0.3">
      <c r="A100" t="s">
        <v>8</v>
      </c>
      <c r="B100" t="s">
        <v>21</v>
      </c>
      <c r="C100" t="s">
        <v>14</v>
      </c>
      <c r="D100" t="s">
        <v>20</v>
      </c>
      <c r="E100" t="s">
        <v>12</v>
      </c>
      <c r="F100">
        <v>58</v>
      </c>
      <c r="G100">
        <v>67</v>
      </c>
      <c r="H100">
        <v>62</v>
      </c>
      <c r="I100">
        <f>StudentsTable[[#This Row],[math score]]+StudentsTable[[#This Row],[reading score]]+StudentsTable[[#This Row],[writing score]]</f>
        <v>187</v>
      </c>
      <c r="J100">
        <f>StudentsTable[[#This Row],[TotalScore]]/3</f>
        <v>62.333333333333336</v>
      </c>
      <c r="K100" t="str" cm="1">
        <f t="array" ref="K100">_xlfn.IFS(StudentsTable[[#This Row],[AverageScore]]&gt;=90,"A",StudentsTable[[#This Row],[AverageScore]]&gt;=80,"B",StudentsTable[[#This Row],[AverageScore]]&gt;=70,"C",StudentsTable[[#This Row],[AverageScore]]&gt;=60,"D",TRUE,"F")</f>
        <v>D</v>
      </c>
      <c r="L100" t="str">
        <f>IF(StudentsTable[[#This Row],[AverageScore]]&gt;=60,"Pass","Fail")</f>
        <v>Pass</v>
      </c>
      <c r="M100" t="str" cm="1">
        <f t="array" ref="M100">_xlfn.IFS(StudentsTable[[#This Row],[AverageScore]]&gt;=85,"Advanced",StudentsTable[[#This Row],[AverageScore]]&gt;=70,"Intermediate",StudentsTable[[#This Row],[AverageScore]]&gt;=60,"Basic",TRUE,"Needs Help")</f>
        <v>Basic</v>
      </c>
      <c r="N100">
        <f>RANK(StudentsTable[[#This Row],[AverageScore]],StudentsTable[AverageScore])</f>
        <v>657</v>
      </c>
      <c r="O100">
        <f>(StudentsTable[[#This Row],[AverageScore]]-MIN(StudentsTable[AverageScore]))/(MAX(StudentsTable[AverageScore])-MIN(StudentsTable[AverageScore]))*100</f>
        <v>58.608058608058613</v>
      </c>
    </row>
    <row r="101" spans="1:15" x14ac:dyDescent="0.3">
      <c r="A101" t="s">
        <v>8</v>
      </c>
      <c r="B101" t="s">
        <v>21</v>
      </c>
      <c r="C101" t="s">
        <v>10</v>
      </c>
      <c r="D101" t="s">
        <v>11</v>
      </c>
      <c r="E101" t="s">
        <v>12</v>
      </c>
      <c r="F101">
        <v>65</v>
      </c>
      <c r="G101">
        <v>67</v>
      </c>
      <c r="H101">
        <v>62</v>
      </c>
      <c r="I101">
        <f>StudentsTable[[#This Row],[math score]]+StudentsTable[[#This Row],[reading score]]+StudentsTable[[#This Row],[writing score]]</f>
        <v>194</v>
      </c>
      <c r="J101">
        <f>StudentsTable[[#This Row],[TotalScore]]/3</f>
        <v>64.666666666666671</v>
      </c>
      <c r="K101" t="str" cm="1">
        <f t="array" ref="K101">_xlfn.IFS(StudentsTable[[#This Row],[AverageScore]]&gt;=90,"A",StudentsTable[[#This Row],[AverageScore]]&gt;=80,"B",StudentsTable[[#This Row],[AverageScore]]&gt;=70,"C",StudentsTable[[#This Row],[AverageScore]]&gt;=60,"D",TRUE,"F")</f>
        <v>D</v>
      </c>
      <c r="L101" t="str">
        <f>IF(StudentsTable[[#This Row],[AverageScore]]&gt;=60,"Pass","Fail")</f>
        <v>Pass</v>
      </c>
      <c r="M101" t="str" cm="1">
        <f t="array" ref="M101">_xlfn.IFS(StudentsTable[[#This Row],[AverageScore]]&gt;=85,"Advanced",StudentsTable[[#This Row],[AverageScore]]&gt;=70,"Intermediate",StudentsTable[[#This Row],[AverageScore]]&gt;=60,"Basic",TRUE,"Needs Help")</f>
        <v>Basic</v>
      </c>
      <c r="N101">
        <f>RANK(StudentsTable[[#This Row],[AverageScore]],StudentsTable[AverageScore])</f>
        <v>602</v>
      </c>
      <c r="O101">
        <f>(StudentsTable[[#This Row],[AverageScore]]-MIN(StudentsTable[AverageScore]))/(MAX(StudentsTable[AverageScore])-MIN(StudentsTable[AverageScore]))*100</f>
        <v>61.172161172161175</v>
      </c>
    </row>
    <row r="102" spans="1:15" x14ac:dyDescent="0.3">
      <c r="A102" t="s">
        <v>17</v>
      </c>
      <c r="B102" t="s">
        <v>9</v>
      </c>
      <c r="C102" t="s">
        <v>14</v>
      </c>
      <c r="D102" t="s">
        <v>11</v>
      </c>
      <c r="E102" t="s">
        <v>12</v>
      </c>
      <c r="F102">
        <v>79</v>
      </c>
      <c r="G102">
        <v>67</v>
      </c>
      <c r="H102">
        <v>67</v>
      </c>
      <c r="I102">
        <f>StudentsTable[[#This Row],[math score]]+StudentsTable[[#This Row],[reading score]]+StudentsTable[[#This Row],[writing score]]</f>
        <v>213</v>
      </c>
      <c r="J102">
        <f>StudentsTable[[#This Row],[TotalScore]]/3</f>
        <v>71</v>
      </c>
      <c r="K102" t="str" cm="1">
        <f t="array" ref="K102">_xlfn.IFS(StudentsTable[[#This Row],[AverageScore]]&gt;=90,"A",StudentsTable[[#This Row],[AverageScore]]&gt;=80,"B",StudentsTable[[#This Row],[AverageScore]]&gt;=70,"C",StudentsTable[[#This Row],[AverageScore]]&gt;=60,"D",TRUE,"F")</f>
        <v>C</v>
      </c>
      <c r="L102" t="str">
        <f>IF(StudentsTable[[#This Row],[AverageScore]]&gt;=60,"Pass","Fail")</f>
        <v>Pass</v>
      </c>
      <c r="M102" t="str" cm="1">
        <f t="array" ref="M102">_xlfn.IFS(StudentsTable[[#This Row],[AverageScore]]&gt;=85,"Advanced",StudentsTable[[#This Row],[AverageScore]]&gt;=70,"Intermediate",StudentsTable[[#This Row],[AverageScore]]&gt;=60,"Basic",TRUE,"Needs Help")</f>
        <v>Intermediate</v>
      </c>
      <c r="N102">
        <f>RANK(StudentsTable[[#This Row],[AverageScore]],StudentsTable[AverageScore])</f>
        <v>424</v>
      </c>
      <c r="O102">
        <f>(StudentsTable[[#This Row],[AverageScore]]-MIN(StudentsTable[AverageScore]))/(MAX(StudentsTable[AverageScore])-MIN(StudentsTable[AverageScore]))*100</f>
        <v>68.131868131868131</v>
      </c>
    </row>
    <row r="103" spans="1:15" x14ac:dyDescent="0.3">
      <c r="A103" t="s">
        <v>17</v>
      </c>
      <c r="B103" t="s">
        <v>21</v>
      </c>
      <c r="C103" t="s">
        <v>10</v>
      </c>
      <c r="D103" t="s">
        <v>11</v>
      </c>
      <c r="E103" t="s">
        <v>15</v>
      </c>
      <c r="F103">
        <v>68</v>
      </c>
      <c r="G103">
        <v>74</v>
      </c>
      <c r="H103">
        <v>74</v>
      </c>
      <c r="I103">
        <f>StudentsTable[[#This Row],[math score]]+StudentsTable[[#This Row],[reading score]]+StudentsTable[[#This Row],[writing score]]</f>
        <v>216</v>
      </c>
      <c r="J103">
        <f>StudentsTable[[#This Row],[TotalScore]]/3</f>
        <v>72</v>
      </c>
      <c r="K103" t="str" cm="1">
        <f t="array" ref="K103">_xlfn.IFS(StudentsTable[[#This Row],[AverageScore]]&gt;=90,"A",StudentsTable[[#This Row],[AverageScore]]&gt;=80,"B",StudentsTable[[#This Row],[AverageScore]]&gt;=70,"C",StudentsTable[[#This Row],[AverageScore]]&gt;=60,"D",TRUE,"F")</f>
        <v>C</v>
      </c>
      <c r="L103" t="str">
        <f>IF(StudentsTable[[#This Row],[AverageScore]]&gt;=60,"Pass","Fail")</f>
        <v>Pass</v>
      </c>
      <c r="M103" t="str" cm="1">
        <f t="array" ref="M103">_xlfn.IFS(StudentsTable[[#This Row],[AverageScore]]&gt;=85,"Advanced",StudentsTable[[#This Row],[AverageScore]]&gt;=70,"Intermediate",StudentsTable[[#This Row],[AverageScore]]&gt;=60,"Basic",TRUE,"Needs Help")</f>
        <v>Intermediate</v>
      </c>
      <c r="N103">
        <f>RANK(StudentsTable[[#This Row],[AverageScore]],StudentsTable[AverageScore])</f>
        <v>395</v>
      </c>
      <c r="O103">
        <f>(StudentsTable[[#This Row],[AverageScore]]-MIN(StudentsTable[AverageScore]))/(MAX(StudentsTable[AverageScore])-MIN(StudentsTable[AverageScore]))*100</f>
        <v>69.230769230769226</v>
      </c>
    </row>
    <row r="104" spans="1:15" x14ac:dyDescent="0.3">
      <c r="A104" t="s">
        <v>8</v>
      </c>
      <c r="B104" t="s">
        <v>21</v>
      </c>
      <c r="C104" t="s">
        <v>19</v>
      </c>
      <c r="D104" t="s">
        <v>11</v>
      </c>
      <c r="E104" t="s">
        <v>12</v>
      </c>
      <c r="F104">
        <v>85</v>
      </c>
      <c r="G104">
        <v>91</v>
      </c>
      <c r="H104">
        <v>89</v>
      </c>
      <c r="I104">
        <f>StudentsTable[[#This Row],[math score]]+StudentsTable[[#This Row],[reading score]]+StudentsTable[[#This Row],[writing score]]</f>
        <v>265</v>
      </c>
      <c r="J104">
        <f>StudentsTable[[#This Row],[TotalScore]]/3</f>
        <v>88.333333333333329</v>
      </c>
      <c r="K104" t="str" cm="1">
        <f t="array" ref="K104">_xlfn.IFS(StudentsTable[[#This Row],[AverageScore]]&gt;=90,"A",StudentsTable[[#This Row],[AverageScore]]&gt;=80,"B",StudentsTable[[#This Row],[AverageScore]]&gt;=70,"C",StudentsTable[[#This Row],[AverageScore]]&gt;=60,"D",TRUE,"F")</f>
        <v>B</v>
      </c>
      <c r="L104" t="str">
        <f>IF(StudentsTable[[#This Row],[AverageScore]]&gt;=60,"Pass","Fail")</f>
        <v>Pass</v>
      </c>
      <c r="M104" t="str" cm="1">
        <f t="array" ref="M104">_xlfn.IFS(StudentsTable[[#This Row],[AverageScore]]&gt;=85,"Advanced",StudentsTable[[#This Row],[AverageScore]]&gt;=70,"Intermediate",StudentsTable[[#This Row],[AverageScore]]&gt;=60,"Basic",TRUE,"Needs Help")</f>
        <v>Advanced</v>
      </c>
      <c r="N104">
        <f>RANK(StudentsTable[[#This Row],[AverageScore]],StudentsTable[AverageScore])</f>
        <v>69</v>
      </c>
      <c r="O104">
        <f>(StudentsTable[[#This Row],[AverageScore]]-MIN(StudentsTable[AverageScore]))/(MAX(StudentsTable[AverageScore])-MIN(StudentsTable[AverageScore]))*100</f>
        <v>87.179487179487168</v>
      </c>
    </row>
    <row r="105" spans="1:15" x14ac:dyDescent="0.3">
      <c r="A105" t="s">
        <v>17</v>
      </c>
      <c r="B105" t="s">
        <v>9</v>
      </c>
      <c r="C105" t="s">
        <v>22</v>
      </c>
      <c r="D105" t="s">
        <v>11</v>
      </c>
      <c r="E105" t="s">
        <v>15</v>
      </c>
      <c r="F105">
        <v>60</v>
      </c>
      <c r="G105">
        <v>44</v>
      </c>
      <c r="H105">
        <v>47</v>
      </c>
      <c r="I105">
        <f>StudentsTable[[#This Row],[math score]]+StudentsTable[[#This Row],[reading score]]+StudentsTable[[#This Row],[writing score]]</f>
        <v>151</v>
      </c>
      <c r="J105">
        <f>StudentsTable[[#This Row],[TotalScore]]/3</f>
        <v>50.333333333333336</v>
      </c>
      <c r="K105" t="str" cm="1">
        <f t="array" ref="K105">_xlfn.IFS(StudentsTable[[#This Row],[AverageScore]]&gt;=90,"A",StudentsTable[[#This Row],[AverageScore]]&gt;=80,"B",StudentsTable[[#This Row],[AverageScore]]&gt;=70,"C",StudentsTable[[#This Row],[AverageScore]]&gt;=60,"D",TRUE,"F")</f>
        <v>F</v>
      </c>
      <c r="L105" t="str">
        <f>IF(StudentsTable[[#This Row],[AverageScore]]&gt;=60,"Pass","Fail")</f>
        <v>Fail</v>
      </c>
      <c r="M105" t="str" cm="1">
        <f t="array" ref="M105">_xlfn.IFS(StudentsTable[[#This Row],[AverageScore]]&gt;=85,"Advanced",StudentsTable[[#This Row],[AverageScore]]&gt;=70,"Intermediate",StudentsTable[[#This Row],[AverageScore]]&gt;=60,"Basic",TRUE,"Needs Help")</f>
        <v>Needs Help</v>
      </c>
      <c r="N105">
        <f>RANK(StudentsTable[[#This Row],[AverageScore]],StudentsTable[AverageScore])</f>
        <v>884</v>
      </c>
      <c r="O105">
        <f>(StudentsTable[[#This Row],[AverageScore]]-MIN(StudentsTable[AverageScore]))/(MAX(StudentsTable[AverageScore])-MIN(StudentsTable[AverageScore]))*100</f>
        <v>45.421245421245423</v>
      </c>
    </row>
    <row r="106" spans="1:15" x14ac:dyDescent="0.3">
      <c r="A106" t="s">
        <v>17</v>
      </c>
      <c r="B106" t="s">
        <v>13</v>
      </c>
      <c r="C106" t="s">
        <v>14</v>
      </c>
      <c r="D106" t="s">
        <v>11</v>
      </c>
      <c r="E106" t="s">
        <v>15</v>
      </c>
      <c r="F106">
        <v>98</v>
      </c>
      <c r="G106">
        <v>86</v>
      </c>
      <c r="H106">
        <v>90</v>
      </c>
      <c r="I106">
        <f>StudentsTable[[#This Row],[math score]]+StudentsTable[[#This Row],[reading score]]+StudentsTable[[#This Row],[writing score]]</f>
        <v>274</v>
      </c>
      <c r="J106">
        <f>StudentsTable[[#This Row],[TotalScore]]/3</f>
        <v>91.333333333333329</v>
      </c>
      <c r="K106" t="str" cm="1">
        <f t="array" ref="K106">_xlfn.IFS(StudentsTable[[#This Row],[AverageScore]]&gt;=90,"A",StudentsTable[[#This Row],[AverageScore]]&gt;=80,"B",StudentsTable[[#This Row],[AverageScore]]&gt;=70,"C",StudentsTable[[#This Row],[AverageScore]]&gt;=60,"D",TRUE,"F")</f>
        <v>A</v>
      </c>
      <c r="L106" t="str">
        <f>IF(StudentsTable[[#This Row],[AverageScore]]&gt;=60,"Pass","Fail")</f>
        <v>Pass</v>
      </c>
      <c r="M106" t="str" cm="1">
        <f t="array" ref="M106">_xlfn.IFS(StudentsTable[[#This Row],[AverageScore]]&gt;=85,"Advanced",StudentsTable[[#This Row],[AverageScore]]&gt;=70,"Intermediate",StudentsTable[[#This Row],[AverageScore]]&gt;=60,"Basic",TRUE,"Needs Help")</f>
        <v>Advanced</v>
      </c>
      <c r="N106">
        <f>RANK(StudentsTable[[#This Row],[AverageScore]],StudentsTable[AverageScore])</f>
        <v>43</v>
      </c>
      <c r="O106">
        <f>(StudentsTable[[#This Row],[AverageScore]]-MIN(StudentsTable[AverageScore]))/(MAX(StudentsTable[AverageScore])-MIN(StudentsTable[AverageScore]))*100</f>
        <v>90.476190476190467</v>
      </c>
    </row>
    <row r="107" spans="1:15" x14ac:dyDescent="0.3">
      <c r="A107" t="s">
        <v>8</v>
      </c>
      <c r="B107" t="s">
        <v>13</v>
      </c>
      <c r="C107" t="s">
        <v>14</v>
      </c>
      <c r="D107" t="s">
        <v>11</v>
      </c>
      <c r="E107" t="s">
        <v>12</v>
      </c>
      <c r="F107">
        <v>58</v>
      </c>
      <c r="G107">
        <v>67</v>
      </c>
      <c r="H107">
        <v>72</v>
      </c>
      <c r="I107">
        <f>StudentsTable[[#This Row],[math score]]+StudentsTable[[#This Row],[reading score]]+StudentsTable[[#This Row],[writing score]]</f>
        <v>197</v>
      </c>
      <c r="J107">
        <f>StudentsTable[[#This Row],[TotalScore]]/3</f>
        <v>65.666666666666671</v>
      </c>
      <c r="K107" t="str" cm="1">
        <f t="array" ref="K107">_xlfn.IFS(StudentsTable[[#This Row],[AverageScore]]&gt;=90,"A",StudentsTable[[#This Row],[AverageScore]]&gt;=80,"B",StudentsTable[[#This Row],[AverageScore]]&gt;=70,"C",StudentsTable[[#This Row],[AverageScore]]&gt;=60,"D",TRUE,"F")</f>
        <v>D</v>
      </c>
      <c r="L107" t="str">
        <f>IF(StudentsTable[[#This Row],[AverageScore]]&gt;=60,"Pass","Fail")</f>
        <v>Pass</v>
      </c>
      <c r="M107" t="str" cm="1">
        <f t="array" ref="M107">_xlfn.IFS(StudentsTable[[#This Row],[AverageScore]]&gt;=85,"Advanced",StudentsTable[[#This Row],[AverageScore]]&gt;=70,"Intermediate",StudentsTable[[#This Row],[AverageScore]]&gt;=60,"Basic",TRUE,"Needs Help")</f>
        <v>Basic</v>
      </c>
      <c r="N107">
        <f>RANK(StudentsTable[[#This Row],[AverageScore]],StudentsTable[AverageScore])</f>
        <v>576</v>
      </c>
      <c r="O107">
        <f>(StudentsTable[[#This Row],[AverageScore]]-MIN(StudentsTable[AverageScore]))/(MAX(StudentsTable[AverageScore])-MIN(StudentsTable[AverageScore]))*100</f>
        <v>62.27106227106227</v>
      </c>
    </row>
    <row r="108" spans="1:15" x14ac:dyDescent="0.3">
      <c r="A108" t="s">
        <v>8</v>
      </c>
      <c r="B108" t="s">
        <v>21</v>
      </c>
      <c r="C108" t="s">
        <v>16</v>
      </c>
      <c r="D108" t="s">
        <v>11</v>
      </c>
      <c r="E108" t="s">
        <v>12</v>
      </c>
      <c r="F108">
        <v>87</v>
      </c>
      <c r="G108">
        <v>100</v>
      </c>
      <c r="H108">
        <v>100</v>
      </c>
      <c r="I108">
        <f>StudentsTable[[#This Row],[math score]]+StudentsTable[[#This Row],[reading score]]+StudentsTable[[#This Row],[writing score]]</f>
        <v>287</v>
      </c>
      <c r="J108">
        <f>StudentsTable[[#This Row],[TotalScore]]/3</f>
        <v>95.666666666666671</v>
      </c>
      <c r="K108" t="str" cm="1">
        <f t="array" ref="K108">_xlfn.IFS(StudentsTable[[#This Row],[AverageScore]]&gt;=90,"A",StudentsTable[[#This Row],[AverageScore]]&gt;=80,"B",StudentsTable[[#This Row],[AverageScore]]&gt;=70,"C",StudentsTable[[#This Row],[AverageScore]]&gt;=60,"D",TRUE,"F")</f>
        <v>A</v>
      </c>
      <c r="L108" t="str">
        <f>IF(StudentsTable[[#This Row],[AverageScore]]&gt;=60,"Pass","Fail")</f>
        <v>Pass</v>
      </c>
      <c r="M108" t="str" cm="1">
        <f t="array" ref="M108">_xlfn.IFS(StudentsTable[[#This Row],[AverageScore]]&gt;=85,"Advanced",StudentsTable[[#This Row],[AverageScore]]&gt;=70,"Intermediate",StudentsTable[[#This Row],[AverageScore]]&gt;=60,"Basic",TRUE,"Needs Help")</f>
        <v>Advanced</v>
      </c>
      <c r="N108">
        <f>RANK(StudentsTable[[#This Row],[AverageScore]],StudentsTable[AverageScore])</f>
        <v>21</v>
      </c>
      <c r="O108">
        <f>(StudentsTable[[#This Row],[AverageScore]]-MIN(StudentsTable[AverageScore]))/(MAX(StudentsTable[AverageScore])-MIN(StudentsTable[AverageScore]))*100</f>
        <v>95.238095238095241</v>
      </c>
    </row>
    <row r="109" spans="1:15" x14ac:dyDescent="0.3">
      <c r="A109" t="s">
        <v>17</v>
      </c>
      <c r="B109" t="s">
        <v>24</v>
      </c>
      <c r="C109" t="s">
        <v>19</v>
      </c>
      <c r="D109" t="s">
        <v>11</v>
      </c>
      <c r="E109" t="s">
        <v>15</v>
      </c>
      <c r="F109">
        <v>66</v>
      </c>
      <c r="G109">
        <v>63</v>
      </c>
      <c r="H109">
        <v>64</v>
      </c>
      <c r="I109">
        <f>StudentsTable[[#This Row],[math score]]+StudentsTable[[#This Row],[reading score]]+StudentsTable[[#This Row],[writing score]]</f>
        <v>193</v>
      </c>
      <c r="J109">
        <f>StudentsTable[[#This Row],[TotalScore]]/3</f>
        <v>64.333333333333329</v>
      </c>
      <c r="K109" t="str" cm="1">
        <f t="array" ref="K109">_xlfn.IFS(StudentsTable[[#This Row],[AverageScore]]&gt;=90,"A",StudentsTable[[#This Row],[AverageScore]]&gt;=80,"B",StudentsTable[[#This Row],[AverageScore]]&gt;=70,"C",StudentsTable[[#This Row],[AverageScore]]&gt;=60,"D",TRUE,"F")</f>
        <v>D</v>
      </c>
      <c r="L109" t="str">
        <f>IF(StudentsTable[[#This Row],[AverageScore]]&gt;=60,"Pass","Fail")</f>
        <v>Pass</v>
      </c>
      <c r="M109" t="str" cm="1">
        <f t="array" ref="M109">_xlfn.IFS(StudentsTable[[#This Row],[AverageScore]]&gt;=85,"Advanced",StudentsTable[[#This Row],[AverageScore]]&gt;=70,"Intermediate",StudentsTable[[#This Row],[AverageScore]]&gt;=60,"Basic",TRUE,"Needs Help")</f>
        <v>Basic</v>
      </c>
      <c r="N109">
        <f>RANK(StudentsTable[[#This Row],[AverageScore]],StudentsTable[AverageScore])</f>
        <v>613</v>
      </c>
      <c r="O109">
        <f>(StudentsTable[[#This Row],[AverageScore]]-MIN(StudentsTable[AverageScore]))/(MAX(StudentsTable[AverageScore])-MIN(StudentsTable[AverageScore]))*100</f>
        <v>60.805860805860803</v>
      </c>
    </row>
    <row r="110" spans="1:15" x14ac:dyDescent="0.3">
      <c r="A110" t="s">
        <v>8</v>
      </c>
      <c r="B110" t="s">
        <v>9</v>
      </c>
      <c r="C110" t="s">
        <v>19</v>
      </c>
      <c r="D110" t="s">
        <v>20</v>
      </c>
      <c r="E110" t="s">
        <v>12</v>
      </c>
      <c r="F110">
        <v>52</v>
      </c>
      <c r="G110">
        <v>76</v>
      </c>
      <c r="H110">
        <v>70</v>
      </c>
      <c r="I110">
        <f>StudentsTable[[#This Row],[math score]]+StudentsTable[[#This Row],[reading score]]+StudentsTable[[#This Row],[writing score]]</f>
        <v>198</v>
      </c>
      <c r="J110">
        <f>StudentsTable[[#This Row],[TotalScore]]/3</f>
        <v>66</v>
      </c>
      <c r="K110" t="str" cm="1">
        <f t="array" ref="K110">_xlfn.IFS(StudentsTable[[#This Row],[AverageScore]]&gt;=90,"A",StudentsTable[[#This Row],[AverageScore]]&gt;=80,"B",StudentsTable[[#This Row],[AverageScore]]&gt;=70,"C",StudentsTable[[#This Row],[AverageScore]]&gt;=60,"D",TRUE,"F")</f>
        <v>D</v>
      </c>
      <c r="L110" t="str">
        <f>IF(StudentsTable[[#This Row],[AverageScore]]&gt;=60,"Pass","Fail")</f>
        <v>Pass</v>
      </c>
      <c r="M110" t="str" cm="1">
        <f t="array" ref="M110">_xlfn.IFS(StudentsTable[[#This Row],[AverageScore]]&gt;=85,"Advanced",StudentsTable[[#This Row],[AverageScore]]&gt;=70,"Intermediate",StudentsTable[[#This Row],[AverageScore]]&gt;=60,"Basic",TRUE,"Needs Help")</f>
        <v>Basic</v>
      </c>
      <c r="N110">
        <f>RANK(StudentsTable[[#This Row],[AverageScore]],StudentsTable[AverageScore])</f>
        <v>562</v>
      </c>
      <c r="O110">
        <f>(StudentsTable[[#This Row],[AverageScore]]-MIN(StudentsTable[AverageScore]))/(MAX(StudentsTable[AverageScore])-MIN(StudentsTable[AverageScore]))*100</f>
        <v>62.637362637362635</v>
      </c>
    </row>
    <row r="111" spans="1:15" x14ac:dyDescent="0.3">
      <c r="A111" t="s">
        <v>8</v>
      </c>
      <c r="B111" t="s">
        <v>9</v>
      </c>
      <c r="C111" t="s">
        <v>23</v>
      </c>
      <c r="D111" t="s">
        <v>11</v>
      </c>
      <c r="E111" t="s">
        <v>12</v>
      </c>
      <c r="F111">
        <v>70</v>
      </c>
      <c r="G111">
        <v>64</v>
      </c>
      <c r="H111">
        <v>72</v>
      </c>
      <c r="I111">
        <f>StudentsTable[[#This Row],[math score]]+StudentsTable[[#This Row],[reading score]]+StudentsTable[[#This Row],[writing score]]</f>
        <v>206</v>
      </c>
      <c r="J111">
        <f>StudentsTable[[#This Row],[TotalScore]]/3</f>
        <v>68.666666666666671</v>
      </c>
      <c r="K111" t="str" cm="1">
        <f t="array" ref="K111">_xlfn.IFS(StudentsTable[[#This Row],[AverageScore]]&gt;=90,"A",StudentsTable[[#This Row],[AverageScore]]&gt;=80,"B",StudentsTable[[#This Row],[AverageScore]]&gt;=70,"C",StudentsTable[[#This Row],[AverageScore]]&gt;=60,"D",TRUE,"F")</f>
        <v>D</v>
      </c>
      <c r="L111" t="str">
        <f>IF(StudentsTable[[#This Row],[AverageScore]]&gt;=60,"Pass","Fail")</f>
        <v>Pass</v>
      </c>
      <c r="M111" t="str" cm="1">
        <f t="array" ref="M111">_xlfn.IFS(StudentsTable[[#This Row],[AverageScore]]&gt;=85,"Advanced",StudentsTable[[#This Row],[AverageScore]]&gt;=70,"Intermediate",StudentsTable[[#This Row],[AverageScore]]&gt;=60,"Basic",TRUE,"Needs Help")</f>
        <v>Basic</v>
      </c>
      <c r="N111">
        <f>RANK(StudentsTable[[#This Row],[AverageScore]],StudentsTable[AverageScore])</f>
        <v>487</v>
      </c>
      <c r="O111">
        <f>(StudentsTable[[#This Row],[AverageScore]]-MIN(StudentsTable[AverageScore]))/(MAX(StudentsTable[AverageScore])-MIN(StudentsTable[AverageScore]))*100</f>
        <v>65.567765567765562</v>
      </c>
    </row>
    <row r="112" spans="1:15" x14ac:dyDescent="0.3">
      <c r="A112" t="s">
        <v>8</v>
      </c>
      <c r="B112" t="s">
        <v>21</v>
      </c>
      <c r="C112" t="s">
        <v>19</v>
      </c>
      <c r="D112" t="s">
        <v>20</v>
      </c>
      <c r="E112" t="s">
        <v>15</v>
      </c>
      <c r="F112">
        <v>77</v>
      </c>
      <c r="G112">
        <v>89</v>
      </c>
      <c r="H112">
        <v>98</v>
      </c>
      <c r="I112">
        <f>StudentsTable[[#This Row],[math score]]+StudentsTable[[#This Row],[reading score]]+StudentsTable[[#This Row],[writing score]]</f>
        <v>264</v>
      </c>
      <c r="J112">
        <f>StudentsTable[[#This Row],[TotalScore]]/3</f>
        <v>88</v>
      </c>
      <c r="K112" t="str" cm="1">
        <f t="array" ref="K112">_xlfn.IFS(StudentsTable[[#This Row],[AverageScore]]&gt;=90,"A",StudentsTable[[#This Row],[AverageScore]]&gt;=80,"B",StudentsTable[[#This Row],[AverageScore]]&gt;=70,"C",StudentsTable[[#This Row],[AverageScore]]&gt;=60,"D",TRUE,"F")</f>
        <v>B</v>
      </c>
      <c r="L112" t="str">
        <f>IF(StudentsTable[[#This Row],[AverageScore]]&gt;=60,"Pass","Fail")</f>
        <v>Pass</v>
      </c>
      <c r="M112" t="str" cm="1">
        <f t="array" ref="M112">_xlfn.IFS(StudentsTable[[#This Row],[AverageScore]]&gt;=85,"Advanced",StudentsTable[[#This Row],[AverageScore]]&gt;=70,"Intermediate",StudentsTable[[#This Row],[AverageScore]]&gt;=60,"Basic",TRUE,"Needs Help")</f>
        <v>Advanced</v>
      </c>
      <c r="N112">
        <f>RANK(StudentsTable[[#This Row],[AverageScore]],StudentsTable[AverageScore])</f>
        <v>74</v>
      </c>
      <c r="O112">
        <f>(StudentsTable[[#This Row],[AverageScore]]-MIN(StudentsTable[AverageScore]))/(MAX(StudentsTable[AverageScore])-MIN(StudentsTable[AverageScore]))*100</f>
        <v>86.813186813186817</v>
      </c>
    </row>
    <row r="113" spans="1:15" x14ac:dyDescent="0.3">
      <c r="A113" t="s">
        <v>17</v>
      </c>
      <c r="B113" t="s">
        <v>13</v>
      </c>
      <c r="C113" t="s">
        <v>22</v>
      </c>
      <c r="D113" t="s">
        <v>11</v>
      </c>
      <c r="E113" t="s">
        <v>12</v>
      </c>
      <c r="F113">
        <v>62</v>
      </c>
      <c r="G113">
        <v>55</v>
      </c>
      <c r="H113">
        <v>49</v>
      </c>
      <c r="I113">
        <f>StudentsTable[[#This Row],[math score]]+StudentsTable[[#This Row],[reading score]]+StudentsTable[[#This Row],[writing score]]</f>
        <v>166</v>
      </c>
      <c r="J113">
        <f>StudentsTable[[#This Row],[TotalScore]]/3</f>
        <v>55.333333333333336</v>
      </c>
      <c r="K113" t="str" cm="1">
        <f t="array" ref="K113">_xlfn.IFS(StudentsTable[[#This Row],[AverageScore]]&gt;=90,"A",StudentsTable[[#This Row],[AverageScore]]&gt;=80,"B",StudentsTable[[#This Row],[AverageScore]]&gt;=70,"C",StudentsTable[[#This Row],[AverageScore]]&gt;=60,"D",TRUE,"F")</f>
        <v>F</v>
      </c>
      <c r="L113" t="str">
        <f>IF(StudentsTable[[#This Row],[AverageScore]]&gt;=60,"Pass","Fail")</f>
        <v>Fail</v>
      </c>
      <c r="M113" t="str" cm="1">
        <f t="array" ref="M113">_xlfn.IFS(StudentsTable[[#This Row],[AverageScore]]&gt;=85,"Advanced",StudentsTable[[#This Row],[AverageScore]]&gt;=70,"Intermediate",StudentsTable[[#This Row],[AverageScore]]&gt;=60,"Basic",TRUE,"Needs Help")</f>
        <v>Needs Help</v>
      </c>
      <c r="N113">
        <f>RANK(StudentsTable[[#This Row],[AverageScore]],StudentsTable[AverageScore])</f>
        <v>803</v>
      </c>
      <c r="O113">
        <f>(StudentsTable[[#This Row],[AverageScore]]-MIN(StudentsTable[AverageScore]))/(MAX(StudentsTable[AverageScore])-MIN(StudentsTable[AverageScore]))*100</f>
        <v>50.915750915750927</v>
      </c>
    </row>
    <row r="114" spans="1:15" x14ac:dyDescent="0.3">
      <c r="A114" t="s">
        <v>17</v>
      </c>
      <c r="B114" t="s">
        <v>18</v>
      </c>
      <c r="C114" t="s">
        <v>19</v>
      </c>
      <c r="D114" t="s">
        <v>11</v>
      </c>
      <c r="E114" t="s">
        <v>12</v>
      </c>
      <c r="F114">
        <v>54</v>
      </c>
      <c r="G114">
        <v>53</v>
      </c>
      <c r="H114">
        <v>47</v>
      </c>
      <c r="I114">
        <f>StudentsTable[[#This Row],[math score]]+StudentsTable[[#This Row],[reading score]]+StudentsTable[[#This Row],[writing score]]</f>
        <v>154</v>
      </c>
      <c r="J114">
        <f>StudentsTable[[#This Row],[TotalScore]]/3</f>
        <v>51.333333333333336</v>
      </c>
      <c r="K114" t="str" cm="1">
        <f t="array" ref="K114">_xlfn.IFS(StudentsTable[[#This Row],[AverageScore]]&gt;=90,"A",StudentsTable[[#This Row],[AverageScore]]&gt;=80,"B",StudentsTable[[#This Row],[AverageScore]]&gt;=70,"C",StudentsTable[[#This Row],[AverageScore]]&gt;=60,"D",TRUE,"F")</f>
        <v>F</v>
      </c>
      <c r="L114" t="str">
        <f>IF(StudentsTable[[#This Row],[AverageScore]]&gt;=60,"Pass","Fail")</f>
        <v>Fail</v>
      </c>
      <c r="M114" t="str" cm="1">
        <f t="array" ref="M114">_xlfn.IFS(StudentsTable[[#This Row],[AverageScore]]&gt;=85,"Advanced",StudentsTable[[#This Row],[AverageScore]]&gt;=70,"Intermediate",StudentsTable[[#This Row],[AverageScore]]&gt;=60,"Basic",TRUE,"Needs Help")</f>
        <v>Needs Help</v>
      </c>
      <c r="N114">
        <f>RANK(StudentsTable[[#This Row],[AverageScore]],StudentsTable[AverageScore])</f>
        <v>870</v>
      </c>
      <c r="O114">
        <f>(StudentsTable[[#This Row],[AverageScore]]-MIN(StudentsTable[AverageScore]))/(MAX(StudentsTable[AverageScore])-MIN(StudentsTable[AverageScore]))*100</f>
        <v>46.520146520146518</v>
      </c>
    </row>
    <row r="115" spans="1:15" x14ac:dyDescent="0.3">
      <c r="A115" t="s">
        <v>8</v>
      </c>
      <c r="B115" t="s">
        <v>21</v>
      </c>
      <c r="C115" t="s">
        <v>14</v>
      </c>
      <c r="D115" t="s">
        <v>11</v>
      </c>
      <c r="E115" t="s">
        <v>12</v>
      </c>
      <c r="F115">
        <v>51</v>
      </c>
      <c r="G115">
        <v>58</v>
      </c>
      <c r="H115">
        <v>54</v>
      </c>
      <c r="I115">
        <f>StudentsTable[[#This Row],[math score]]+StudentsTable[[#This Row],[reading score]]+StudentsTable[[#This Row],[writing score]]</f>
        <v>163</v>
      </c>
      <c r="J115">
        <f>StudentsTable[[#This Row],[TotalScore]]/3</f>
        <v>54.333333333333336</v>
      </c>
      <c r="K115" t="str" cm="1">
        <f t="array" ref="K115">_xlfn.IFS(StudentsTable[[#This Row],[AverageScore]]&gt;=90,"A",StudentsTable[[#This Row],[AverageScore]]&gt;=80,"B",StudentsTable[[#This Row],[AverageScore]]&gt;=70,"C",StudentsTable[[#This Row],[AverageScore]]&gt;=60,"D",TRUE,"F")</f>
        <v>F</v>
      </c>
      <c r="L115" t="str">
        <f>IF(StudentsTable[[#This Row],[AverageScore]]&gt;=60,"Pass","Fail")</f>
        <v>Fail</v>
      </c>
      <c r="M115" t="str" cm="1">
        <f t="array" ref="M115">_xlfn.IFS(StudentsTable[[#This Row],[AverageScore]]&gt;=85,"Advanced",StudentsTable[[#This Row],[AverageScore]]&gt;=70,"Intermediate",StudentsTable[[#This Row],[AverageScore]]&gt;=60,"Basic",TRUE,"Needs Help")</f>
        <v>Needs Help</v>
      </c>
      <c r="N115">
        <f>RANK(StudentsTable[[#This Row],[AverageScore]],StudentsTable[AverageScore])</f>
        <v>819</v>
      </c>
      <c r="O115">
        <f>(StudentsTable[[#This Row],[AverageScore]]-MIN(StudentsTable[AverageScore]))/(MAX(StudentsTable[AverageScore])-MIN(StudentsTable[AverageScore]))*100</f>
        <v>49.816849816849818</v>
      </c>
    </row>
    <row r="116" spans="1:15" x14ac:dyDescent="0.3">
      <c r="A116" t="s">
        <v>8</v>
      </c>
      <c r="B116" t="s">
        <v>24</v>
      </c>
      <c r="C116" t="s">
        <v>10</v>
      </c>
      <c r="D116" t="s">
        <v>11</v>
      </c>
      <c r="E116" t="s">
        <v>15</v>
      </c>
      <c r="F116">
        <v>99</v>
      </c>
      <c r="G116">
        <v>100</v>
      </c>
      <c r="H116">
        <v>100</v>
      </c>
      <c r="I116">
        <f>StudentsTable[[#This Row],[math score]]+StudentsTable[[#This Row],[reading score]]+StudentsTable[[#This Row],[writing score]]</f>
        <v>299</v>
      </c>
      <c r="J116">
        <f>StudentsTable[[#This Row],[TotalScore]]/3</f>
        <v>99.666666666666671</v>
      </c>
      <c r="K116" t="str" cm="1">
        <f t="array" ref="K116">_xlfn.IFS(StudentsTable[[#This Row],[AverageScore]]&gt;=90,"A",StudentsTable[[#This Row],[AverageScore]]&gt;=80,"B",StudentsTable[[#This Row],[AverageScore]]&gt;=70,"C",StudentsTable[[#This Row],[AverageScore]]&gt;=60,"D",TRUE,"F")</f>
        <v>A</v>
      </c>
      <c r="L116" t="str">
        <f>IF(StudentsTable[[#This Row],[AverageScore]]&gt;=60,"Pass","Fail")</f>
        <v>Pass</v>
      </c>
      <c r="M116" t="str" cm="1">
        <f t="array" ref="M116">_xlfn.IFS(StudentsTable[[#This Row],[AverageScore]]&gt;=85,"Advanced",StudentsTable[[#This Row],[AverageScore]]&gt;=70,"Intermediate",StudentsTable[[#This Row],[AverageScore]]&gt;=60,"Basic",TRUE,"Needs Help")</f>
        <v>Advanced</v>
      </c>
      <c r="N116">
        <f>RANK(StudentsTable[[#This Row],[AverageScore]],StudentsTable[AverageScore])</f>
        <v>4</v>
      </c>
      <c r="O116">
        <f>(StudentsTable[[#This Row],[AverageScore]]-MIN(StudentsTable[AverageScore]))/(MAX(StudentsTable[AverageScore])-MIN(StudentsTable[AverageScore]))*100</f>
        <v>99.633699633699635</v>
      </c>
    </row>
    <row r="117" spans="1:15" x14ac:dyDescent="0.3">
      <c r="A117" t="s">
        <v>17</v>
      </c>
      <c r="B117" t="s">
        <v>13</v>
      </c>
      <c r="C117" t="s">
        <v>22</v>
      </c>
      <c r="D117" t="s">
        <v>11</v>
      </c>
      <c r="E117" t="s">
        <v>12</v>
      </c>
      <c r="F117">
        <v>84</v>
      </c>
      <c r="G117">
        <v>77</v>
      </c>
      <c r="H117">
        <v>74</v>
      </c>
      <c r="I117">
        <f>StudentsTable[[#This Row],[math score]]+StudentsTable[[#This Row],[reading score]]+StudentsTable[[#This Row],[writing score]]</f>
        <v>235</v>
      </c>
      <c r="J117">
        <f>StudentsTable[[#This Row],[TotalScore]]/3</f>
        <v>78.333333333333329</v>
      </c>
      <c r="K117" t="str" cm="1">
        <f t="array" ref="K117">_xlfn.IFS(StudentsTable[[#This Row],[AverageScore]]&gt;=90,"A",StudentsTable[[#This Row],[AverageScore]]&gt;=80,"B",StudentsTable[[#This Row],[AverageScore]]&gt;=70,"C",StudentsTable[[#This Row],[AverageScore]]&gt;=60,"D",TRUE,"F")</f>
        <v>C</v>
      </c>
      <c r="L117" t="str">
        <f>IF(StudentsTable[[#This Row],[AverageScore]]&gt;=60,"Pass","Fail")</f>
        <v>Pass</v>
      </c>
      <c r="M117" t="str" cm="1">
        <f t="array" ref="M117">_xlfn.IFS(StudentsTable[[#This Row],[AverageScore]]&gt;=85,"Advanced",StudentsTable[[#This Row],[AverageScore]]&gt;=70,"Intermediate",StudentsTable[[#This Row],[AverageScore]]&gt;=60,"Basic",TRUE,"Needs Help")</f>
        <v>Intermediate</v>
      </c>
      <c r="N117">
        <f>RANK(StudentsTable[[#This Row],[AverageScore]],StudentsTable[AverageScore])</f>
        <v>231</v>
      </c>
      <c r="O117">
        <f>(StudentsTable[[#This Row],[AverageScore]]-MIN(StudentsTable[AverageScore]))/(MAX(StudentsTable[AverageScore])-MIN(StudentsTable[AverageScore]))*100</f>
        <v>76.19047619047619</v>
      </c>
    </row>
    <row r="118" spans="1:15" x14ac:dyDescent="0.3">
      <c r="A118" t="s">
        <v>8</v>
      </c>
      <c r="B118" t="s">
        <v>9</v>
      </c>
      <c r="C118" t="s">
        <v>10</v>
      </c>
      <c r="D118" t="s">
        <v>20</v>
      </c>
      <c r="E118" t="s">
        <v>12</v>
      </c>
      <c r="F118">
        <v>75</v>
      </c>
      <c r="G118">
        <v>85</v>
      </c>
      <c r="H118">
        <v>82</v>
      </c>
      <c r="I118">
        <f>StudentsTable[[#This Row],[math score]]+StudentsTable[[#This Row],[reading score]]+StudentsTable[[#This Row],[writing score]]</f>
        <v>242</v>
      </c>
      <c r="J118">
        <f>StudentsTable[[#This Row],[TotalScore]]/3</f>
        <v>80.666666666666671</v>
      </c>
      <c r="K118" t="str" cm="1">
        <f t="array" ref="K118">_xlfn.IFS(StudentsTable[[#This Row],[AverageScore]]&gt;=90,"A",StudentsTable[[#This Row],[AverageScore]]&gt;=80,"B",StudentsTable[[#This Row],[AverageScore]]&gt;=70,"C",StudentsTable[[#This Row],[AverageScore]]&gt;=60,"D",TRUE,"F")</f>
        <v>B</v>
      </c>
      <c r="L118" t="str">
        <f>IF(StudentsTable[[#This Row],[AverageScore]]&gt;=60,"Pass","Fail")</f>
        <v>Pass</v>
      </c>
      <c r="M118" t="str" cm="1">
        <f t="array" ref="M118">_xlfn.IFS(StudentsTable[[#This Row],[AverageScore]]&gt;=85,"Advanced",StudentsTable[[#This Row],[AverageScore]]&gt;=70,"Intermediate",StudentsTable[[#This Row],[AverageScore]]&gt;=60,"Basic",TRUE,"Needs Help")</f>
        <v>Intermediate</v>
      </c>
      <c r="N118">
        <f>RANK(StudentsTable[[#This Row],[AverageScore]],StudentsTable[AverageScore])</f>
        <v>180</v>
      </c>
      <c r="O118">
        <f>(StudentsTable[[#This Row],[AverageScore]]-MIN(StudentsTable[AverageScore]))/(MAX(StudentsTable[AverageScore])-MIN(StudentsTable[AverageScore]))*100</f>
        <v>78.754578754578759</v>
      </c>
    </row>
    <row r="119" spans="1:15" x14ac:dyDescent="0.3">
      <c r="A119" t="s">
        <v>8</v>
      </c>
      <c r="B119" t="s">
        <v>21</v>
      </c>
      <c r="C119" t="s">
        <v>10</v>
      </c>
      <c r="D119" t="s">
        <v>11</v>
      </c>
      <c r="E119" t="s">
        <v>12</v>
      </c>
      <c r="F119">
        <v>78</v>
      </c>
      <c r="G119">
        <v>82</v>
      </c>
      <c r="H119">
        <v>79</v>
      </c>
      <c r="I119">
        <f>StudentsTable[[#This Row],[math score]]+StudentsTable[[#This Row],[reading score]]+StudentsTable[[#This Row],[writing score]]</f>
        <v>239</v>
      </c>
      <c r="J119">
        <f>StudentsTable[[#This Row],[TotalScore]]/3</f>
        <v>79.666666666666671</v>
      </c>
      <c r="K119" t="str" cm="1">
        <f t="array" ref="K119">_xlfn.IFS(StudentsTable[[#This Row],[AverageScore]]&gt;=90,"A",StudentsTable[[#This Row],[AverageScore]]&gt;=80,"B",StudentsTable[[#This Row],[AverageScore]]&gt;=70,"C",StudentsTable[[#This Row],[AverageScore]]&gt;=60,"D",TRUE,"F")</f>
        <v>C</v>
      </c>
      <c r="L119" t="str">
        <f>IF(StudentsTable[[#This Row],[AverageScore]]&gt;=60,"Pass","Fail")</f>
        <v>Pass</v>
      </c>
      <c r="M119" t="str" cm="1">
        <f t="array" ref="M119">_xlfn.IFS(StudentsTable[[#This Row],[AverageScore]]&gt;=85,"Advanced",StudentsTable[[#This Row],[AverageScore]]&gt;=70,"Intermediate",StudentsTable[[#This Row],[AverageScore]]&gt;=60,"Basic",TRUE,"Needs Help")</f>
        <v>Intermediate</v>
      </c>
      <c r="N119">
        <f>RANK(StudentsTable[[#This Row],[AverageScore]],StudentsTable[AverageScore])</f>
        <v>199</v>
      </c>
      <c r="O119">
        <f>(StudentsTable[[#This Row],[AverageScore]]-MIN(StudentsTable[AverageScore]))/(MAX(StudentsTable[AverageScore])-MIN(StudentsTable[AverageScore]))*100</f>
        <v>77.655677655677664</v>
      </c>
    </row>
    <row r="120" spans="1:15" x14ac:dyDescent="0.3">
      <c r="A120" t="s">
        <v>8</v>
      </c>
      <c r="B120" t="s">
        <v>21</v>
      </c>
      <c r="C120" t="s">
        <v>23</v>
      </c>
      <c r="D120" t="s">
        <v>11</v>
      </c>
      <c r="E120" t="s">
        <v>12</v>
      </c>
      <c r="F120">
        <v>51</v>
      </c>
      <c r="G120">
        <v>63</v>
      </c>
      <c r="H120">
        <v>61</v>
      </c>
      <c r="I120">
        <f>StudentsTable[[#This Row],[math score]]+StudentsTable[[#This Row],[reading score]]+StudentsTable[[#This Row],[writing score]]</f>
        <v>175</v>
      </c>
      <c r="J120">
        <f>StudentsTable[[#This Row],[TotalScore]]/3</f>
        <v>58.333333333333336</v>
      </c>
      <c r="K120" t="str" cm="1">
        <f t="array" ref="K120">_xlfn.IFS(StudentsTable[[#This Row],[AverageScore]]&gt;=90,"A",StudentsTable[[#This Row],[AverageScore]]&gt;=80,"B",StudentsTable[[#This Row],[AverageScore]]&gt;=70,"C",StudentsTable[[#This Row],[AverageScore]]&gt;=60,"D",TRUE,"F")</f>
        <v>F</v>
      </c>
      <c r="L120" t="str">
        <f>IF(StudentsTable[[#This Row],[AverageScore]]&gt;=60,"Pass","Fail")</f>
        <v>Fail</v>
      </c>
      <c r="M120" t="str" cm="1">
        <f t="array" ref="M120">_xlfn.IFS(StudentsTable[[#This Row],[AverageScore]]&gt;=85,"Advanced",StudentsTable[[#This Row],[AverageScore]]&gt;=70,"Intermediate",StudentsTable[[#This Row],[AverageScore]]&gt;=60,"Basic",TRUE,"Needs Help")</f>
        <v>Needs Help</v>
      </c>
      <c r="N120">
        <f>RANK(StudentsTable[[#This Row],[AverageScore]],StudentsTable[AverageScore])</f>
        <v>745</v>
      </c>
      <c r="O120">
        <f>(StudentsTable[[#This Row],[AverageScore]]-MIN(StudentsTable[AverageScore]))/(MAX(StudentsTable[AverageScore])-MIN(StudentsTable[AverageScore]))*100</f>
        <v>54.212454212454219</v>
      </c>
    </row>
    <row r="121" spans="1:15" x14ac:dyDescent="0.3">
      <c r="A121" t="s">
        <v>8</v>
      </c>
      <c r="B121" t="s">
        <v>13</v>
      </c>
      <c r="C121" t="s">
        <v>14</v>
      </c>
      <c r="D121" t="s">
        <v>11</v>
      </c>
      <c r="E121" t="s">
        <v>12</v>
      </c>
      <c r="F121">
        <v>55</v>
      </c>
      <c r="G121">
        <v>69</v>
      </c>
      <c r="H121">
        <v>65</v>
      </c>
      <c r="I121">
        <f>StudentsTable[[#This Row],[math score]]+StudentsTable[[#This Row],[reading score]]+StudentsTable[[#This Row],[writing score]]</f>
        <v>189</v>
      </c>
      <c r="J121">
        <f>StudentsTable[[#This Row],[TotalScore]]/3</f>
        <v>63</v>
      </c>
      <c r="K121" t="str" cm="1">
        <f t="array" ref="K121">_xlfn.IFS(StudentsTable[[#This Row],[AverageScore]]&gt;=90,"A",StudentsTable[[#This Row],[AverageScore]]&gt;=80,"B",StudentsTable[[#This Row],[AverageScore]]&gt;=70,"C",StudentsTable[[#This Row],[AverageScore]]&gt;=60,"D",TRUE,"F")</f>
        <v>D</v>
      </c>
      <c r="L121" t="str">
        <f>IF(StudentsTable[[#This Row],[AverageScore]]&gt;=60,"Pass","Fail")</f>
        <v>Pass</v>
      </c>
      <c r="M121" t="str" cm="1">
        <f t="array" ref="M121">_xlfn.IFS(StudentsTable[[#This Row],[AverageScore]]&gt;=85,"Advanced",StudentsTable[[#This Row],[AverageScore]]&gt;=70,"Intermediate",StudentsTable[[#This Row],[AverageScore]]&gt;=60,"Basic",TRUE,"Needs Help")</f>
        <v>Basic</v>
      </c>
      <c r="N121">
        <f>RANK(StudentsTable[[#This Row],[AverageScore]],StudentsTable[AverageScore])</f>
        <v>646</v>
      </c>
      <c r="O121">
        <f>(StudentsTable[[#This Row],[AverageScore]]-MIN(StudentsTable[AverageScore]))/(MAX(StudentsTable[AverageScore])-MIN(StudentsTable[AverageScore]))*100</f>
        <v>59.340659340659343</v>
      </c>
    </row>
    <row r="122" spans="1:15" x14ac:dyDescent="0.3">
      <c r="A122" t="s">
        <v>8</v>
      </c>
      <c r="B122" t="s">
        <v>13</v>
      </c>
      <c r="C122" t="s">
        <v>10</v>
      </c>
      <c r="D122" t="s">
        <v>11</v>
      </c>
      <c r="E122" t="s">
        <v>15</v>
      </c>
      <c r="F122">
        <v>79</v>
      </c>
      <c r="G122">
        <v>92</v>
      </c>
      <c r="H122">
        <v>89</v>
      </c>
      <c r="I122">
        <f>StudentsTable[[#This Row],[math score]]+StudentsTable[[#This Row],[reading score]]+StudentsTable[[#This Row],[writing score]]</f>
        <v>260</v>
      </c>
      <c r="J122">
        <f>StudentsTable[[#This Row],[TotalScore]]/3</f>
        <v>86.666666666666671</v>
      </c>
      <c r="K122" t="str" cm="1">
        <f t="array" ref="K122">_xlfn.IFS(StudentsTable[[#This Row],[AverageScore]]&gt;=90,"A",StudentsTable[[#This Row],[AverageScore]]&gt;=80,"B",StudentsTable[[#This Row],[AverageScore]]&gt;=70,"C",StudentsTable[[#This Row],[AverageScore]]&gt;=60,"D",TRUE,"F")</f>
        <v>B</v>
      </c>
      <c r="L122" t="str">
        <f>IF(StudentsTable[[#This Row],[AverageScore]]&gt;=60,"Pass","Fail")</f>
        <v>Pass</v>
      </c>
      <c r="M122" t="str" cm="1">
        <f t="array" ref="M122">_xlfn.IFS(StudentsTable[[#This Row],[AverageScore]]&gt;=85,"Advanced",StudentsTable[[#This Row],[AverageScore]]&gt;=70,"Intermediate",StudentsTable[[#This Row],[AverageScore]]&gt;=60,"Basic",TRUE,"Needs Help")</f>
        <v>Advanced</v>
      </c>
      <c r="N122">
        <f>RANK(StudentsTable[[#This Row],[AverageScore]],StudentsTable[AverageScore])</f>
        <v>89</v>
      </c>
      <c r="O122">
        <f>(StudentsTable[[#This Row],[AverageScore]]-MIN(StudentsTable[AverageScore]))/(MAX(StudentsTable[AverageScore])-MIN(StudentsTable[AverageScore]))*100</f>
        <v>85.347985347985357</v>
      </c>
    </row>
    <row r="123" spans="1:15" x14ac:dyDescent="0.3">
      <c r="A123" t="s">
        <v>17</v>
      </c>
      <c r="B123" t="s">
        <v>9</v>
      </c>
      <c r="C123" t="s">
        <v>19</v>
      </c>
      <c r="D123" t="s">
        <v>11</v>
      </c>
      <c r="E123" t="s">
        <v>15</v>
      </c>
      <c r="F123">
        <v>91</v>
      </c>
      <c r="G123">
        <v>89</v>
      </c>
      <c r="H123">
        <v>92</v>
      </c>
      <c r="I123">
        <f>StudentsTable[[#This Row],[math score]]+StudentsTable[[#This Row],[reading score]]+StudentsTable[[#This Row],[writing score]]</f>
        <v>272</v>
      </c>
      <c r="J123">
        <f>StudentsTable[[#This Row],[TotalScore]]/3</f>
        <v>90.666666666666671</v>
      </c>
      <c r="K123" t="str" cm="1">
        <f t="array" ref="K123">_xlfn.IFS(StudentsTable[[#This Row],[AverageScore]]&gt;=90,"A",StudentsTable[[#This Row],[AverageScore]]&gt;=80,"B",StudentsTable[[#This Row],[AverageScore]]&gt;=70,"C",StudentsTable[[#This Row],[AverageScore]]&gt;=60,"D",TRUE,"F")</f>
        <v>A</v>
      </c>
      <c r="L123" t="str">
        <f>IF(StudentsTable[[#This Row],[AverageScore]]&gt;=60,"Pass","Fail")</f>
        <v>Pass</v>
      </c>
      <c r="M123" t="str" cm="1">
        <f t="array" ref="M123">_xlfn.IFS(StudentsTable[[#This Row],[AverageScore]]&gt;=85,"Advanced",StudentsTable[[#This Row],[AverageScore]]&gt;=70,"Intermediate",StudentsTable[[#This Row],[AverageScore]]&gt;=60,"Basic",TRUE,"Needs Help")</f>
        <v>Advanced</v>
      </c>
      <c r="N123">
        <f>RANK(StudentsTable[[#This Row],[AverageScore]],StudentsTable[AverageScore])</f>
        <v>47</v>
      </c>
      <c r="O123">
        <f>(StudentsTable[[#This Row],[AverageScore]]-MIN(StudentsTable[AverageScore]))/(MAX(StudentsTable[AverageScore])-MIN(StudentsTable[AverageScore]))*100</f>
        <v>89.743589743589752</v>
      </c>
    </row>
    <row r="124" spans="1:15" x14ac:dyDescent="0.3">
      <c r="A124" t="s">
        <v>8</v>
      </c>
      <c r="B124" t="s">
        <v>13</v>
      </c>
      <c r="C124" t="s">
        <v>14</v>
      </c>
      <c r="D124" t="s">
        <v>11</v>
      </c>
      <c r="E124" t="s">
        <v>15</v>
      </c>
      <c r="F124">
        <v>88</v>
      </c>
      <c r="G124">
        <v>93</v>
      </c>
      <c r="H124">
        <v>93</v>
      </c>
      <c r="I124">
        <f>StudentsTable[[#This Row],[math score]]+StudentsTable[[#This Row],[reading score]]+StudentsTable[[#This Row],[writing score]]</f>
        <v>274</v>
      </c>
      <c r="J124">
        <f>StudentsTable[[#This Row],[TotalScore]]/3</f>
        <v>91.333333333333329</v>
      </c>
      <c r="K124" t="str" cm="1">
        <f t="array" ref="K124">_xlfn.IFS(StudentsTable[[#This Row],[AverageScore]]&gt;=90,"A",StudentsTable[[#This Row],[AverageScore]]&gt;=80,"B",StudentsTable[[#This Row],[AverageScore]]&gt;=70,"C",StudentsTable[[#This Row],[AverageScore]]&gt;=60,"D",TRUE,"F")</f>
        <v>A</v>
      </c>
      <c r="L124" t="str">
        <f>IF(StudentsTable[[#This Row],[AverageScore]]&gt;=60,"Pass","Fail")</f>
        <v>Pass</v>
      </c>
      <c r="M124" t="str" cm="1">
        <f t="array" ref="M124">_xlfn.IFS(StudentsTable[[#This Row],[AverageScore]]&gt;=85,"Advanced",StudentsTable[[#This Row],[AverageScore]]&gt;=70,"Intermediate",StudentsTable[[#This Row],[AverageScore]]&gt;=60,"Basic",TRUE,"Needs Help")</f>
        <v>Advanced</v>
      </c>
      <c r="N124">
        <f>RANK(StudentsTable[[#This Row],[AverageScore]],StudentsTable[AverageScore])</f>
        <v>43</v>
      </c>
      <c r="O124">
        <f>(StudentsTable[[#This Row],[AverageScore]]-MIN(StudentsTable[AverageScore]))/(MAX(StudentsTable[AverageScore])-MIN(StudentsTable[AverageScore]))*100</f>
        <v>90.476190476190467</v>
      </c>
    </row>
    <row r="125" spans="1:15" x14ac:dyDescent="0.3">
      <c r="A125" t="s">
        <v>17</v>
      </c>
      <c r="B125" t="s">
        <v>21</v>
      </c>
      <c r="C125" t="s">
        <v>22</v>
      </c>
      <c r="D125" t="s">
        <v>20</v>
      </c>
      <c r="E125" t="s">
        <v>12</v>
      </c>
      <c r="F125">
        <v>63</v>
      </c>
      <c r="G125">
        <v>57</v>
      </c>
      <c r="H125">
        <v>56</v>
      </c>
      <c r="I125">
        <f>StudentsTable[[#This Row],[math score]]+StudentsTable[[#This Row],[reading score]]+StudentsTable[[#This Row],[writing score]]</f>
        <v>176</v>
      </c>
      <c r="J125">
        <f>StudentsTable[[#This Row],[TotalScore]]/3</f>
        <v>58.666666666666664</v>
      </c>
      <c r="K125" t="str" cm="1">
        <f t="array" ref="K125">_xlfn.IFS(StudentsTable[[#This Row],[AverageScore]]&gt;=90,"A",StudentsTable[[#This Row],[AverageScore]]&gt;=80,"B",StudentsTable[[#This Row],[AverageScore]]&gt;=70,"C",StudentsTable[[#This Row],[AverageScore]]&gt;=60,"D",TRUE,"F")</f>
        <v>F</v>
      </c>
      <c r="L125" t="str">
        <f>IF(StudentsTable[[#This Row],[AverageScore]]&gt;=60,"Pass","Fail")</f>
        <v>Fail</v>
      </c>
      <c r="M125" t="str" cm="1">
        <f t="array" ref="M125">_xlfn.IFS(StudentsTable[[#This Row],[AverageScore]]&gt;=85,"Advanced",StudentsTable[[#This Row],[AverageScore]]&gt;=70,"Intermediate",StudentsTable[[#This Row],[AverageScore]]&gt;=60,"Basic",TRUE,"Needs Help")</f>
        <v>Needs Help</v>
      </c>
      <c r="N125">
        <f>RANK(StudentsTable[[#This Row],[AverageScore]],StudentsTable[AverageScore])</f>
        <v>736</v>
      </c>
      <c r="O125">
        <f>(StudentsTable[[#This Row],[AverageScore]]-MIN(StudentsTable[AverageScore]))/(MAX(StudentsTable[AverageScore])-MIN(StudentsTable[AverageScore]))*100</f>
        <v>54.578754578754577</v>
      </c>
    </row>
    <row r="126" spans="1:15" x14ac:dyDescent="0.3">
      <c r="A126" t="s">
        <v>17</v>
      </c>
      <c r="B126" t="s">
        <v>24</v>
      </c>
      <c r="C126" t="s">
        <v>14</v>
      </c>
      <c r="D126" t="s">
        <v>11</v>
      </c>
      <c r="E126" t="s">
        <v>12</v>
      </c>
      <c r="F126">
        <v>83</v>
      </c>
      <c r="G126">
        <v>80</v>
      </c>
      <c r="H126">
        <v>73</v>
      </c>
      <c r="I126">
        <f>StudentsTable[[#This Row],[math score]]+StudentsTable[[#This Row],[reading score]]+StudentsTable[[#This Row],[writing score]]</f>
        <v>236</v>
      </c>
      <c r="J126">
        <f>StudentsTable[[#This Row],[TotalScore]]/3</f>
        <v>78.666666666666671</v>
      </c>
      <c r="K126" t="str" cm="1">
        <f t="array" ref="K126">_xlfn.IFS(StudentsTable[[#This Row],[AverageScore]]&gt;=90,"A",StudentsTable[[#This Row],[AverageScore]]&gt;=80,"B",StudentsTable[[#This Row],[AverageScore]]&gt;=70,"C",StudentsTable[[#This Row],[AverageScore]]&gt;=60,"D",TRUE,"F")</f>
        <v>C</v>
      </c>
      <c r="L126" t="str">
        <f>IF(StudentsTable[[#This Row],[AverageScore]]&gt;=60,"Pass","Fail")</f>
        <v>Pass</v>
      </c>
      <c r="M126" t="str" cm="1">
        <f t="array" ref="M126">_xlfn.IFS(StudentsTable[[#This Row],[AverageScore]]&gt;=85,"Advanced",StudentsTable[[#This Row],[AverageScore]]&gt;=70,"Intermediate",StudentsTable[[#This Row],[AverageScore]]&gt;=60,"Basic",TRUE,"Needs Help")</f>
        <v>Intermediate</v>
      </c>
      <c r="N126">
        <f>RANK(StudentsTable[[#This Row],[AverageScore]],StudentsTable[AverageScore])</f>
        <v>222</v>
      </c>
      <c r="O126">
        <f>(StudentsTable[[#This Row],[AverageScore]]-MIN(StudentsTable[AverageScore]))/(MAX(StudentsTable[AverageScore])-MIN(StudentsTable[AverageScore]))*100</f>
        <v>76.556776556776569</v>
      </c>
    </row>
    <row r="127" spans="1:15" x14ac:dyDescent="0.3">
      <c r="A127" t="s">
        <v>8</v>
      </c>
      <c r="B127" t="s">
        <v>9</v>
      </c>
      <c r="C127" t="s">
        <v>22</v>
      </c>
      <c r="D127" t="s">
        <v>11</v>
      </c>
      <c r="E127" t="s">
        <v>12</v>
      </c>
      <c r="F127">
        <v>87</v>
      </c>
      <c r="G127">
        <v>95</v>
      </c>
      <c r="H127">
        <v>86</v>
      </c>
      <c r="I127">
        <f>StudentsTable[[#This Row],[math score]]+StudentsTable[[#This Row],[reading score]]+StudentsTable[[#This Row],[writing score]]</f>
        <v>268</v>
      </c>
      <c r="J127">
        <f>StudentsTable[[#This Row],[TotalScore]]/3</f>
        <v>89.333333333333329</v>
      </c>
      <c r="K127" t="str" cm="1">
        <f t="array" ref="K127">_xlfn.IFS(StudentsTable[[#This Row],[AverageScore]]&gt;=90,"A",StudentsTable[[#This Row],[AverageScore]]&gt;=80,"B",StudentsTable[[#This Row],[AverageScore]]&gt;=70,"C",StudentsTable[[#This Row],[AverageScore]]&gt;=60,"D",TRUE,"F")</f>
        <v>B</v>
      </c>
      <c r="L127" t="str">
        <f>IF(StudentsTable[[#This Row],[AverageScore]]&gt;=60,"Pass","Fail")</f>
        <v>Pass</v>
      </c>
      <c r="M127" t="str" cm="1">
        <f t="array" ref="M127">_xlfn.IFS(StudentsTable[[#This Row],[AverageScore]]&gt;=85,"Advanced",StudentsTable[[#This Row],[AverageScore]]&gt;=70,"Intermediate",StudentsTable[[#This Row],[AverageScore]]&gt;=60,"Basic",TRUE,"Needs Help")</f>
        <v>Advanced</v>
      </c>
      <c r="N127">
        <f>RANK(StudentsTable[[#This Row],[AverageScore]],StudentsTable[AverageScore])</f>
        <v>55</v>
      </c>
      <c r="O127">
        <f>(StudentsTable[[#This Row],[AverageScore]]-MIN(StudentsTable[AverageScore]))/(MAX(StudentsTable[AverageScore])-MIN(StudentsTable[AverageScore]))*100</f>
        <v>88.278388278388277</v>
      </c>
    </row>
    <row r="128" spans="1:15" x14ac:dyDescent="0.3">
      <c r="A128" t="s">
        <v>17</v>
      </c>
      <c r="B128" t="s">
        <v>9</v>
      </c>
      <c r="C128" t="s">
        <v>23</v>
      </c>
      <c r="D128" t="s">
        <v>11</v>
      </c>
      <c r="E128" t="s">
        <v>12</v>
      </c>
      <c r="F128">
        <v>72</v>
      </c>
      <c r="G128">
        <v>68</v>
      </c>
      <c r="H128">
        <v>67</v>
      </c>
      <c r="I128">
        <f>StudentsTable[[#This Row],[math score]]+StudentsTable[[#This Row],[reading score]]+StudentsTable[[#This Row],[writing score]]</f>
        <v>207</v>
      </c>
      <c r="J128">
        <f>StudentsTable[[#This Row],[TotalScore]]/3</f>
        <v>69</v>
      </c>
      <c r="K128" t="str" cm="1">
        <f t="array" ref="K128">_xlfn.IFS(StudentsTable[[#This Row],[AverageScore]]&gt;=90,"A",StudentsTable[[#This Row],[AverageScore]]&gt;=80,"B",StudentsTable[[#This Row],[AverageScore]]&gt;=70,"C",StudentsTable[[#This Row],[AverageScore]]&gt;=60,"D",TRUE,"F")</f>
        <v>D</v>
      </c>
      <c r="L128" t="str">
        <f>IF(StudentsTable[[#This Row],[AverageScore]]&gt;=60,"Pass","Fail")</f>
        <v>Pass</v>
      </c>
      <c r="M128" t="str" cm="1">
        <f t="array" ref="M128">_xlfn.IFS(StudentsTable[[#This Row],[AverageScore]]&gt;=85,"Advanced",StudentsTable[[#This Row],[AverageScore]]&gt;=70,"Intermediate",StudentsTable[[#This Row],[AverageScore]]&gt;=60,"Basic",TRUE,"Needs Help")</f>
        <v>Basic</v>
      </c>
      <c r="N128">
        <f>RANK(StudentsTable[[#This Row],[AverageScore]],StudentsTable[AverageScore])</f>
        <v>475</v>
      </c>
      <c r="O128">
        <f>(StudentsTable[[#This Row],[AverageScore]]-MIN(StudentsTable[AverageScore]))/(MAX(StudentsTable[AverageScore])-MIN(StudentsTable[AverageScore]))*100</f>
        <v>65.934065934065927</v>
      </c>
    </row>
    <row r="129" spans="1:15" x14ac:dyDescent="0.3">
      <c r="A129" t="s">
        <v>17</v>
      </c>
      <c r="B129" t="s">
        <v>21</v>
      </c>
      <c r="C129" t="s">
        <v>14</v>
      </c>
      <c r="D129" t="s">
        <v>11</v>
      </c>
      <c r="E129" t="s">
        <v>15</v>
      </c>
      <c r="F129">
        <v>65</v>
      </c>
      <c r="G129">
        <v>77</v>
      </c>
      <c r="H129">
        <v>74</v>
      </c>
      <c r="I129">
        <f>StudentsTable[[#This Row],[math score]]+StudentsTable[[#This Row],[reading score]]+StudentsTable[[#This Row],[writing score]]</f>
        <v>216</v>
      </c>
      <c r="J129">
        <f>StudentsTable[[#This Row],[TotalScore]]/3</f>
        <v>72</v>
      </c>
      <c r="K129" t="str" cm="1">
        <f t="array" ref="K129">_xlfn.IFS(StudentsTable[[#This Row],[AverageScore]]&gt;=90,"A",StudentsTable[[#This Row],[AverageScore]]&gt;=80,"B",StudentsTable[[#This Row],[AverageScore]]&gt;=70,"C",StudentsTable[[#This Row],[AverageScore]]&gt;=60,"D",TRUE,"F")</f>
        <v>C</v>
      </c>
      <c r="L129" t="str">
        <f>IF(StudentsTable[[#This Row],[AverageScore]]&gt;=60,"Pass","Fail")</f>
        <v>Pass</v>
      </c>
      <c r="M129" t="str" cm="1">
        <f t="array" ref="M129">_xlfn.IFS(StudentsTable[[#This Row],[AverageScore]]&gt;=85,"Advanced",StudentsTable[[#This Row],[AverageScore]]&gt;=70,"Intermediate",StudentsTable[[#This Row],[AverageScore]]&gt;=60,"Basic",TRUE,"Needs Help")</f>
        <v>Intermediate</v>
      </c>
      <c r="N129">
        <f>RANK(StudentsTable[[#This Row],[AverageScore]],StudentsTable[AverageScore])</f>
        <v>395</v>
      </c>
      <c r="O129">
        <f>(StudentsTable[[#This Row],[AverageScore]]-MIN(StudentsTable[AverageScore]))/(MAX(StudentsTable[AverageScore])-MIN(StudentsTable[AverageScore]))*100</f>
        <v>69.230769230769226</v>
      </c>
    </row>
    <row r="130" spans="1:15" x14ac:dyDescent="0.3">
      <c r="A130" t="s">
        <v>17</v>
      </c>
      <c r="B130" t="s">
        <v>21</v>
      </c>
      <c r="C130" t="s">
        <v>16</v>
      </c>
      <c r="D130" t="s">
        <v>11</v>
      </c>
      <c r="E130" t="s">
        <v>12</v>
      </c>
      <c r="F130">
        <v>82</v>
      </c>
      <c r="G130">
        <v>82</v>
      </c>
      <c r="H130">
        <v>74</v>
      </c>
      <c r="I130">
        <f>StudentsTable[[#This Row],[math score]]+StudentsTable[[#This Row],[reading score]]+StudentsTable[[#This Row],[writing score]]</f>
        <v>238</v>
      </c>
      <c r="J130">
        <f>StudentsTable[[#This Row],[TotalScore]]/3</f>
        <v>79.333333333333329</v>
      </c>
      <c r="K130" t="str" cm="1">
        <f t="array" ref="K130">_xlfn.IFS(StudentsTable[[#This Row],[AverageScore]]&gt;=90,"A",StudentsTable[[#This Row],[AverageScore]]&gt;=80,"B",StudentsTable[[#This Row],[AverageScore]]&gt;=70,"C",StudentsTable[[#This Row],[AverageScore]]&gt;=60,"D",TRUE,"F")</f>
        <v>C</v>
      </c>
      <c r="L130" t="str">
        <f>IF(StudentsTable[[#This Row],[AverageScore]]&gt;=60,"Pass","Fail")</f>
        <v>Pass</v>
      </c>
      <c r="M130" t="str" cm="1">
        <f t="array" ref="M130">_xlfn.IFS(StudentsTable[[#This Row],[AverageScore]]&gt;=85,"Advanced",StudentsTable[[#This Row],[AverageScore]]&gt;=70,"Intermediate",StudentsTable[[#This Row],[AverageScore]]&gt;=60,"Basic",TRUE,"Needs Help")</f>
        <v>Intermediate</v>
      </c>
      <c r="N130">
        <f>RANK(StudentsTable[[#This Row],[AverageScore]],StudentsTable[AverageScore])</f>
        <v>207</v>
      </c>
      <c r="O130">
        <f>(StudentsTable[[#This Row],[AverageScore]]-MIN(StudentsTable[AverageScore]))/(MAX(StudentsTable[AverageScore])-MIN(StudentsTable[AverageScore]))*100</f>
        <v>77.289377289377285</v>
      </c>
    </row>
    <row r="131" spans="1:15" x14ac:dyDescent="0.3">
      <c r="A131" t="s">
        <v>8</v>
      </c>
      <c r="B131" t="s">
        <v>18</v>
      </c>
      <c r="C131" t="s">
        <v>10</v>
      </c>
      <c r="D131" t="s">
        <v>11</v>
      </c>
      <c r="E131" t="s">
        <v>12</v>
      </c>
      <c r="F131">
        <v>51</v>
      </c>
      <c r="G131">
        <v>49</v>
      </c>
      <c r="H131">
        <v>51</v>
      </c>
      <c r="I131">
        <f>StudentsTable[[#This Row],[math score]]+StudentsTable[[#This Row],[reading score]]+StudentsTable[[#This Row],[writing score]]</f>
        <v>151</v>
      </c>
      <c r="J131">
        <f>StudentsTable[[#This Row],[TotalScore]]/3</f>
        <v>50.333333333333336</v>
      </c>
      <c r="K131" t="str" cm="1">
        <f t="array" ref="K131">_xlfn.IFS(StudentsTable[[#This Row],[AverageScore]]&gt;=90,"A",StudentsTable[[#This Row],[AverageScore]]&gt;=80,"B",StudentsTable[[#This Row],[AverageScore]]&gt;=70,"C",StudentsTable[[#This Row],[AverageScore]]&gt;=60,"D",TRUE,"F")</f>
        <v>F</v>
      </c>
      <c r="L131" t="str">
        <f>IF(StudentsTable[[#This Row],[AverageScore]]&gt;=60,"Pass","Fail")</f>
        <v>Fail</v>
      </c>
      <c r="M131" t="str" cm="1">
        <f t="array" ref="M131">_xlfn.IFS(StudentsTable[[#This Row],[AverageScore]]&gt;=85,"Advanced",StudentsTable[[#This Row],[AverageScore]]&gt;=70,"Intermediate",StudentsTable[[#This Row],[AverageScore]]&gt;=60,"Basic",TRUE,"Needs Help")</f>
        <v>Needs Help</v>
      </c>
      <c r="N131">
        <f>RANK(StudentsTable[[#This Row],[AverageScore]],StudentsTable[AverageScore])</f>
        <v>884</v>
      </c>
      <c r="O131">
        <f>(StudentsTable[[#This Row],[AverageScore]]-MIN(StudentsTable[AverageScore]))/(MAX(StudentsTable[AverageScore])-MIN(StudentsTable[AverageScore]))*100</f>
        <v>45.421245421245423</v>
      </c>
    </row>
    <row r="132" spans="1:15" x14ac:dyDescent="0.3">
      <c r="A132" t="s">
        <v>17</v>
      </c>
      <c r="B132" t="s">
        <v>21</v>
      </c>
      <c r="C132" t="s">
        <v>16</v>
      </c>
      <c r="D132" t="s">
        <v>11</v>
      </c>
      <c r="E132" t="s">
        <v>12</v>
      </c>
      <c r="F132">
        <v>89</v>
      </c>
      <c r="G132">
        <v>84</v>
      </c>
      <c r="H132">
        <v>82</v>
      </c>
      <c r="I132">
        <f>StudentsTable[[#This Row],[math score]]+StudentsTable[[#This Row],[reading score]]+StudentsTable[[#This Row],[writing score]]</f>
        <v>255</v>
      </c>
      <c r="J132">
        <f>StudentsTable[[#This Row],[TotalScore]]/3</f>
        <v>85</v>
      </c>
      <c r="K132" t="str" cm="1">
        <f t="array" ref="K132">_xlfn.IFS(StudentsTable[[#This Row],[AverageScore]]&gt;=90,"A",StudentsTable[[#This Row],[AverageScore]]&gt;=80,"B",StudentsTable[[#This Row],[AverageScore]]&gt;=70,"C",StudentsTable[[#This Row],[AverageScore]]&gt;=60,"D",TRUE,"F")</f>
        <v>B</v>
      </c>
      <c r="L132" t="str">
        <f>IF(StudentsTable[[#This Row],[AverageScore]]&gt;=60,"Pass","Fail")</f>
        <v>Pass</v>
      </c>
      <c r="M132" t="str" cm="1">
        <f t="array" ref="M132">_xlfn.IFS(StudentsTable[[#This Row],[AverageScore]]&gt;=85,"Advanced",StudentsTable[[#This Row],[AverageScore]]&gt;=70,"Intermediate",StudentsTable[[#This Row],[AverageScore]]&gt;=60,"Basic",TRUE,"Needs Help")</f>
        <v>Advanced</v>
      </c>
      <c r="N132">
        <f>RANK(StudentsTable[[#This Row],[AverageScore]],StudentsTable[AverageScore])</f>
        <v>113</v>
      </c>
      <c r="O132">
        <f>(StudentsTable[[#This Row],[AverageScore]]-MIN(StudentsTable[AverageScore]))/(MAX(StudentsTable[AverageScore])-MIN(StudentsTable[AverageScore]))*100</f>
        <v>83.516483516483518</v>
      </c>
    </row>
    <row r="133" spans="1:15" x14ac:dyDescent="0.3">
      <c r="A133" t="s">
        <v>17</v>
      </c>
      <c r="B133" t="s">
        <v>13</v>
      </c>
      <c r="C133" t="s">
        <v>23</v>
      </c>
      <c r="D133" t="s">
        <v>20</v>
      </c>
      <c r="E133" t="s">
        <v>15</v>
      </c>
      <c r="F133">
        <v>53</v>
      </c>
      <c r="G133">
        <v>37</v>
      </c>
      <c r="H133">
        <v>40</v>
      </c>
      <c r="I133">
        <f>StudentsTable[[#This Row],[math score]]+StudentsTable[[#This Row],[reading score]]+StudentsTable[[#This Row],[writing score]]</f>
        <v>130</v>
      </c>
      <c r="J133">
        <f>StudentsTable[[#This Row],[TotalScore]]/3</f>
        <v>43.333333333333336</v>
      </c>
      <c r="K133" t="str" cm="1">
        <f t="array" ref="K133">_xlfn.IFS(StudentsTable[[#This Row],[AverageScore]]&gt;=90,"A",StudentsTable[[#This Row],[AverageScore]]&gt;=80,"B",StudentsTable[[#This Row],[AverageScore]]&gt;=70,"C",StudentsTable[[#This Row],[AverageScore]]&gt;=60,"D",TRUE,"F")</f>
        <v>F</v>
      </c>
      <c r="L133" t="str">
        <f>IF(StudentsTable[[#This Row],[AverageScore]]&gt;=60,"Pass","Fail")</f>
        <v>Fail</v>
      </c>
      <c r="M133" t="str" cm="1">
        <f t="array" ref="M133">_xlfn.IFS(StudentsTable[[#This Row],[AverageScore]]&gt;=85,"Advanced",StudentsTable[[#This Row],[AverageScore]]&gt;=70,"Intermediate",StudentsTable[[#This Row],[AverageScore]]&gt;=60,"Basic",TRUE,"Needs Help")</f>
        <v>Needs Help</v>
      </c>
      <c r="N133">
        <f>RANK(StudentsTable[[#This Row],[AverageScore]],StudentsTable[AverageScore])</f>
        <v>956</v>
      </c>
      <c r="O133">
        <f>(StudentsTable[[#This Row],[AverageScore]]-MIN(StudentsTable[AverageScore]))/(MAX(StudentsTable[AverageScore])-MIN(StudentsTable[AverageScore]))*100</f>
        <v>37.728937728937737</v>
      </c>
    </row>
    <row r="134" spans="1:15" x14ac:dyDescent="0.3">
      <c r="A134" t="s">
        <v>17</v>
      </c>
      <c r="B134" t="s">
        <v>24</v>
      </c>
      <c r="C134" t="s">
        <v>14</v>
      </c>
      <c r="D134" t="s">
        <v>20</v>
      </c>
      <c r="E134" t="s">
        <v>15</v>
      </c>
      <c r="F134">
        <v>87</v>
      </c>
      <c r="G134">
        <v>74</v>
      </c>
      <c r="H134">
        <v>70</v>
      </c>
      <c r="I134">
        <f>StudentsTable[[#This Row],[math score]]+StudentsTable[[#This Row],[reading score]]+StudentsTable[[#This Row],[writing score]]</f>
        <v>231</v>
      </c>
      <c r="J134">
        <f>StudentsTable[[#This Row],[TotalScore]]/3</f>
        <v>77</v>
      </c>
      <c r="K134" t="str" cm="1">
        <f t="array" ref="K134">_xlfn.IFS(StudentsTable[[#This Row],[AverageScore]]&gt;=90,"A",StudentsTable[[#This Row],[AverageScore]]&gt;=80,"B",StudentsTable[[#This Row],[AverageScore]]&gt;=70,"C",StudentsTable[[#This Row],[AverageScore]]&gt;=60,"D",TRUE,"F")</f>
        <v>C</v>
      </c>
      <c r="L134" t="str">
        <f>IF(StudentsTable[[#This Row],[AverageScore]]&gt;=60,"Pass","Fail")</f>
        <v>Pass</v>
      </c>
      <c r="M134" t="str" cm="1">
        <f t="array" ref="M134">_xlfn.IFS(StudentsTable[[#This Row],[AverageScore]]&gt;=85,"Advanced",StudentsTable[[#This Row],[AverageScore]]&gt;=70,"Intermediate",StudentsTable[[#This Row],[AverageScore]]&gt;=60,"Basic",TRUE,"Needs Help")</f>
        <v>Intermediate</v>
      </c>
      <c r="N134">
        <f>RANK(StudentsTable[[#This Row],[AverageScore]],StudentsTable[AverageScore])</f>
        <v>269</v>
      </c>
      <c r="O134">
        <f>(StudentsTable[[#This Row],[AverageScore]]-MIN(StudentsTable[AverageScore]))/(MAX(StudentsTable[AverageScore])-MIN(StudentsTable[AverageScore]))*100</f>
        <v>74.72527472527473</v>
      </c>
    </row>
    <row r="135" spans="1:15" x14ac:dyDescent="0.3">
      <c r="A135" t="s">
        <v>8</v>
      </c>
      <c r="B135" t="s">
        <v>13</v>
      </c>
      <c r="C135" t="s">
        <v>14</v>
      </c>
      <c r="D135" t="s">
        <v>11</v>
      </c>
      <c r="E135" t="s">
        <v>15</v>
      </c>
      <c r="F135">
        <v>75</v>
      </c>
      <c r="G135">
        <v>81</v>
      </c>
      <c r="H135">
        <v>84</v>
      </c>
      <c r="I135">
        <f>StudentsTable[[#This Row],[math score]]+StudentsTable[[#This Row],[reading score]]+StudentsTable[[#This Row],[writing score]]</f>
        <v>240</v>
      </c>
      <c r="J135">
        <f>StudentsTable[[#This Row],[TotalScore]]/3</f>
        <v>80</v>
      </c>
      <c r="K135" t="str" cm="1">
        <f t="array" ref="K135">_xlfn.IFS(StudentsTable[[#This Row],[AverageScore]]&gt;=90,"A",StudentsTable[[#This Row],[AverageScore]]&gt;=80,"B",StudentsTable[[#This Row],[AverageScore]]&gt;=70,"C",StudentsTable[[#This Row],[AverageScore]]&gt;=60,"D",TRUE,"F")</f>
        <v>B</v>
      </c>
      <c r="L135" t="str">
        <f>IF(StudentsTable[[#This Row],[AverageScore]]&gt;=60,"Pass","Fail")</f>
        <v>Pass</v>
      </c>
      <c r="M135" t="str" cm="1">
        <f t="array" ref="M135">_xlfn.IFS(StudentsTable[[#This Row],[AverageScore]]&gt;=85,"Advanced",StudentsTable[[#This Row],[AverageScore]]&gt;=70,"Intermediate",StudentsTable[[#This Row],[AverageScore]]&gt;=60,"Basic",TRUE,"Needs Help")</f>
        <v>Intermediate</v>
      </c>
      <c r="N135">
        <f>RANK(StudentsTable[[#This Row],[AverageScore]],StudentsTable[AverageScore])</f>
        <v>195</v>
      </c>
      <c r="O135">
        <f>(StudentsTable[[#This Row],[AverageScore]]-MIN(StudentsTable[AverageScore]))/(MAX(StudentsTable[AverageScore])-MIN(StudentsTable[AverageScore]))*100</f>
        <v>78.021978021978029</v>
      </c>
    </row>
    <row r="136" spans="1:15" x14ac:dyDescent="0.3">
      <c r="A136" t="s">
        <v>17</v>
      </c>
      <c r="B136" t="s">
        <v>21</v>
      </c>
      <c r="C136" t="s">
        <v>10</v>
      </c>
      <c r="D136" t="s">
        <v>20</v>
      </c>
      <c r="E136" t="s">
        <v>15</v>
      </c>
      <c r="F136">
        <v>74</v>
      </c>
      <c r="G136">
        <v>79</v>
      </c>
      <c r="H136">
        <v>75</v>
      </c>
      <c r="I136">
        <f>StudentsTable[[#This Row],[math score]]+StudentsTable[[#This Row],[reading score]]+StudentsTable[[#This Row],[writing score]]</f>
        <v>228</v>
      </c>
      <c r="J136">
        <f>StudentsTable[[#This Row],[TotalScore]]/3</f>
        <v>76</v>
      </c>
      <c r="K136" t="str" cm="1">
        <f t="array" ref="K136">_xlfn.IFS(StudentsTable[[#This Row],[AverageScore]]&gt;=90,"A",StudentsTable[[#This Row],[AverageScore]]&gt;=80,"B",StudentsTable[[#This Row],[AverageScore]]&gt;=70,"C",StudentsTable[[#This Row],[AverageScore]]&gt;=60,"D",TRUE,"F")</f>
        <v>C</v>
      </c>
      <c r="L136" t="str">
        <f>IF(StudentsTable[[#This Row],[AverageScore]]&gt;=60,"Pass","Fail")</f>
        <v>Pass</v>
      </c>
      <c r="M136" t="str" cm="1">
        <f t="array" ref="M136">_xlfn.IFS(StudentsTable[[#This Row],[AverageScore]]&gt;=85,"Advanced",StudentsTable[[#This Row],[AverageScore]]&gt;=70,"Intermediate",StudentsTable[[#This Row],[AverageScore]]&gt;=60,"Basic",TRUE,"Needs Help")</f>
        <v>Intermediate</v>
      </c>
      <c r="N136">
        <f>RANK(StudentsTable[[#This Row],[AverageScore]],StudentsTable[AverageScore])</f>
        <v>288</v>
      </c>
      <c r="O136">
        <f>(StudentsTable[[#This Row],[AverageScore]]-MIN(StudentsTable[AverageScore]))/(MAX(StudentsTable[AverageScore])-MIN(StudentsTable[AverageScore]))*100</f>
        <v>73.626373626373635</v>
      </c>
    </row>
    <row r="137" spans="1:15" x14ac:dyDescent="0.3">
      <c r="A137" t="s">
        <v>17</v>
      </c>
      <c r="B137" t="s">
        <v>13</v>
      </c>
      <c r="C137" t="s">
        <v>10</v>
      </c>
      <c r="D137" t="s">
        <v>11</v>
      </c>
      <c r="E137" t="s">
        <v>12</v>
      </c>
      <c r="F137">
        <v>58</v>
      </c>
      <c r="G137">
        <v>55</v>
      </c>
      <c r="H137">
        <v>48</v>
      </c>
      <c r="I137">
        <f>StudentsTable[[#This Row],[math score]]+StudentsTable[[#This Row],[reading score]]+StudentsTable[[#This Row],[writing score]]</f>
        <v>161</v>
      </c>
      <c r="J137">
        <f>StudentsTable[[#This Row],[TotalScore]]/3</f>
        <v>53.666666666666664</v>
      </c>
      <c r="K137" t="str" cm="1">
        <f t="array" ref="K137">_xlfn.IFS(StudentsTable[[#This Row],[AverageScore]]&gt;=90,"A",StudentsTable[[#This Row],[AverageScore]]&gt;=80,"B",StudentsTable[[#This Row],[AverageScore]]&gt;=70,"C",StudentsTable[[#This Row],[AverageScore]]&gt;=60,"D",TRUE,"F")</f>
        <v>F</v>
      </c>
      <c r="L137" t="str">
        <f>IF(StudentsTable[[#This Row],[AverageScore]]&gt;=60,"Pass","Fail")</f>
        <v>Fail</v>
      </c>
      <c r="M137" t="str" cm="1">
        <f t="array" ref="M137">_xlfn.IFS(StudentsTable[[#This Row],[AverageScore]]&gt;=85,"Advanced",StudentsTable[[#This Row],[AverageScore]]&gt;=70,"Intermediate",StudentsTable[[#This Row],[AverageScore]]&gt;=60,"Basic",TRUE,"Needs Help")</f>
        <v>Needs Help</v>
      </c>
      <c r="N137">
        <f>RANK(StudentsTable[[#This Row],[AverageScore]],StudentsTable[AverageScore])</f>
        <v>830</v>
      </c>
      <c r="O137">
        <f>(StudentsTable[[#This Row],[AverageScore]]-MIN(StudentsTable[AverageScore]))/(MAX(StudentsTable[AverageScore])-MIN(StudentsTable[AverageScore]))*100</f>
        <v>49.08424908424908</v>
      </c>
    </row>
    <row r="138" spans="1:15" x14ac:dyDescent="0.3">
      <c r="A138" t="s">
        <v>17</v>
      </c>
      <c r="B138" t="s">
        <v>9</v>
      </c>
      <c r="C138" t="s">
        <v>23</v>
      </c>
      <c r="D138" t="s">
        <v>11</v>
      </c>
      <c r="E138" t="s">
        <v>15</v>
      </c>
      <c r="F138">
        <v>51</v>
      </c>
      <c r="G138">
        <v>54</v>
      </c>
      <c r="H138">
        <v>41</v>
      </c>
      <c r="I138">
        <f>StudentsTable[[#This Row],[math score]]+StudentsTable[[#This Row],[reading score]]+StudentsTable[[#This Row],[writing score]]</f>
        <v>146</v>
      </c>
      <c r="J138">
        <f>StudentsTable[[#This Row],[TotalScore]]/3</f>
        <v>48.666666666666664</v>
      </c>
      <c r="K138" t="str" cm="1">
        <f t="array" ref="K138">_xlfn.IFS(StudentsTable[[#This Row],[AverageScore]]&gt;=90,"A",StudentsTable[[#This Row],[AverageScore]]&gt;=80,"B",StudentsTable[[#This Row],[AverageScore]]&gt;=70,"C",StudentsTable[[#This Row],[AverageScore]]&gt;=60,"D",TRUE,"F")</f>
        <v>F</v>
      </c>
      <c r="L138" t="str">
        <f>IF(StudentsTable[[#This Row],[AverageScore]]&gt;=60,"Pass","Fail")</f>
        <v>Fail</v>
      </c>
      <c r="M138" t="str" cm="1">
        <f t="array" ref="M138">_xlfn.IFS(StudentsTable[[#This Row],[AverageScore]]&gt;=85,"Advanced",StudentsTable[[#This Row],[AverageScore]]&gt;=70,"Intermediate",StudentsTable[[#This Row],[AverageScore]]&gt;=60,"Basic",TRUE,"Needs Help")</f>
        <v>Needs Help</v>
      </c>
      <c r="N138">
        <f>RANK(StudentsTable[[#This Row],[AverageScore]],StudentsTable[AverageScore])</f>
        <v>911</v>
      </c>
      <c r="O138">
        <f>(StudentsTable[[#This Row],[AverageScore]]-MIN(StudentsTable[AverageScore]))/(MAX(StudentsTable[AverageScore])-MIN(StudentsTable[AverageScore]))*100</f>
        <v>43.589743589743584</v>
      </c>
    </row>
    <row r="139" spans="1:15" x14ac:dyDescent="0.3">
      <c r="A139" t="s">
        <v>17</v>
      </c>
      <c r="B139" t="s">
        <v>24</v>
      </c>
      <c r="C139" t="s">
        <v>22</v>
      </c>
      <c r="D139" t="s">
        <v>11</v>
      </c>
      <c r="E139" t="s">
        <v>12</v>
      </c>
      <c r="F139">
        <v>70</v>
      </c>
      <c r="G139">
        <v>55</v>
      </c>
      <c r="H139">
        <v>56</v>
      </c>
      <c r="I139">
        <f>StudentsTable[[#This Row],[math score]]+StudentsTable[[#This Row],[reading score]]+StudentsTable[[#This Row],[writing score]]</f>
        <v>181</v>
      </c>
      <c r="J139">
        <f>StudentsTable[[#This Row],[TotalScore]]/3</f>
        <v>60.333333333333336</v>
      </c>
      <c r="K139" t="str" cm="1">
        <f t="array" ref="K139">_xlfn.IFS(StudentsTable[[#This Row],[AverageScore]]&gt;=90,"A",StudentsTable[[#This Row],[AverageScore]]&gt;=80,"B",StudentsTable[[#This Row],[AverageScore]]&gt;=70,"C",StudentsTable[[#This Row],[AverageScore]]&gt;=60,"D",TRUE,"F")</f>
        <v>D</v>
      </c>
      <c r="L139" t="str">
        <f>IF(StudentsTable[[#This Row],[AverageScore]]&gt;=60,"Pass","Fail")</f>
        <v>Pass</v>
      </c>
      <c r="M139" t="str" cm="1">
        <f t="array" ref="M139">_xlfn.IFS(StudentsTable[[#This Row],[AverageScore]]&gt;=85,"Advanced",StudentsTable[[#This Row],[AverageScore]]&gt;=70,"Intermediate",StudentsTable[[#This Row],[AverageScore]]&gt;=60,"Basic",TRUE,"Needs Help")</f>
        <v>Basic</v>
      </c>
      <c r="N139">
        <f>RANK(StudentsTable[[#This Row],[AverageScore]],StudentsTable[AverageScore])</f>
        <v>700</v>
      </c>
      <c r="O139">
        <f>(StudentsTable[[#This Row],[AverageScore]]-MIN(StudentsTable[AverageScore]))/(MAX(StudentsTable[AverageScore])-MIN(StudentsTable[AverageScore]))*100</f>
        <v>56.410256410256409</v>
      </c>
    </row>
    <row r="140" spans="1:15" x14ac:dyDescent="0.3">
      <c r="A140" t="s">
        <v>8</v>
      </c>
      <c r="B140" t="s">
        <v>13</v>
      </c>
      <c r="C140" t="s">
        <v>19</v>
      </c>
      <c r="D140" t="s">
        <v>11</v>
      </c>
      <c r="E140" t="s">
        <v>12</v>
      </c>
      <c r="F140">
        <v>59</v>
      </c>
      <c r="G140">
        <v>66</v>
      </c>
      <c r="H140">
        <v>67</v>
      </c>
      <c r="I140">
        <f>StudentsTable[[#This Row],[math score]]+StudentsTable[[#This Row],[reading score]]+StudentsTable[[#This Row],[writing score]]</f>
        <v>192</v>
      </c>
      <c r="J140">
        <f>StudentsTable[[#This Row],[TotalScore]]/3</f>
        <v>64</v>
      </c>
      <c r="K140" t="str" cm="1">
        <f t="array" ref="K140">_xlfn.IFS(StudentsTable[[#This Row],[AverageScore]]&gt;=90,"A",StudentsTable[[#This Row],[AverageScore]]&gt;=80,"B",StudentsTable[[#This Row],[AverageScore]]&gt;=70,"C",StudentsTable[[#This Row],[AverageScore]]&gt;=60,"D",TRUE,"F")</f>
        <v>D</v>
      </c>
      <c r="L140" t="str">
        <f>IF(StudentsTable[[#This Row],[AverageScore]]&gt;=60,"Pass","Fail")</f>
        <v>Pass</v>
      </c>
      <c r="M140" t="str" cm="1">
        <f t="array" ref="M140">_xlfn.IFS(StudentsTable[[#This Row],[AverageScore]]&gt;=85,"Advanced",StudentsTable[[#This Row],[AverageScore]]&gt;=70,"Intermediate",StudentsTable[[#This Row],[AverageScore]]&gt;=60,"Basic",TRUE,"Needs Help")</f>
        <v>Basic</v>
      </c>
      <c r="N140">
        <f>RANK(StudentsTable[[#This Row],[AverageScore]],StudentsTable[AverageScore])</f>
        <v>623</v>
      </c>
      <c r="O140">
        <f>(StudentsTable[[#This Row],[AverageScore]]-MIN(StudentsTable[AverageScore]))/(MAX(StudentsTable[AverageScore])-MIN(StudentsTable[AverageScore]))*100</f>
        <v>60.439560439560438</v>
      </c>
    </row>
    <row r="141" spans="1:15" x14ac:dyDescent="0.3">
      <c r="A141" t="s">
        <v>17</v>
      </c>
      <c r="B141" t="s">
        <v>21</v>
      </c>
      <c r="C141" t="s">
        <v>14</v>
      </c>
      <c r="D141" t="s">
        <v>11</v>
      </c>
      <c r="E141" t="s">
        <v>15</v>
      </c>
      <c r="F141">
        <v>71</v>
      </c>
      <c r="G141">
        <v>61</v>
      </c>
      <c r="H141">
        <v>69</v>
      </c>
      <c r="I141">
        <f>StudentsTable[[#This Row],[math score]]+StudentsTable[[#This Row],[reading score]]+StudentsTable[[#This Row],[writing score]]</f>
        <v>201</v>
      </c>
      <c r="J141">
        <f>StudentsTable[[#This Row],[TotalScore]]/3</f>
        <v>67</v>
      </c>
      <c r="K141" t="str" cm="1">
        <f t="array" ref="K141">_xlfn.IFS(StudentsTable[[#This Row],[AverageScore]]&gt;=90,"A",StudentsTable[[#This Row],[AverageScore]]&gt;=80,"B",StudentsTable[[#This Row],[AverageScore]]&gt;=70,"C",StudentsTable[[#This Row],[AverageScore]]&gt;=60,"D",TRUE,"F")</f>
        <v>D</v>
      </c>
      <c r="L141" t="str">
        <f>IF(StudentsTable[[#This Row],[AverageScore]]&gt;=60,"Pass","Fail")</f>
        <v>Pass</v>
      </c>
      <c r="M141" t="str" cm="1">
        <f t="array" ref="M141">_xlfn.IFS(StudentsTable[[#This Row],[AverageScore]]&gt;=85,"Advanced",StudentsTable[[#This Row],[AverageScore]]&gt;=70,"Intermediate",StudentsTable[[#This Row],[AverageScore]]&gt;=60,"Basic",TRUE,"Needs Help")</f>
        <v>Basic</v>
      </c>
      <c r="N141">
        <f>RANK(StudentsTable[[#This Row],[AverageScore]],StudentsTable[AverageScore])</f>
        <v>540</v>
      </c>
      <c r="O141">
        <f>(StudentsTable[[#This Row],[AverageScore]]-MIN(StudentsTable[AverageScore]))/(MAX(StudentsTable[AverageScore])-MIN(StudentsTable[AverageScore]))*100</f>
        <v>63.73626373626373</v>
      </c>
    </row>
    <row r="142" spans="1:15" x14ac:dyDescent="0.3">
      <c r="A142" t="s">
        <v>8</v>
      </c>
      <c r="B142" t="s">
        <v>21</v>
      </c>
      <c r="C142" t="s">
        <v>23</v>
      </c>
      <c r="D142" t="s">
        <v>11</v>
      </c>
      <c r="E142" t="s">
        <v>12</v>
      </c>
      <c r="F142">
        <v>76</v>
      </c>
      <c r="G142">
        <v>72</v>
      </c>
      <c r="H142">
        <v>71</v>
      </c>
      <c r="I142">
        <f>StudentsTable[[#This Row],[math score]]+StudentsTable[[#This Row],[reading score]]+StudentsTable[[#This Row],[writing score]]</f>
        <v>219</v>
      </c>
      <c r="J142">
        <f>StudentsTable[[#This Row],[TotalScore]]/3</f>
        <v>73</v>
      </c>
      <c r="K142" t="str" cm="1">
        <f t="array" ref="K142">_xlfn.IFS(StudentsTable[[#This Row],[AverageScore]]&gt;=90,"A",StudentsTable[[#This Row],[AverageScore]]&gt;=80,"B",StudentsTable[[#This Row],[AverageScore]]&gt;=70,"C",StudentsTable[[#This Row],[AverageScore]]&gt;=60,"D",TRUE,"F")</f>
        <v>C</v>
      </c>
      <c r="L142" t="str">
        <f>IF(StudentsTable[[#This Row],[AverageScore]]&gt;=60,"Pass","Fail")</f>
        <v>Pass</v>
      </c>
      <c r="M142" t="str" cm="1">
        <f t="array" ref="M142">_xlfn.IFS(StudentsTable[[#This Row],[AverageScore]]&gt;=85,"Advanced",StudentsTable[[#This Row],[AverageScore]]&gt;=70,"Intermediate",StudentsTable[[#This Row],[AverageScore]]&gt;=60,"Basic",TRUE,"Needs Help")</f>
        <v>Intermediate</v>
      </c>
      <c r="N142">
        <f>RANK(StudentsTable[[#This Row],[AverageScore]],StudentsTable[AverageScore])</f>
        <v>367</v>
      </c>
      <c r="O142">
        <f>(StudentsTable[[#This Row],[AverageScore]]-MIN(StudentsTable[AverageScore]))/(MAX(StudentsTable[AverageScore])-MIN(StudentsTable[AverageScore]))*100</f>
        <v>70.329670329670336</v>
      </c>
    </row>
    <row r="143" spans="1:15" x14ac:dyDescent="0.3">
      <c r="A143" t="s">
        <v>8</v>
      </c>
      <c r="B143" t="s">
        <v>13</v>
      </c>
      <c r="C143" t="s">
        <v>14</v>
      </c>
      <c r="D143" t="s">
        <v>20</v>
      </c>
      <c r="E143" t="s">
        <v>12</v>
      </c>
      <c r="F143">
        <v>59</v>
      </c>
      <c r="G143">
        <v>62</v>
      </c>
      <c r="H143">
        <v>64</v>
      </c>
      <c r="I143">
        <f>StudentsTable[[#This Row],[math score]]+StudentsTable[[#This Row],[reading score]]+StudentsTable[[#This Row],[writing score]]</f>
        <v>185</v>
      </c>
      <c r="J143">
        <f>StudentsTable[[#This Row],[TotalScore]]/3</f>
        <v>61.666666666666664</v>
      </c>
      <c r="K143" t="str" cm="1">
        <f t="array" ref="K143">_xlfn.IFS(StudentsTable[[#This Row],[AverageScore]]&gt;=90,"A",StudentsTable[[#This Row],[AverageScore]]&gt;=80,"B",StudentsTable[[#This Row],[AverageScore]]&gt;=70,"C",StudentsTable[[#This Row],[AverageScore]]&gt;=60,"D",TRUE,"F")</f>
        <v>D</v>
      </c>
      <c r="L143" t="str">
        <f>IF(StudentsTable[[#This Row],[AverageScore]]&gt;=60,"Pass","Fail")</f>
        <v>Pass</v>
      </c>
      <c r="M143" t="str" cm="1">
        <f t="array" ref="M143">_xlfn.IFS(StudentsTable[[#This Row],[AverageScore]]&gt;=85,"Advanced",StudentsTable[[#This Row],[AverageScore]]&gt;=70,"Intermediate",StudentsTable[[#This Row],[AverageScore]]&gt;=60,"Basic",TRUE,"Needs Help")</f>
        <v>Basic</v>
      </c>
      <c r="N143">
        <f>RANK(StudentsTable[[#This Row],[AverageScore]],StudentsTable[AverageScore])</f>
        <v>671</v>
      </c>
      <c r="O143">
        <f>(StudentsTable[[#This Row],[AverageScore]]-MIN(StudentsTable[AverageScore]))/(MAX(StudentsTable[AverageScore])-MIN(StudentsTable[AverageScore]))*100</f>
        <v>57.875457875457869</v>
      </c>
    </row>
    <row r="144" spans="1:15" x14ac:dyDescent="0.3">
      <c r="A144" t="s">
        <v>8</v>
      </c>
      <c r="B144" t="s">
        <v>24</v>
      </c>
      <c r="C144" t="s">
        <v>14</v>
      </c>
      <c r="D144" t="s">
        <v>20</v>
      </c>
      <c r="E144" t="s">
        <v>15</v>
      </c>
      <c r="F144">
        <v>42</v>
      </c>
      <c r="G144">
        <v>55</v>
      </c>
      <c r="H144">
        <v>54</v>
      </c>
      <c r="I144">
        <f>StudentsTable[[#This Row],[math score]]+StudentsTable[[#This Row],[reading score]]+StudentsTable[[#This Row],[writing score]]</f>
        <v>151</v>
      </c>
      <c r="J144">
        <f>StudentsTable[[#This Row],[TotalScore]]/3</f>
        <v>50.333333333333336</v>
      </c>
      <c r="K144" t="str" cm="1">
        <f t="array" ref="K144">_xlfn.IFS(StudentsTable[[#This Row],[AverageScore]]&gt;=90,"A",StudentsTable[[#This Row],[AverageScore]]&gt;=80,"B",StudentsTable[[#This Row],[AverageScore]]&gt;=70,"C",StudentsTable[[#This Row],[AverageScore]]&gt;=60,"D",TRUE,"F")</f>
        <v>F</v>
      </c>
      <c r="L144" t="str">
        <f>IF(StudentsTable[[#This Row],[AverageScore]]&gt;=60,"Pass","Fail")</f>
        <v>Fail</v>
      </c>
      <c r="M144" t="str" cm="1">
        <f t="array" ref="M144">_xlfn.IFS(StudentsTable[[#This Row],[AverageScore]]&gt;=85,"Advanced",StudentsTable[[#This Row],[AverageScore]]&gt;=70,"Intermediate",StudentsTable[[#This Row],[AverageScore]]&gt;=60,"Basic",TRUE,"Needs Help")</f>
        <v>Needs Help</v>
      </c>
      <c r="N144">
        <f>RANK(StudentsTable[[#This Row],[AverageScore]],StudentsTable[AverageScore])</f>
        <v>884</v>
      </c>
      <c r="O144">
        <f>(StudentsTable[[#This Row],[AverageScore]]-MIN(StudentsTable[AverageScore]))/(MAX(StudentsTable[AverageScore])-MIN(StudentsTable[AverageScore]))*100</f>
        <v>45.421245421245423</v>
      </c>
    </row>
    <row r="145" spans="1:15" x14ac:dyDescent="0.3">
      <c r="A145" t="s">
        <v>17</v>
      </c>
      <c r="B145" t="s">
        <v>18</v>
      </c>
      <c r="C145" t="s">
        <v>22</v>
      </c>
      <c r="D145" t="s">
        <v>11</v>
      </c>
      <c r="E145" t="s">
        <v>12</v>
      </c>
      <c r="F145">
        <v>57</v>
      </c>
      <c r="G145">
        <v>43</v>
      </c>
      <c r="H145">
        <v>47</v>
      </c>
      <c r="I145">
        <f>StudentsTable[[#This Row],[math score]]+StudentsTable[[#This Row],[reading score]]+StudentsTable[[#This Row],[writing score]]</f>
        <v>147</v>
      </c>
      <c r="J145">
        <f>StudentsTable[[#This Row],[TotalScore]]/3</f>
        <v>49</v>
      </c>
      <c r="K145" t="str" cm="1">
        <f t="array" ref="K145">_xlfn.IFS(StudentsTable[[#This Row],[AverageScore]]&gt;=90,"A",StudentsTable[[#This Row],[AverageScore]]&gt;=80,"B",StudentsTable[[#This Row],[AverageScore]]&gt;=70,"C",StudentsTable[[#This Row],[AverageScore]]&gt;=60,"D",TRUE,"F")</f>
        <v>F</v>
      </c>
      <c r="L145" t="str">
        <f>IF(StudentsTable[[#This Row],[AverageScore]]&gt;=60,"Pass","Fail")</f>
        <v>Fail</v>
      </c>
      <c r="M145" t="str" cm="1">
        <f t="array" ref="M145">_xlfn.IFS(StudentsTable[[#This Row],[AverageScore]]&gt;=85,"Advanced",StudentsTable[[#This Row],[AverageScore]]&gt;=70,"Intermediate",StudentsTable[[#This Row],[AverageScore]]&gt;=60,"Basic",TRUE,"Needs Help")</f>
        <v>Needs Help</v>
      </c>
      <c r="N145">
        <f>RANK(StudentsTable[[#This Row],[AverageScore]],StudentsTable[AverageScore])</f>
        <v>905</v>
      </c>
      <c r="O145">
        <f>(StudentsTable[[#This Row],[AverageScore]]-MIN(StudentsTable[AverageScore]))/(MAX(StudentsTable[AverageScore])-MIN(StudentsTable[AverageScore]))*100</f>
        <v>43.956043956043956</v>
      </c>
    </row>
    <row r="146" spans="1:15" x14ac:dyDescent="0.3">
      <c r="A146" t="s">
        <v>17</v>
      </c>
      <c r="B146" t="s">
        <v>21</v>
      </c>
      <c r="C146" t="s">
        <v>14</v>
      </c>
      <c r="D146" t="s">
        <v>11</v>
      </c>
      <c r="E146" t="s">
        <v>12</v>
      </c>
      <c r="F146">
        <v>88</v>
      </c>
      <c r="G146">
        <v>73</v>
      </c>
      <c r="H146">
        <v>78</v>
      </c>
      <c r="I146">
        <f>StudentsTable[[#This Row],[math score]]+StudentsTable[[#This Row],[reading score]]+StudentsTable[[#This Row],[writing score]]</f>
        <v>239</v>
      </c>
      <c r="J146">
        <f>StudentsTable[[#This Row],[TotalScore]]/3</f>
        <v>79.666666666666671</v>
      </c>
      <c r="K146" t="str" cm="1">
        <f t="array" ref="K146">_xlfn.IFS(StudentsTable[[#This Row],[AverageScore]]&gt;=90,"A",StudentsTable[[#This Row],[AverageScore]]&gt;=80,"B",StudentsTable[[#This Row],[AverageScore]]&gt;=70,"C",StudentsTable[[#This Row],[AverageScore]]&gt;=60,"D",TRUE,"F")</f>
        <v>C</v>
      </c>
      <c r="L146" t="str">
        <f>IF(StudentsTable[[#This Row],[AverageScore]]&gt;=60,"Pass","Fail")</f>
        <v>Pass</v>
      </c>
      <c r="M146" t="str" cm="1">
        <f t="array" ref="M146">_xlfn.IFS(StudentsTable[[#This Row],[AverageScore]]&gt;=85,"Advanced",StudentsTable[[#This Row],[AverageScore]]&gt;=70,"Intermediate",StudentsTable[[#This Row],[AverageScore]]&gt;=60,"Basic",TRUE,"Needs Help")</f>
        <v>Intermediate</v>
      </c>
      <c r="N146">
        <f>RANK(StudentsTable[[#This Row],[AverageScore]],StudentsTable[AverageScore])</f>
        <v>199</v>
      </c>
      <c r="O146">
        <f>(StudentsTable[[#This Row],[AverageScore]]-MIN(StudentsTable[AverageScore]))/(MAX(StudentsTable[AverageScore])-MIN(StudentsTable[AverageScore]))*100</f>
        <v>77.655677655677664</v>
      </c>
    </row>
    <row r="147" spans="1:15" x14ac:dyDescent="0.3">
      <c r="A147" t="s">
        <v>8</v>
      </c>
      <c r="B147" t="s">
        <v>13</v>
      </c>
      <c r="C147" t="s">
        <v>14</v>
      </c>
      <c r="D147" t="s">
        <v>20</v>
      </c>
      <c r="E147" t="s">
        <v>12</v>
      </c>
      <c r="F147">
        <v>22</v>
      </c>
      <c r="G147">
        <v>39</v>
      </c>
      <c r="H147">
        <v>33</v>
      </c>
      <c r="I147">
        <f>StudentsTable[[#This Row],[math score]]+StudentsTable[[#This Row],[reading score]]+StudentsTable[[#This Row],[writing score]]</f>
        <v>94</v>
      </c>
      <c r="J147">
        <f>StudentsTable[[#This Row],[TotalScore]]/3</f>
        <v>31.333333333333332</v>
      </c>
      <c r="K147" t="str" cm="1">
        <f t="array" ref="K147">_xlfn.IFS(StudentsTable[[#This Row],[AverageScore]]&gt;=90,"A",StudentsTable[[#This Row],[AverageScore]]&gt;=80,"B",StudentsTable[[#This Row],[AverageScore]]&gt;=70,"C",StudentsTable[[#This Row],[AverageScore]]&gt;=60,"D",TRUE,"F")</f>
        <v>F</v>
      </c>
      <c r="L147" t="str">
        <f>IF(StudentsTable[[#This Row],[AverageScore]]&gt;=60,"Pass","Fail")</f>
        <v>Fail</v>
      </c>
      <c r="M147" t="str" cm="1">
        <f t="array" ref="M147">_xlfn.IFS(StudentsTable[[#This Row],[AverageScore]]&gt;=85,"Advanced",StudentsTable[[#This Row],[AverageScore]]&gt;=70,"Intermediate",StudentsTable[[#This Row],[AverageScore]]&gt;=60,"Basic",TRUE,"Needs Help")</f>
        <v>Needs Help</v>
      </c>
      <c r="N147">
        <f>RANK(StudentsTable[[#This Row],[AverageScore]],StudentsTable[AverageScore])</f>
        <v>988</v>
      </c>
      <c r="O147">
        <f>(StudentsTable[[#This Row],[AverageScore]]-MIN(StudentsTable[AverageScore]))/(MAX(StudentsTable[AverageScore])-MIN(StudentsTable[AverageScore]))*100</f>
        <v>24.54212454212454</v>
      </c>
    </row>
    <row r="148" spans="1:15" x14ac:dyDescent="0.3">
      <c r="A148" t="s">
        <v>17</v>
      </c>
      <c r="B148" t="s">
        <v>9</v>
      </c>
      <c r="C148" t="s">
        <v>23</v>
      </c>
      <c r="D148" t="s">
        <v>11</v>
      </c>
      <c r="E148" t="s">
        <v>12</v>
      </c>
      <c r="F148">
        <v>88</v>
      </c>
      <c r="G148">
        <v>84</v>
      </c>
      <c r="H148">
        <v>75</v>
      </c>
      <c r="I148">
        <f>StudentsTable[[#This Row],[math score]]+StudentsTable[[#This Row],[reading score]]+StudentsTable[[#This Row],[writing score]]</f>
        <v>247</v>
      </c>
      <c r="J148">
        <f>StudentsTable[[#This Row],[TotalScore]]/3</f>
        <v>82.333333333333329</v>
      </c>
      <c r="K148" t="str" cm="1">
        <f t="array" ref="K148">_xlfn.IFS(StudentsTable[[#This Row],[AverageScore]]&gt;=90,"A",StudentsTable[[#This Row],[AverageScore]]&gt;=80,"B",StudentsTable[[#This Row],[AverageScore]]&gt;=70,"C",StudentsTable[[#This Row],[AverageScore]]&gt;=60,"D",TRUE,"F")</f>
        <v>B</v>
      </c>
      <c r="L148" t="str">
        <f>IF(StudentsTable[[#This Row],[AverageScore]]&gt;=60,"Pass","Fail")</f>
        <v>Pass</v>
      </c>
      <c r="M148" t="str" cm="1">
        <f t="array" ref="M148">_xlfn.IFS(StudentsTable[[#This Row],[AverageScore]]&gt;=85,"Advanced",StudentsTable[[#This Row],[AverageScore]]&gt;=70,"Intermediate",StudentsTable[[#This Row],[AverageScore]]&gt;=60,"Basic",TRUE,"Needs Help")</f>
        <v>Intermediate</v>
      </c>
      <c r="N148">
        <f>RANK(StudentsTable[[#This Row],[AverageScore]],StudentsTable[AverageScore])</f>
        <v>155</v>
      </c>
      <c r="O148">
        <f>(StudentsTable[[#This Row],[AverageScore]]-MIN(StudentsTable[AverageScore]))/(MAX(StudentsTable[AverageScore])-MIN(StudentsTable[AverageScore]))*100</f>
        <v>80.586080586080584</v>
      </c>
    </row>
    <row r="149" spans="1:15" x14ac:dyDescent="0.3">
      <c r="A149" t="s">
        <v>17</v>
      </c>
      <c r="B149" t="s">
        <v>13</v>
      </c>
      <c r="C149" t="s">
        <v>19</v>
      </c>
      <c r="D149" t="s">
        <v>20</v>
      </c>
      <c r="E149" t="s">
        <v>12</v>
      </c>
      <c r="F149">
        <v>73</v>
      </c>
      <c r="G149">
        <v>68</v>
      </c>
      <c r="H149">
        <v>66</v>
      </c>
      <c r="I149">
        <f>StudentsTable[[#This Row],[math score]]+StudentsTable[[#This Row],[reading score]]+StudentsTable[[#This Row],[writing score]]</f>
        <v>207</v>
      </c>
      <c r="J149">
        <f>StudentsTable[[#This Row],[TotalScore]]/3</f>
        <v>69</v>
      </c>
      <c r="K149" t="str" cm="1">
        <f t="array" ref="K149">_xlfn.IFS(StudentsTable[[#This Row],[AverageScore]]&gt;=90,"A",StudentsTable[[#This Row],[AverageScore]]&gt;=80,"B",StudentsTable[[#This Row],[AverageScore]]&gt;=70,"C",StudentsTable[[#This Row],[AverageScore]]&gt;=60,"D",TRUE,"F")</f>
        <v>D</v>
      </c>
      <c r="L149" t="str">
        <f>IF(StudentsTable[[#This Row],[AverageScore]]&gt;=60,"Pass","Fail")</f>
        <v>Pass</v>
      </c>
      <c r="M149" t="str" cm="1">
        <f t="array" ref="M149">_xlfn.IFS(StudentsTable[[#This Row],[AverageScore]]&gt;=85,"Advanced",StudentsTable[[#This Row],[AverageScore]]&gt;=70,"Intermediate",StudentsTable[[#This Row],[AverageScore]]&gt;=60,"Basic",TRUE,"Needs Help")</f>
        <v>Basic</v>
      </c>
      <c r="N149">
        <f>RANK(StudentsTable[[#This Row],[AverageScore]],StudentsTable[AverageScore])</f>
        <v>475</v>
      </c>
      <c r="O149">
        <f>(StudentsTable[[#This Row],[AverageScore]]-MIN(StudentsTable[AverageScore]))/(MAX(StudentsTable[AverageScore])-MIN(StudentsTable[AverageScore]))*100</f>
        <v>65.934065934065927</v>
      </c>
    </row>
    <row r="150" spans="1:15" x14ac:dyDescent="0.3">
      <c r="A150" t="s">
        <v>8</v>
      </c>
      <c r="B150" t="s">
        <v>21</v>
      </c>
      <c r="C150" t="s">
        <v>10</v>
      </c>
      <c r="D150" t="s">
        <v>11</v>
      </c>
      <c r="E150" t="s">
        <v>15</v>
      </c>
      <c r="F150">
        <v>68</v>
      </c>
      <c r="G150">
        <v>75</v>
      </c>
      <c r="H150">
        <v>81</v>
      </c>
      <c r="I150">
        <f>StudentsTable[[#This Row],[math score]]+StudentsTable[[#This Row],[reading score]]+StudentsTable[[#This Row],[writing score]]</f>
        <v>224</v>
      </c>
      <c r="J150">
        <f>StudentsTable[[#This Row],[TotalScore]]/3</f>
        <v>74.666666666666671</v>
      </c>
      <c r="K150" t="str" cm="1">
        <f t="array" ref="K150">_xlfn.IFS(StudentsTable[[#This Row],[AverageScore]]&gt;=90,"A",StudentsTable[[#This Row],[AverageScore]]&gt;=80,"B",StudentsTable[[#This Row],[AverageScore]]&gt;=70,"C",StudentsTable[[#This Row],[AverageScore]]&gt;=60,"D",TRUE,"F")</f>
        <v>C</v>
      </c>
      <c r="L150" t="str">
        <f>IF(StudentsTable[[#This Row],[AverageScore]]&gt;=60,"Pass","Fail")</f>
        <v>Pass</v>
      </c>
      <c r="M150" t="str" cm="1">
        <f t="array" ref="M150">_xlfn.IFS(StudentsTable[[#This Row],[AverageScore]]&gt;=85,"Advanced",StudentsTable[[#This Row],[AverageScore]]&gt;=70,"Intermediate",StudentsTable[[#This Row],[AverageScore]]&gt;=60,"Basic",TRUE,"Needs Help")</f>
        <v>Intermediate</v>
      </c>
      <c r="N150">
        <f>RANK(StudentsTable[[#This Row],[AverageScore]],StudentsTable[AverageScore])</f>
        <v>325</v>
      </c>
      <c r="O150">
        <f>(StudentsTable[[#This Row],[AverageScore]]-MIN(StudentsTable[AverageScore]))/(MAX(StudentsTable[AverageScore])-MIN(StudentsTable[AverageScore]))*100</f>
        <v>72.161172161172175</v>
      </c>
    </row>
    <row r="151" spans="1:15" x14ac:dyDescent="0.3">
      <c r="A151" t="s">
        <v>17</v>
      </c>
      <c r="B151" t="s">
        <v>24</v>
      </c>
      <c r="C151" t="s">
        <v>19</v>
      </c>
      <c r="D151" t="s">
        <v>20</v>
      </c>
      <c r="E151" t="s">
        <v>15</v>
      </c>
      <c r="F151">
        <v>100</v>
      </c>
      <c r="G151">
        <v>100</v>
      </c>
      <c r="H151">
        <v>93</v>
      </c>
      <c r="I151">
        <f>StudentsTable[[#This Row],[math score]]+StudentsTable[[#This Row],[reading score]]+StudentsTable[[#This Row],[writing score]]</f>
        <v>293</v>
      </c>
      <c r="J151">
        <f>StudentsTable[[#This Row],[TotalScore]]/3</f>
        <v>97.666666666666671</v>
      </c>
      <c r="K151" t="str" cm="1">
        <f t="array" ref="K151">_xlfn.IFS(StudentsTable[[#This Row],[AverageScore]]&gt;=90,"A",StudentsTable[[#This Row],[AverageScore]]&gt;=80,"B",StudentsTable[[#This Row],[AverageScore]]&gt;=70,"C",StudentsTable[[#This Row],[AverageScore]]&gt;=60,"D",TRUE,"F")</f>
        <v>A</v>
      </c>
      <c r="L151" t="str">
        <f>IF(StudentsTable[[#This Row],[AverageScore]]&gt;=60,"Pass","Fail")</f>
        <v>Pass</v>
      </c>
      <c r="M151" t="str" cm="1">
        <f t="array" ref="M151">_xlfn.IFS(StudentsTable[[#This Row],[AverageScore]]&gt;=85,"Advanced",StudentsTable[[#This Row],[AverageScore]]&gt;=70,"Intermediate",StudentsTable[[#This Row],[AverageScore]]&gt;=60,"Basic",TRUE,"Needs Help")</f>
        <v>Advanced</v>
      </c>
      <c r="N151">
        <f>RANK(StudentsTable[[#This Row],[AverageScore]],StudentsTable[AverageScore])</f>
        <v>9</v>
      </c>
      <c r="O151">
        <f>(StudentsTable[[#This Row],[AverageScore]]-MIN(StudentsTable[AverageScore]))/(MAX(StudentsTable[AverageScore])-MIN(StudentsTable[AverageScore]))*100</f>
        <v>97.435897435897445</v>
      </c>
    </row>
    <row r="152" spans="1:15" x14ac:dyDescent="0.3">
      <c r="A152" t="s">
        <v>17</v>
      </c>
      <c r="B152" t="s">
        <v>18</v>
      </c>
      <c r="C152" t="s">
        <v>23</v>
      </c>
      <c r="D152" t="s">
        <v>11</v>
      </c>
      <c r="E152" t="s">
        <v>15</v>
      </c>
      <c r="F152">
        <v>62</v>
      </c>
      <c r="G152">
        <v>67</v>
      </c>
      <c r="H152">
        <v>69</v>
      </c>
      <c r="I152">
        <f>StudentsTable[[#This Row],[math score]]+StudentsTable[[#This Row],[reading score]]+StudentsTable[[#This Row],[writing score]]</f>
        <v>198</v>
      </c>
      <c r="J152">
        <f>StudentsTable[[#This Row],[TotalScore]]/3</f>
        <v>66</v>
      </c>
      <c r="K152" t="str" cm="1">
        <f t="array" ref="K152">_xlfn.IFS(StudentsTable[[#This Row],[AverageScore]]&gt;=90,"A",StudentsTable[[#This Row],[AverageScore]]&gt;=80,"B",StudentsTable[[#This Row],[AverageScore]]&gt;=70,"C",StudentsTable[[#This Row],[AverageScore]]&gt;=60,"D",TRUE,"F")</f>
        <v>D</v>
      </c>
      <c r="L152" t="str">
        <f>IF(StudentsTable[[#This Row],[AverageScore]]&gt;=60,"Pass","Fail")</f>
        <v>Pass</v>
      </c>
      <c r="M152" t="str" cm="1">
        <f t="array" ref="M152">_xlfn.IFS(StudentsTable[[#This Row],[AverageScore]]&gt;=85,"Advanced",StudentsTable[[#This Row],[AverageScore]]&gt;=70,"Intermediate",StudentsTable[[#This Row],[AverageScore]]&gt;=60,"Basic",TRUE,"Needs Help")</f>
        <v>Basic</v>
      </c>
      <c r="N152">
        <f>RANK(StudentsTable[[#This Row],[AverageScore]],StudentsTable[AverageScore])</f>
        <v>562</v>
      </c>
      <c r="O152">
        <f>(StudentsTable[[#This Row],[AverageScore]]-MIN(StudentsTable[AverageScore]))/(MAX(StudentsTable[AverageScore])-MIN(StudentsTable[AverageScore]))*100</f>
        <v>62.637362637362635</v>
      </c>
    </row>
    <row r="153" spans="1:15" x14ac:dyDescent="0.3">
      <c r="A153" t="s">
        <v>17</v>
      </c>
      <c r="B153" t="s">
        <v>18</v>
      </c>
      <c r="C153" t="s">
        <v>10</v>
      </c>
      <c r="D153" t="s">
        <v>11</v>
      </c>
      <c r="E153" t="s">
        <v>12</v>
      </c>
      <c r="F153">
        <v>77</v>
      </c>
      <c r="G153">
        <v>67</v>
      </c>
      <c r="H153">
        <v>68</v>
      </c>
      <c r="I153">
        <f>StudentsTable[[#This Row],[math score]]+StudentsTable[[#This Row],[reading score]]+StudentsTable[[#This Row],[writing score]]</f>
        <v>212</v>
      </c>
      <c r="J153">
        <f>StudentsTable[[#This Row],[TotalScore]]/3</f>
        <v>70.666666666666671</v>
      </c>
      <c r="K153" t="str" cm="1">
        <f t="array" ref="K153">_xlfn.IFS(StudentsTable[[#This Row],[AverageScore]]&gt;=90,"A",StudentsTable[[#This Row],[AverageScore]]&gt;=80,"B",StudentsTable[[#This Row],[AverageScore]]&gt;=70,"C",StudentsTable[[#This Row],[AverageScore]]&gt;=60,"D",TRUE,"F")</f>
        <v>C</v>
      </c>
      <c r="L153" t="str">
        <f>IF(StudentsTable[[#This Row],[AverageScore]]&gt;=60,"Pass","Fail")</f>
        <v>Pass</v>
      </c>
      <c r="M153" t="str" cm="1">
        <f t="array" ref="M153">_xlfn.IFS(StudentsTable[[#This Row],[AverageScore]]&gt;=85,"Advanced",StudentsTable[[#This Row],[AverageScore]]&gt;=70,"Intermediate",StudentsTable[[#This Row],[AverageScore]]&gt;=60,"Basic",TRUE,"Needs Help")</f>
        <v>Intermediate</v>
      </c>
      <c r="N153">
        <f>RANK(StudentsTable[[#This Row],[AverageScore]],StudentsTable[AverageScore])</f>
        <v>435</v>
      </c>
      <c r="O153">
        <f>(StudentsTable[[#This Row],[AverageScore]]-MIN(StudentsTable[AverageScore]))/(MAX(StudentsTable[AverageScore])-MIN(StudentsTable[AverageScore]))*100</f>
        <v>67.765567765567766</v>
      </c>
    </row>
    <row r="154" spans="1:15" x14ac:dyDescent="0.3">
      <c r="A154" t="s">
        <v>8</v>
      </c>
      <c r="B154" t="s">
        <v>9</v>
      </c>
      <c r="C154" t="s">
        <v>19</v>
      </c>
      <c r="D154" t="s">
        <v>11</v>
      </c>
      <c r="E154" t="s">
        <v>15</v>
      </c>
      <c r="F154">
        <v>59</v>
      </c>
      <c r="G154">
        <v>70</v>
      </c>
      <c r="H154">
        <v>66</v>
      </c>
      <c r="I154">
        <f>StudentsTable[[#This Row],[math score]]+StudentsTable[[#This Row],[reading score]]+StudentsTable[[#This Row],[writing score]]</f>
        <v>195</v>
      </c>
      <c r="J154">
        <f>StudentsTable[[#This Row],[TotalScore]]/3</f>
        <v>65</v>
      </c>
      <c r="K154" t="str" cm="1">
        <f t="array" ref="K154">_xlfn.IFS(StudentsTable[[#This Row],[AverageScore]]&gt;=90,"A",StudentsTable[[#This Row],[AverageScore]]&gt;=80,"B",StudentsTable[[#This Row],[AverageScore]]&gt;=70,"C",StudentsTable[[#This Row],[AverageScore]]&gt;=60,"D",TRUE,"F")</f>
        <v>D</v>
      </c>
      <c r="L154" t="str">
        <f>IF(StudentsTable[[#This Row],[AverageScore]]&gt;=60,"Pass","Fail")</f>
        <v>Pass</v>
      </c>
      <c r="M154" t="str" cm="1">
        <f t="array" ref="M154">_xlfn.IFS(StudentsTable[[#This Row],[AverageScore]]&gt;=85,"Advanced",StudentsTable[[#This Row],[AverageScore]]&gt;=70,"Intermediate",StudentsTable[[#This Row],[AverageScore]]&gt;=60,"Basic",TRUE,"Needs Help")</f>
        <v>Basic</v>
      </c>
      <c r="N154">
        <f>RANK(StudentsTable[[#This Row],[AverageScore]],StudentsTable[AverageScore])</f>
        <v>593</v>
      </c>
      <c r="O154">
        <f>(StudentsTable[[#This Row],[AverageScore]]-MIN(StudentsTable[AverageScore]))/(MAX(StudentsTable[AverageScore])-MIN(StudentsTable[AverageScore]))*100</f>
        <v>61.53846153846154</v>
      </c>
    </row>
    <row r="155" spans="1:15" x14ac:dyDescent="0.3">
      <c r="A155" t="s">
        <v>17</v>
      </c>
      <c r="B155" t="s">
        <v>21</v>
      </c>
      <c r="C155" t="s">
        <v>10</v>
      </c>
      <c r="D155" t="s">
        <v>11</v>
      </c>
      <c r="E155" t="s">
        <v>12</v>
      </c>
      <c r="F155">
        <v>54</v>
      </c>
      <c r="G155">
        <v>49</v>
      </c>
      <c r="H155">
        <v>47</v>
      </c>
      <c r="I155">
        <f>StudentsTable[[#This Row],[math score]]+StudentsTable[[#This Row],[reading score]]+StudentsTable[[#This Row],[writing score]]</f>
        <v>150</v>
      </c>
      <c r="J155">
        <f>StudentsTable[[#This Row],[TotalScore]]/3</f>
        <v>50</v>
      </c>
      <c r="K155" t="str" cm="1">
        <f t="array" ref="K155">_xlfn.IFS(StudentsTable[[#This Row],[AverageScore]]&gt;=90,"A",StudentsTable[[#This Row],[AverageScore]]&gt;=80,"B",StudentsTable[[#This Row],[AverageScore]]&gt;=70,"C",StudentsTable[[#This Row],[AverageScore]]&gt;=60,"D",TRUE,"F")</f>
        <v>F</v>
      </c>
      <c r="L155" t="str">
        <f>IF(StudentsTable[[#This Row],[AverageScore]]&gt;=60,"Pass","Fail")</f>
        <v>Fail</v>
      </c>
      <c r="M155" t="str" cm="1">
        <f t="array" ref="M155">_xlfn.IFS(StudentsTable[[#This Row],[AverageScore]]&gt;=85,"Advanced",StudentsTable[[#This Row],[AverageScore]]&gt;=70,"Intermediate",StudentsTable[[#This Row],[AverageScore]]&gt;=60,"Basic",TRUE,"Needs Help")</f>
        <v>Needs Help</v>
      </c>
      <c r="N155">
        <f>RANK(StudentsTable[[#This Row],[AverageScore]],StudentsTable[AverageScore])</f>
        <v>892</v>
      </c>
      <c r="O155">
        <f>(StudentsTable[[#This Row],[AverageScore]]-MIN(StudentsTable[AverageScore]))/(MAX(StudentsTable[AverageScore])-MIN(StudentsTable[AverageScore]))*100</f>
        <v>45.054945054945058</v>
      </c>
    </row>
    <row r="156" spans="1:15" x14ac:dyDescent="0.3">
      <c r="A156" t="s">
        <v>17</v>
      </c>
      <c r="B156" t="s">
        <v>21</v>
      </c>
      <c r="C156" t="s">
        <v>23</v>
      </c>
      <c r="D156" t="s">
        <v>11</v>
      </c>
      <c r="E156" t="s">
        <v>12</v>
      </c>
      <c r="F156">
        <v>62</v>
      </c>
      <c r="G156">
        <v>67</v>
      </c>
      <c r="H156">
        <v>61</v>
      </c>
      <c r="I156">
        <f>StudentsTable[[#This Row],[math score]]+StudentsTable[[#This Row],[reading score]]+StudentsTable[[#This Row],[writing score]]</f>
        <v>190</v>
      </c>
      <c r="J156">
        <f>StudentsTable[[#This Row],[TotalScore]]/3</f>
        <v>63.333333333333336</v>
      </c>
      <c r="K156" t="str" cm="1">
        <f t="array" ref="K156">_xlfn.IFS(StudentsTable[[#This Row],[AverageScore]]&gt;=90,"A",StudentsTable[[#This Row],[AverageScore]]&gt;=80,"B",StudentsTable[[#This Row],[AverageScore]]&gt;=70,"C",StudentsTable[[#This Row],[AverageScore]]&gt;=60,"D",TRUE,"F")</f>
        <v>D</v>
      </c>
      <c r="L156" t="str">
        <f>IF(StudentsTable[[#This Row],[AverageScore]]&gt;=60,"Pass","Fail")</f>
        <v>Pass</v>
      </c>
      <c r="M156" t="str" cm="1">
        <f t="array" ref="M156">_xlfn.IFS(StudentsTable[[#This Row],[AverageScore]]&gt;=85,"Advanced",StudentsTable[[#This Row],[AverageScore]]&gt;=70,"Intermediate",StudentsTable[[#This Row],[AverageScore]]&gt;=60,"Basic",TRUE,"Needs Help")</f>
        <v>Basic</v>
      </c>
      <c r="N156">
        <f>RANK(StudentsTable[[#This Row],[AverageScore]],StudentsTable[AverageScore])</f>
        <v>641</v>
      </c>
      <c r="O156">
        <f>(StudentsTable[[#This Row],[AverageScore]]-MIN(StudentsTable[AverageScore]))/(MAX(StudentsTable[AverageScore])-MIN(StudentsTable[AverageScore]))*100</f>
        <v>59.706959706959708</v>
      </c>
    </row>
    <row r="157" spans="1:15" x14ac:dyDescent="0.3">
      <c r="A157" t="s">
        <v>8</v>
      </c>
      <c r="B157" t="s">
        <v>13</v>
      </c>
      <c r="C157" t="s">
        <v>14</v>
      </c>
      <c r="D157" t="s">
        <v>11</v>
      </c>
      <c r="E157" t="s">
        <v>15</v>
      </c>
      <c r="F157">
        <v>70</v>
      </c>
      <c r="G157">
        <v>89</v>
      </c>
      <c r="H157">
        <v>88</v>
      </c>
      <c r="I157">
        <f>StudentsTable[[#This Row],[math score]]+StudentsTable[[#This Row],[reading score]]+StudentsTable[[#This Row],[writing score]]</f>
        <v>247</v>
      </c>
      <c r="J157">
        <f>StudentsTable[[#This Row],[TotalScore]]/3</f>
        <v>82.333333333333329</v>
      </c>
      <c r="K157" t="str" cm="1">
        <f t="array" ref="K157">_xlfn.IFS(StudentsTable[[#This Row],[AverageScore]]&gt;=90,"A",StudentsTable[[#This Row],[AverageScore]]&gt;=80,"B",StudentsTable[[#This Row],[AverageScore]]&gt;=70,"C",StudentsTable[[#This Row],[AverageScore]]&gt;=60,"D",TRUE,"F")</f>
        <v>B</v>
      </c>
      <c r="L157" t="str">
        <f>IF(StudentsTable[[#This Row],[AverageScore]]&gt;=60,"Pass","Fail")</f>
        <v>Pass</v>
      </c>
      <c r="M157" t="str" cm="1">
        <f t="array" ref="M157">_xlfn.IFS(StudentsTable[[#This Row],[AverageScore]]&gt;=85,"Advanced",StudentsTable[[#This Row],[AverageScore]]&gt;=70,"Intermediate",StudentsTable[[#This Row],[AverageScore]]&gt;=60,"Basic",TRUE,"Needs Help")</f>
        <v>Intermediate</v>
      </c>
      <c r="N157">
        <f>RANK(StudentsTable[[#This Row],[AverageScore]],StudentsTable[AverageScore])</f>
        <v>155</v>
      </c>
      <c r="O157">
        <f>(StudentsTable[[#This Row],[AverageScore]]-MIN(StudentsTable[AverageScore]))/(MAX(StudentsTable[AverageScore])-MIN(StudentsTable[AverageScore]))*100</f>
        <v>80.586080586080584</v>
      </c>
    </row>
    <row r="158" spans="1:15" x14ac:dyDescent="0.3">
      <c r="A158" t="s">
        <v>8</v>
      </c>
      <c r="B158" t="s">
        <v>24</v>
      </c>
      <c r="C158" t="s">
        <v>22</v>
      </c>
      <c r="D158" t="s">
        <v>20</v>
      </c>
      <c r="E158" t="s">
        <v>15</v>
      </c>
      <c r="F158">
        <v>66</v>
      </c>
      <c r="G158">
        <v>74</v>
      </c>
      <c r="H158">
        <v>78</v>
      </c>
      <c r="I158">
        <f>StudentsTable[[#This Row],[math score]]+StudentsTable[[#This Row],[reading score]]+StudentsTable[[#This Row],[writing score]]</f>
        <v>218</v>
      </c>
      <c r="J158">
        <f>StudentsTable[[#This Row],[TotalScore]]/3</f>
        <v>72.666666666666671</v>
      </c>
      <c r="K158" t="str" cm="1">
        <f t="array" ref="K158">_xlfn.IFS(StudentsTable[[#This Row],[AverageScore]]&gt;=90,"A",StudentsTable[[#This Row],[AverageScore]]&gt;=80,"B",StudentsTable[[#This Row],[AverageScore]]&gt;=70,"C",StudentsTable[[#This Row],[AverageScore]]&gt;=60,"D",TRUE,"F")</f>
        <v>C</v>
      </c>
      <c r="L158" t="str">
        <f>IF(StudentsTable[[#This Row],[AverageScore]]&gt;=60,"Pass","Fail")</f>
        <v>Pass</v>
      </c>
      <c r="M158" t="str" cm="1">
        <f t="array" ref="M158">_xlfn.IFS(StudentsTable[[#This Row],[AverageScore]]&gt;=85,"Advanced",StudentsTable[[#This Row],[AverageScore]]&gt;=70,"Intermediate",StudentsTable[[#This Row],[AverageScore]]&gt;=60,"Basic",TRUE,"Needs Help")</f>
        <v>Intermediate</v>
      </c>
      <c r="N158">
        <f>RANK(StudentsTable[[#This Row],[AverageScore]],StudentsTable[AverageScore])</f>
        <v>379</v>
      </c>
      <c r="O158">
        <f>(StudentsTable[[#This Row],[AverageScore]]-MIN(StudentsTable[AverageScore]))/(MAX(StudentsTable[AverageScore])-MIN(StudentsTable[AverageScore]))*100</f>
        <v>69.963369963369971</v>
      </c>
    </row>
    <row r="159" spans="1:15" x14ac:dyDescent="0.3">
      <c r="A159" t="s">
        <v>17</v>
      </c>
      <c r="B159" t="s">
        <v>9</v>
      </c>
      <c r="C159" t="s">
        <v>14</v>
      </c>
      <c r="D159" t="s">
        <v>20</v>
      </c>
      <c r="E159" t="s">
        <v>12</v>
      </c>
      <c r="F159">
        <v>60</v>
      </c>
      <c r="G159">
        <v>60</v>
      </c>
      <c r="H159">
        <v>60</v>
      </c>
      <c r="I159">
        <f>StudentsTable[[#This Row],[math score]]+StudentsTable[[#This Row],[reading score]]+StudentsTable[[#This Row],[writing score]]</f>
        <v>180</v>
      </c>
      <c r="J159">
        <f>StudentsTable[[#This Row],[TotalScore]]/3</f>
        <v>60</v>
      </c>
      <c r="K159" t="str" cm="1">
        <f t="array" ref="K159">_xlfn.IFS(StudentsTable[[#This Row],[AverageScore]]&gt;=90,"A",StudentsTable[[#This Row],[AverageScore]]&gt;=80,"B",StudentsTable[[#This Row],[AverageScore]]&gt;=70,"C",StudentsTable[[#This Row],[AverageScore]]&gt;=60,"D",TRUE,"F")</f>
        <v>D</v>
      </c>
      <c r="L159" t="str">
        <f>IF(StudentsTable[[#This Row],[AverageScore]]&gt;=60,"Pass","Fail")</f>
        <v>Pass</v>
      </c>
      <c r="M159" t="str" cm="1">
        <f t="array" ref="M159">_xlfn.IFS(StudentsTable[[#This Row],[AverageScore]]&gt;=85,"Advanced",StudentsTable[[#This Row],[AverageScore]]&gt;=70,"Intermediate",StudentsTable[[#This Row],[AverageScore]]&gt;=60,"Basic",TRUE,"Needs Help")</f>
        <v>Basic</v>
      </c>
      <c r="N159">
        <f>RANK(StudentsTable[[#This Row],[AverageScore]],StudentsTable[AverageScore])</f>
        <v>708</v>
      </c>
      <c r="O159">
        <f>(StudentsTable[[#This Row],[AverageScore]]-MIN(StudentsTable[AverageScore]))/(MAX(StudentsTable[AverageScore])-MIN(StudentsTable[AverageScore]))*100</f>
        <v>56.043956043956044</v>
      </c>
    </row>
    <row r="160" spans="1:15" x14ac:dyDescent="0.3">
      <c r="A160" t="s">
        <v>8</v>
      </c>
      <c r="B160" t="s">
        <v>9</v>
      </c>
      <c r="C160" t="s">
        <v>19</v>
      </c>
      <c r="D160" t="s">
        <v>11</v>
      </c>
      <c r="E160" t="s">
        <v>15</v>
      </c>
      <c r="F160">
        <v>61</v>
      </c>
      <c r="G160">
        <v>86</v>
      </c>
      <c r="H160">
        <v>87</v>
      </c>
      <c r="I160">
        <f>StudentsTable[[#This Row],[math score]]+StudentsTable[[#This Row],[reading score]]+StudentsTable[[#This Row],[writing score]]</f>
        <v>234</v>
      </c>
      <c r="J160">
        <f>StudentsTable[[#This Row],[TotalScore]]/3</f>
        <v>78</v>
      </c>
      <c r="K160" t="str" cm="1">
        <f t="array" ref="K160">_xlfn.IFS(StudentsTable[[#This Row],[AverageScore]]&gt;=90,"A",StudentsTable[[#This Row],[AverageScore]]&gt;=80,"B",StudentsTable[[#This Row],[AverageScore]]&gt;=70,"C",StudentsTable[[#This Row],[AverageScore]]&gt;=60,"D",TRUE,"F")</f>
        <v>C</v>
      </c>
      <c r="L160" t="str">
        <f>IF(StudentsTable[[#This Row],[AverageScore]]&gt;=60,"Pass","Fail")</f>
        <v>Pass</v>
      </c>
      <c r="M160" t="str" cm="1">
        <f t="array" ref="M160">_xlfn.IFS(StudentsTable[[#This Row],[AverageScore]]&gt;=85,"Advanced",StudentsTable[[#This Row],[AverageScore]]&gt;=70,"Intermediate",StudentsTable[[#This Row],[AverageScore]]&gt;=60,"Basic",TRUE,"Needs Help")</f>
        <v>Intermediate</v>
      </c>
      <c r="N160">
        <f>RANK(StudentsTable[[#This Row],[AverageScore]],StudentsTable[AverageScore])</f>
        <v>240</v>
      </c>
      <c r="O160">
        <f>(StudentsTable[[#This Row],[AverageScore]]-MIN(StudentsTable[AverageScore]))/(MAX(StudentsTable[AverageScore])-MIN(StudentsTable[AverageScore]))*100</f>
        <v>75.824175824175825</v>
      </c>
    </row>
    <row r="161" spans="1:15" x14ac:dyDescent="0.3">
      <c r="A161" t="s">
        <v>17</v>
      </c>
      <c r="B161" t="s">
        <v>21</v>
      </c>
      <c r="C161" t="s">
        <v>19</v>
      </c>
      <c r="D161" t="s">
        <v>20</v>
      </c>
      <c r="E161" t="s">
        <v>12</v>
      </c>
      <c r="F161">
        <v>66</v>
      </c>
      <c r="G161">
        <v>62</v>
      </c>
      <c r="H161">
        <v>64</v>
      </c>
      <c r="I161">
        <f>StudentsTable[[#This Row],[math score]]+StudentsTable[[#This Row],[reading score]]+StudentsTable[[#This Row],[writing score]]</f>
        <v>192</v>
      </c>
      <c r="J161">
        <f>StudentsTable[[#This Row],[TotalScore]]/3</f>
        <v>64</v>
      </c>
      <c r="K161" t="str" cm="1">
        <f t="array" ref="K161">_xlfn.IFS(StudentsTable[[#This Row],[AverageScore]]&gt;=90,"A",StudentsTable[[#This Row],[AverageScore]]&gt;=80,"B",StudentsTable[[#This Row],[AverageScore]]&gt;=70,"C",StudentsTable[[#This Row],[AverageScore]]&gt;=60,"D",TRUE,"F")</f>
        <v>D</v>
      </c>
      <c r="L161" t="str">
        <f>IF(StudentsTable[[#This Row],[AverageScore]]&gt;=60,"Pass","Fail")</f>
        <v>Pass</v>
      </c>
      <c r="M161" t="str" cm="1">
        <f t="array" ref="M161">_xlfn.IFS(StudentsTable[[#This Row],[AverageScore]]&gt;=85,"Advanced",StudentsTable[[#This Row],[AverageScore]]&gt;=70,"Intermediate",StudentsTable[[#This Row],[AverageScore]]&gt;=60,"Basic",TRUE,"Needs Help")</f>
        <v>Basic</v>
      </c>
      <c r="N161">
        <f>RANK(StudentsTable[[#This Row],[AverageScore]],StudentsTable[AverageScore])</f>
        <v>623</v>
      </c>
      <c r="O161">
        <f>(StudentsTable[[#This Row],[AverageScore]]-MIN(StudentsTable[AverageScore]))/(MAX(StudentsTable[AverageScore])-MIN(StudentsTable[AverageScore]))*100</f>
        <v>60.439560439560438</v>
      </c>
    </row>
    <row r="162" spans="1:15" x14ac:dyDescent="0.3">
      <c r="A162" t="s">
        <v>17</v>
      </c>
      <c r="B162" t="s">
        <v>9</v>
      </c>
      <c r="C162" t="s">
        <v>19</v>
      </c>
      <c r="D162" t="s">
        <v>20</v>
      </c>
      <c r="E162" t="s">
        <v>15</v>
      </c>
      <c r="F162">
        <v>82</v>
      </c>
      <c r="G162">
        <v>78</v>
      </c>
      <c r="H162">
        <v>74</v>
      </c>
      <c r="I162">
        <f>StudentsTable[[#This Row],[math score]]+StudentsTable[[#This Row],[reading score]]+StudentsTable[[#This Row],[writing score]]</f>
        <v>234</v>
      </c>
      <c r="J162">
        <f>StudentsTable[[#This Row],[TotalScore]]/3</f>
        <v>78</v>
      </c>
      <c r="K162" t="str" cm="1">
        <f t="array" ref="K162">_xlfn.IFS(StudentsTable[[#This Row],[AverageScore]]&gt;=90,"A",StudentsTable[[#This Row],[AverageScore]]&gt;=80,"B",StudentsTable[[#This Row],[AverageScore]]&gt;=70,"C",StudentsTable[[#This Row],[AverageScore]]&gt;=60,"D",TRUE,"F")</f>
        <v>C</v>
      </c>
      <c r="L162" t="str">
        <f>IF(StudentsTable[[#This Row],[AverageScore]]&gt;=60,"Pass","Fail")</f>
        <v>Pass</v>
      </c>
      <c r="M162" t="str" cm="1">
        <f t="array" ref="M162">_xlfn.IFS(StudentsTable[[#This Row],[AverageScore]]&gt;=85,"Advanced",StudentsTable[[#This Row],[AverageScore]]&gt;=70,"Intermediate",StudentsTable[[#This Row],[AverageScore]]&gt;=60,"Basic",TRUE,"Needs Help")</f>
        <v>Intermediate</v>
      </c>
      <c r="N162">
        <f>RANK(StudentsTable[[#This Row],[AverageScore]],StudentsTable[AverageScore])</f>
        <v>240</v>
      </c>
      <c r="O162">
        <f>(StudentsTable[[#This Row],[AverageScore]]-MIN(StudentsTable[AverageScore]))/(MAX(StudentsTable[AverageScore])-MIN(StudentsTable[AverageScore]))*100</f>
        <v>75.824175824175825</v>
      </c>
    </row>
    <row r="163" spans="1:15" x14ac:dyDescent="0.3">
      <c r="A163" t="s">
        <v>8</v>
      </c>
      <c r="B163" t="s">
        <v>24</v>
      </c>
      <c r="C163" t="s">
        <v>14</v>
      </c>
      <c r="D163" t="s">
        <v>20</v>
      </c>
      <c r="E163" t="s">
        <v>15</v>
      </c>
      <c r="F163">
        <v>75</v>
      </c>
      <c r="G163">
        <v>88</v>
      </c>
      <c r="H163">
        <v>85</v>
      </c>
      <c r="I163">
        <f>StudentsTable[[#This Row],[math score]]+StudentsTable[[#This Row],[reading score]]+StudentsTable[[#This Row],[writing score]]</f>
        <v>248</v>
      </c>
      <c r="J163">
        <f>StudentsTable[[#This Row],[TotalScore]]/3</f>
        <v>82.666666666666671</v>
      </c>
      <c r="K163" t="str" cm="1">
        <f t="array" ref="K163">_xlfn.IFS(StudentsTable[[#This Row],[AverageScore]]&gt;=90,"A",StudentsTable[[#This Row],[AverageScore]]&gt;=80,"B",StudentsTable[[#This Row],[AverageScore]]&gt;=70,"C",StudentsTable[[#This Row],[AverageScore]]&gt;=60,"D",TRUE,"F")</f>
        <v>B</v>
      </c>
      <c r="L163" t="str">
        <f>IF(StudentsTable[[#This Row],[AverageScore]]&gt;=60,"Pass","Fail")</f>
        <v>Pass</v>
      </c>
      <c r="M163" t="str" cm="1">
        <f t="array" ref="M163">_xlfn.IFS(StudentsTable[[#This Row],[AverageScore]]&gt;=85,"Advanced",StudentsTable[[#This Row],[AverageScore]]&gt;=70,"Intermediate",StudentsTable[[#This Row],[AverageScore]]&gt;=60,"Basic",TRUE,"Needs Help")</f>
        <v>Intermediate</v>
      </c>
      <c r="N163">
        <f>RANK(StudentsTable[[#This Row],[AverageScore]],StudentsTable[AverageScore])</f>
        <v>149</v>
      </c>
      <c r="O163">
        <f>(StudentsTable[[#This Row],[AverageScore]]-MIN(StudentsTable[AverageScore]))/(MAX(StudentsTable[AverageScore])-MIN(StudentsTable[AverageScore]))*100</f>
        <v>80.952380952380949</v>
      </c>
    </row>
    <row r="164" spans="1:15" x14ac:dyDescent="0.3">
      <c r="A164" t="s">
        <v>17</v>
      </c>
      <c r="B164" t="s">
        <v>9</v>
      </c>
      <c r="C164" t="s">
        <v>16</v>
      </c>
      <c r="D164" t="s">
        <v>20</v>
      </c>
      <c r="E164" t="s">
        <v>12</v>
      </c>
      <c r="F164">
        <v>49</v>
      </c>
      <c r="G164">
        <v>53</v>
      </c>
      <c r="H164">
        <v>52</v>
      </c>
      <c r="I164">
        <f>StudentsTable[[#This Row],[math score]]+StudentsTable[[#This Row],[reading score]]+StudentsTable[[#This Row],[writing score]]</f>
        <v>154</v>
      </c>
      <c r="J164">
        <f>StudentsTable[[#This Row],[TotalScore]]/3</f>
        <v>51.333333333333336</v>
      </c>
      <c r="K164" t="str" cm="1">
        <f t="array" ref="K164">_xlfn.IFS(StudentsTable[[#This Row],[AverageScore]]&gt;=90,"A",StudentsTable[[#This Row],[AverageScore]]&gt;=80,"B",StudentsTable[[#This Row],[AverageScore]]&gt;=70,"C",StudentsTable[[#This Row],[AverageScore]]&gt;=60,"D",TRUE,"F")</f>
        <v>F</v>
      </c>
      <c r="L164" t="str">
        <f>IF(StudentsTable[[#This Row],[AverageScore]]&gt;=60,"Pass","Fail")</f>
        <v>Fail</v>
      </c>
      <c r="M164" t="str" cm="1">
        <f t="array" ref="M164">_xlfn.IFS(StudentsTable[[#This Row],[AverageScore]]&gt;=85,"Advanced",StudentsTable[[#This Row],[AverageScore]]&gt;=70,"Intermediate",StudentsTable[[#This Row],[AverageScore]]&gt;=60,"Basic",TRUE,"Needs Help")</f>
        <v>Needs Help</v>
      </c>
      <c r="N164">
        <f>RANK(StudentsTable[[#This Row],[AverageScore]],StudentsTable[AverageScore])</f>
        <v>870</v>
      </c>
      <c r="O164">
        <f>(StudentsTable[[#This Row],[AverageScore]]-MIN(StudentsTable[AverageScore]))/(MAX(StudentsTable[AverageScore])-MIN(StudentsTable[AverageScore]))*100</f>
        <v>46.520146520146518</v>
      </c>
    </row>
    <row r="165" spans="1:15" x14ac:dyDescent="0.3">
      <c r="A165" t="s">
        <v>17</v>
      </c>
      <c r="B165" t="s">
        <v>13</v>
      </c>
      <c r="C165" t="s">
        <v>22</v>
      </c>
      <c r="D165" t="s">
        <v>11</v>
      </c>
      <c r="E165" t="s">
        <v>12</v>
      </c>
      <c r="F165">
        <v>52</v>
      </c>
      <c r="G165">
        <v>53</v>
      </c>
      <c r="H165">
        <v>49</v>
      </c>
      <c r="I165">
        <f>StudentsTable[[#This Row],[math score]]+StudentsTable[[#This Row],[reading score]]+StudentsTable[[#This Row],[writing score]]</f>
        <v>154</v>
      </c>
      <c r="J165">
        <f>StudentsTable[[#This Row],[TotalScore]]/3</f>
        <v>51.333333333333336</v>
      </c>
      <c r="K165" t="str" cm="1">
        <f t="array" ref="K165">_xlfn.IFS(StudentsTable[[#This Row],[AverageScore]]&gt;=90,"A",StudentsTable[[#This Row],[AverageScore]]&gt;=80,"B",StudentsTable[[#This Row],[AverageScore]]&gt;=70,"C",StudentsTable[[#This Row],[AverageScore]]&gt;=60,"D",TRUE,"F")</f>
        <v>F</v>
      </c>
      <c r="L165" t="str">
        <f>IF(StudentsTable[[#This Row],[AverageScore]]&gt;=60,"Pass","Fail")</f>
        <v>Fail</v>
      </c>
      <c r="M165" t="str" cm="1">
        <f t="array" ref="M165">_xlfn.IFS(StudentsTable[[#This Row],[AverageScore]]&gt;=85,"Advanced",StudentsTable[[#This Row],[AverageScore]]&gt;=70,"Intermediate",StudentsTable[[#This Row],[AverageScore]]&gt;=60,"Basic",TRUE,"Needs Help")</f>
        <v>Needs Help</v>
      </c>
      <c r="N165">
        <f>RANK(StudentsTable[[#This Row],[AverageScore]],StudentsTable[AverageScore])</f>
        <v>870</v>
      </c>
      <c r="O165">
        <f>(StudentsTable[[#This Row],[AverageScore]]-MIN(StudentsTable[AverageScore]))/(MAX(StudentsTable[AverageScore])-MIN(StudentsTable[AverageScore]))*100</f>
        <v>46.520146520146518</v>
      </c>
    </row>
    <row r="166" spans="1:15" x14ac:dyDescent="0.3">
      <c r="A166" t="s">
        <v>8</v>
      </c>
      <c r="B166" t="s">
        <v>24</v>
      </c>
      <c r="C166" t="s">
        <v>16</v>
      </c>
      <c r="D166" t="s">
        <v>11</v>
      </c>
      <c r="E166" t="s">
        <v>12</v>
      </c>
      <c r="F166">
        <v>81</v>
      </c>
      <c r="G166">
        <v>92</v>
      </c>
      <c r="H166">
        <v>91</v>
      </c>
      <c r="I166">
        <f>StudentsTable[[#This Row],[math score]]+StudentsTable[[#This Row],[reading score]]+StudentsTable[[#This Row],[writing score]]</f>
        <v>264</v>
      </c>
      <c r="J166">
        <f>StudentsTable[[#This Row],[TotalScore]]/3</f>
        <v>88</v>
      </c>
      <c r="K166" t="str" cm="1">
        <f t="array" ref="K166">_xlfn.IFS(StudentsTable[[#This Row],[AverageScore]]&gt;=90,"A",StudentsTable[[#This Row],[AverageScore]]&gt;=80,"B",StudentsTable[[#This Row],[AverageScore]]&gt;=70,"C",StudentsTable[[#This Row],[AverageScore]]&gt;=60,"D",TRUE,"F")</f>
        <v>B</v>
      </c>
      <c r="L166" t="str">
        <f>IF(StudentsTable[[#This Row],[AverageScore]]&gt;=60,"Pass","Fail")</f>
        <v>Pass</v>
      </c>
      <c r="M166" t="str" cm="1">
        <f t="array" ref="M166">_xlfn.IFS(StudentsTable[[#This Row],[AverageScore]]&gt;=85,"Advanced",StudentsTable[[#This Row],[AverageScore]]&gt;=70,"Intermediate",StudentsTable[[#This Row],[AverageScore]]&gt;=60,"Basic",TRUE,"Needs Help")</f>
        <v>Advanced</v>
      </c>
      <c r="N166">
        <f>RANK(StudentsTable[[#This Row],[AverageScore]],StudentsTable[AverageScore])</f>
        <v>74</v>
      </c>
      <c r="O166">
        <f>(StudentsTable[[#This Row],[AverageScore]]-MIN(StudentsTable[AverageScore]))/(MAX(StudentsTable[AverageScore])-MIN(StudentsTable[AverageScore]))*100</f>
        <v>86.813186813186817</v>
      </c>
    </row>
    <row r="167" spans="1:15" x14ac:dyDescent="0.3">
      <c r="A167" t="s">
        <v>8</v>
      </c>
      <c r="B167" t="s">
        <v>13</v>
      </c>
      <c r="C167" t="s">
        <v>10</v>
      </c>
      <c r="D167" t="s">
        <v>11</v>
      </c>
      <c r="E167" t="s">
        <v>15</v>
      </c>
      <c r="F167">
        <v>96</v>
      </c>
      <c r="G167">
        <v>100</v>
      </c>
      <c r="H167">
        <v>100</v>
      </c>
      <c r="I167">
        <f>StudentsTable[[#This Row],[math score]]+StudentsTable[[#This Row],[reading score]]+StudentsTable[[#This Row],[writing score]]</f>
        <v>296</v>
      </c>
      <c r="J167">
        <f>StudentsTable[[#This Row],[TotalScore]]/3</f>
        <v>98.666666666666671</v>
      </c>
      <c r="K167" t="str" cm="1">
        <f t="array" ref="K167">_xlfn.IFS(StudentsTable[[#This Row],[AverageScore]]&gt;=90,"A",StudentsTable[[#This Row],[AverageScore]]&gt;=80,"B",StudentsTable[[#This Row],[AverageScore]]&gt;=70,"C",StudentsTable[[#This Row],[AverageScore]]&gt;=60,"D",TRUE,"F")</f>
        <v>A</v>
      </c>
      <c r="L167" t="str">
        <f>IF(StudentsTable[[#This Row],[AverageScore]]&gt;=60,"Pass","Fail")</f>
        <v>Pass</v>
      </c>
      <c r="M167" t="str" cm="1">
        <f t="array" ref="M167">_xlfn.IFS(StudentsTable[[#This Row],[AverageScore]]&gt;=85,"Advanced",StudentsTable[[#This Row],[AverageScore]]&gt;=70,"Intermediate",StudentsTable[[#This Row],[AverageScore]]&gt;=60,"Basic",TRUE,"Needs Help")</f>
        <v>Advanced</v>
      </c>
      <c r="N167">
        <f>RANK(StudentsTable[[#This Row],[AverageScore]],StudentsTable[AverageScore])</f>
        <v>7</v>
      </c>
      <c r="O167">
        <f>(StudentsTable[[#This Row],[AverageScore]]-MIN(StudentsTable[AverageScore]))/(MAX(StudentsTable[AverageScore])-MIN(StudentsTable[AverageScore]))*100</f>
        <v>98.53479853479854</v>
      </c>
    </row>
    <row r="168" spans="1:15" x14ac:dyDescent="0.3">
      <c r="A168" t="s">
        <v>17</v>
      </c>
      <c r="B168" t="s">
        <v>13</v>
      </c>
      <c r="C168" t="s">
        <v>22</v>
      </c>
      <c r="D168" t="s">
        <v>20</v>
      </c>
      <c r="E168" t="s">
        <v>15</v>
      </c>
      <c r="F168">
        <v>53</v>
      </c>
      <c r="G168">
        <v>51</v>
      </c>
      <c r="H168">
        <v>51</v>
      </c>
      <c r="I168">
        <f>StudentsTable[[#This Row],[math score]]+StudentsTable[[#This Row],[reading score]]+StudentsTable[[#This Row],[writing score]]</f>
        <v>155</v>
      </c>
      <c r="J168">
        <f>StudentsTable[[#This Row],[TotalScore]]/3</f>
        <v>51.666666666666664</v>
      </c>
      <c r="K168" t="str" cm="1">
        <f t="array" ref="K168">_xlfn.IFS(StudentsTable[[#This Row],[AverageScore]]&gt;=90,"A",StudentsTable[[#This Row],[AverageScore]]&gt;=80,"B",StudentsTable[[#This Row],[AverageScore]]&gt;=70,"C",StudentsTable[[#This Row],[AverageScore]]&gt;=60,"D",TRUE,"F")</f>
        <v>F</v>
      </c>
      <c r="L168" t="str">
        <f>IF(StudentsTable[[#This Row],[AverageScore]]&gt;=60,"Pass","Fail")</f>
        <v>Fail</v>
      </c>
      <c r="M168" t="str" cm="1">
        <f t="array" ref="M168">_xlfn.IFS(StudentsTable[[#This Row],[AverageScore]]&gt;=85,"Advanced",StudentsTable[[#This Row],[AverageScore]]&gt;=70,"Intermediate",StudentsTable[[#This Row],[AverageScore]]&gt;=60,"Basic",TRUE,"Needs Help")</f>
        <v>Needs Help</v>
      </c>
      <c r="N168">
        <f>RANK(StudentsTable[[#This Row],[AverageScore]],StudentsTable[AverageScore])</f>
        <v>860</v>
      </c>
      <c r="O168">
        <f>(StudentsTable[[#This Row],[AverageScore]]-MIN(StudentsTable[AverageScore]))/(MAX(StudentsTable[AverageScore])-MIN(StudentsTable[AverageScore]))*100</f>
        <v>46.886446886446883</v>
      </c>
    </row>
    <row r="169" spans="1:15" x14ac:dyDescent="0.3">
      <c r="A169" t="s">
        <v>8</v>
      </c>
      <c r="B169" t="s">
        <v>9</v>
      </c>
      <c r="C169" t="s">
        <v>16</v>
      </c>
      <c r="D169" t="s">
        <v>20</v>
      </c>
      <c r="E169" t="s">
        <v>15</v>
      </c>
      <c r="F169">
        <v>58</v>
      </c>
      <c r="G169">
        <v>76</v>
      </c>
      <c r="H169">
        <v>78</v>
      </c>
      <c r="I169">
        <f>StudentsTable[[#This Row],[math score]]+StudentsTable[[#This Row],[reading score]]+StudentsTable[[#This Row],[writing score]]</f>
        <v>212</v>
      </c>
      <c r="J169">
        <f>StudentsTable[[#This Row],[TotalScore]]/3</f>
        <v>70.666666666666671</v>
      </c>
      <c r="K169" t="str" cm="1">
        <f t="array" ref="K169">_xlfn.IFS(StudentsTable[[#This Row],[AverageScore]]&gt;=90,"A",StudentsTable[[#This Row],[AverageScore]]&gt;=80,"B",StudentsTable[[#This Row],[AverageScore]]&gt;=70,"C",StudentsTable[[#This Row],[AverageScore]]&gt;=60,"D",TRUE,"F")</f>
        <v>C</v>
      </c>
      <c r="L169" t="str">
        <f>IF(StudentsTable[[#This Row],[AverageScore]]&gt;=60,"Pass","Fail")</f>
        <v>Pass</v>
      </c>
      <c r="M169" t="str" cm="1">
        <f t="array" ref="M169">_xlfn.IFS(StudentsTable[[#This Row],[AverageScore]]&gt;=85,"Advanced",StudentsTable[[#This Row],[AverageScore]]&gt;=70,"Intermediate",StudentsTable[[#This Row],[AverageScore]]&gt;=60,"Basic",TRUE,"Needs Help")</f>
        <v>Intermediate</v>
      </c>
      <c r="N169">
        <f>RANK(StudentsTable[[#This Row],[AverageScore]],StudentsTable[AverageScore])</f>
        <v>435</v>
      </c>
      <c r="O169">
        <f>(StudentsTable[[#This Row],[AverageScore]]-MIN(StudentsTable[AverageScore]))/(MAX(StudentsTable[AverageScore])-MIN(StudentsTable[AverageScore]))*100</f>
        <v>67.765567765567766</v>
      </c>
    </row>
    <row r="170" spans="1:15" x14ac:dyDescent="0.3">
      <c r="A170" t="s">
        <v>8</v>
      </c>
      <c r="B170" t="s">
        <v>9</v>
      </c>
      <c r="C170" t="s">
        <v>22</v>
      </c>
      <c r="D170" t="s">
        <v>11</v>
      </c>
      <c r="E170" t="s">
        <v>15</v>
      </c>
      <c r="F170">
        <v>68</v>
      </c>
      <c r="G170">
        <v>83</v>
      </c>
      <c r="H170">
        <v>78</v>
      </c>
      <c r="I170">
        <f>StudentsTable[[#This Row],[math score]]+StudentsTable[[#This Row],[reading score]]+StudentsTable[[#This Row],[writing score]]</f>
        <v>229</v>
      </c>
      <c r="J170">
        <f>StudentsTable[[#This Row],[TotalScore]]/3</f>
        <v>76.333333333333329</v>
      </c>
      <c r="K170" t="str" cm="1">
        <f t="array" ref="K170">_xlfn.IFS(StudentsTable[[#This Row],[AverageScore]]&gt;=90,"A",StudentsTable[[#This Row],[AverageScore]]&gt;=80,"B",StudentsTable[[#This Row],[AverageScore]]&gt;=70,"C",StudentsTable[[#This Row],[AverageScore]]&gt;=60,"D",TRUE,"F")</f>
        <v>C</v>
      </c>
      <c r="L170" t="str">
        <f>IF(StudentsTable[[#This Row],[AverageScore]]&gt;=60,"Pass","Fail")</f>
        <v>Pass</v>
      </c>
      <c r="M170" t="str" cm="1">
        <f t="array" ref="M170">_xlfn.IFS(StudentsTable[[#This Row],[AverageScore]]&gt;=85,"Advanced",StudentsTable[[#This Row],[AverageScore]]&gt;=70,"Intermediate",StudentsTable[[#This Row],[AverageScore]]&gt;=60,"Basic",TRUE,"Needs Help")</f>
        <v>Intermediate</v>
      </c>
      <c r="N170">
        <f>RANK(StudentsTable[[#This Row],[AverageScore]],StudentsTable[AverageScore])</f>
        <v>282</v>
      </c>
      <c r="O170">
        <f>(StudentsTable[[#This Row],[AverageScore]]-MIN(StudentsTable[AverageScore]))/(MAX(StudentsTable[AverageScore])-MIN(StudentsTable[AverageScore]))*100</f>
        <v>73.992673992673986</v>
      </c>
    </row>
    <row r="171" spans="1:15" x14ac:dyDescent="0.3">
      <c r="A171" t="s">
        <v>8</v>
      </c>
      <c r="B171" t="s">
        <v>13</v>
      </c>
      <c r="C171" t="s">
        <v>14</v>
      </c>
      <c r="D171" t="s">
        <v>20</v>
      </c>
      <c r="E171" t="s">
        <v>15</v>
      </c>
      <c r="F171">
        <v>67</v>
      </c>
      <c r="G171">
        <v>75</v>
      </c>
      <c r="H171">
        <v>70</v>
      </c>
      <c r="I171">
        <f>StudentsTable[[#This Row],[math score]]+StudentsTable[[#This Row],[reading score]]+StudentsTable[[#This Row],[writing score]]</f>
        <v>212</v>
      </c>
      <c r="J171">
        <f>StudentsTable[[#This Row],[TotalScore]]/3</f>
        <v>70.666666666666671</v>
      </c>
      <c r="K171" t="str" cm="1">
        <f t="array" ref="K171">_xlfn.IFS(StudentsTable[[#This Row],[AverageScore]]&gt;=90,"A",StudentsTable[[#This Row],[AverageScore]]&gt;=80,"B",StudentsTable[[#This Row],[AverageScore]]&gt;=70,"C",StudentsTable[[#This Row],[AverageScore]]&gt;=60,"D",TRUE,"F")</f>
        <v>C</v>
      </c>
      <c r="L171" t="str">
        <f>IF(StudentsTable[[#This Row],[AverageScore]]&gt;=60,"Pass","Fail")</f>
        <v>Pass</v>
      </c>
      <c r="M171" t="str" cm="1">
        <f t="array" ref="M171">_xlfn.IFS(StudentsTable[[#This Row],[AverageScore]]&gt;=85,"Advanced",StudentsTable[[#This Row],[AverageScore]]&gt;=70,"Intermediate",StudentsTable[[#This Row],[AverageScore]]&gt;=60,"Basic",TRUE,"Needs Help")</f>
        <v>Intermediate</v>
      </c>
      <c r="N171">
        <f>RANK(StudentsTable[[#This Row],[AverageScore]],StudentsTable[AverageScore])</f>
        <v>435</v>
      </c>
      <c r="O171">
        <f>(StudentsTable[[#This Row],[AverageScore]]-MIN(StudentsTable[AverageScore]))/(MAX(StudentsTable[AverageScore])-MIN(StudentsTable[AverageScore]))*100</f>
        <v>67.765567765567766</v>
      </c>
    </row>
    <row r="172" spans="1:15" x14ac:dyDescent="0.3">
      <c r="A172" t="s">
        <v>17</v>
      </c>
      <c r="B172" t="s">
        <v>18</v>
      </c>
      <c r="C172" t="s">
        <v>22</v>
      </c>
      <c r="D172" t="s">
        <v>11</v>
      </c>
      <c r="E172" t="s">
        <v>15</v>
      </c>
      <c r="F172">
        <v>72</v>
      </c>
      <c r="G172">
        <v>73</v>
      </c>
      <c r="H172">
        <v>74</v>
      </c>
      <c r="I172">
        <f>StudentsTable[[#This Row],[math score]]+StudentsTable[[#This Row],[reading score]]+StudentsTable[[#This Row],[writing score]]</f>
        <v>219</v>
      </c>
      <c r="J172">
        <f>StudentsTable[[#This Row],[TotalScore]]/3</f>
        <v>73</v>
      </c>
      <c r="K172" t="str" cm="1">
        <f t="array" ref="K172">_xlfn.IFS(StudentsTable[[#This Row],[AverageScore]]&gt;=90,"A",StudentsTable[[#This Row],[AverageScore]]&gt;=80,"B",StudentsTable[[#This Row],[AverageScore]]&gt;=70,"C",StudentsTable[[#This Row],[AverageScore]]&gt;=60,"D",TRUE,"F")</f>
        <v>C</v>
      </c>
      <c r="L172" t="str">
        <f>IF(StudentsTable[[#This Row],[AverageScore]]&gt;=60,"Pass","Fail")</f>
        <v>Pass</v>
      </c>
      <c r="M172" t="str" cm="1">
        <f t="array" ref="M172">_xlfn.IFS(StudentsTable[[#This Row],[AverageScore]]&gt;=85,"Advanced",StudentsTable[[#This Row],[AverageScore]]&gt;=70,"Intermediate",StudentsTable[[#This Row],[AverageScore]]&gt;=60,"Basic",TRUE,"Needs Help")</f>
        <v>Intermediate</v>
      </c>
      <c r="N172">
        <f>RANK(StudentsTable[[#This Row],[AverageScore]],StudentsTable[AverageScore])</f>
        <v>367</v>
      </c>
      <c r="O172">
        <f>(StudentsTable[[#This Row],[AverageScore]]-MIN(StudentsTable[AverageScore]))/(MAX(StudentsTable[AverageScore])-MIN(StudentsTable[AverageScore]))*100</f>
        <v>70.329670329670336</v>
      </c>
    </row>
    <row r="173" spans="1:15" x14ac:dyDescent="0.3">
      <c r="A173" t="s">
        <v>17</v>
      </c>
      <c r="B173" t="s">
        <v>24</v>
      </c>
      <c r="C173" t="s">
        <v>23</v>
      </c>
      <c r="D173" t="s">
        <v>11</v>
      </c>
      <c r="E173" t="s">
        <v>12</v>
      </c>
      <c r="F173">
        <v>94</v>
      </c>
      <c r="G173">
        <v>88</v>
      </c>
      <c r="H173">
        <v>78</v>
      </c>
      <c r="I173">
        <f>StudentsTable[[#This Row],[math score]]+StudentsTable[[#This Row],[reading score]]+StudentsTable[[#This Row],[writing score]]</f>
        <v>260</v>
      </c>
      <c r="J173">
        <f>StudentsTable[[#This Row],[TotalScore]]/3</f>
        <v>86.666666666666671</v>
      </c>
      <c r="K173" t="str" cm="1">
        <f t="array" ref="K173">_xlfn.IFS(StudentsTable[[#This Row],[AverageScore]]&gt;=90,"A",StudentsTable[[#This Row],[AverageScore]]&gt;=80,"B",StudentsTable[[#This Row],[AverageScore]]&gt;=70,"C",StudentsTable[[#This Row],[AverageScore]]&gt;=60,"D",TRUE,"F")</f>
        <v>B</v>
      </c>
      <c r="L173" t="str">
        <f>IF(StudentsTable[[#This Row],[AverageScore]]&gt;=60,"Pass","Fail")</f>
        <v>Pass</v>
      </c>
      <c r="M173" t="str" cm="1">
        <f t="array" ref="M173">_xlfn.IFS(StudentsTable[[#This Row],[AverageScore]]&gt;=85,"Advanced",StudentsTable[[#This Row],[AverageScore]]&gt;=70,"Intermediate",StudentsTable[[#This Row],[AverageScore]]&gt;=60,"Basic",TRUE,"Needs Help")</f>
        <v>Advanced</v>
      </c>
      <c r="N173">
        <f>RANK(StudentsTable[[#This Row],[AverageScore]],StudentsTable[AverageScore])</f>
        <v>89</v>
      </c>
      <c r="O173">
        <f>(StudentsTable[[#This Row],[AverageScore]]-MIN(StudentsTable[AverageScore]))/(MAX(StudentsTable[AverageScore])-MIN(StudentsTable[AverageScore]))*100</f>
        <v>85.347985347985357</v>
      </c>
    </row>
    <row r="174" spans="1:15" x14ac:dyDescent="0.3">
      <c r="A174" t="s">
        <v>8</v>
      </c>
      <c r="B174" t="s">
        <v>21</v>
      </c>
      <c r="C174" t="s">
        <v>14</v>
      </c>
      <c r="D174" t="s">
        <v>11</v>
      </c>
      <c r="E174" t="s">
        <v>12</v>
      </c>
      <c r="F174">
        <v>79</v>
      </c>
      <c r="G174">
        <v>86</v>
      </c>
      <c r="H174">
        <v>81</v>
      </c>
      <c r="I174">
        <f>StudentsTable[[#This Row],[math score]]+StudentsTable[[#This Row],[reading score]]+StudentsTable[[#This Row],[writing score]]</f>
        <v>246</v>
      </c>
      <c r="J174">
        <f>StudentsTable[[#This Row],[TotalScore]]/3</f>
        <v>82</v>
      </c>
      <c r="K174" t="str" cm="1">
        <f t="array" ref="K174">_xlfn.IFS(StudentsTable[[#This Row],[AverageScore]]&gt;=90,"A",StudentsTable[[#This Row],[AverageScore]]&gt;=80,"B",StudentsTable[[#This Row],[AverageScore]]&gt;=70,"C",StudentsTable[[#This Row],[AverageScore]]&gt;=60,"D",TRUE,"F")</f>
        <v>B</v>
      </c>
      <c r="L174" t="str">
        <f>IF(StudentsTable[[#This Row],[AverageScore]]&gt;=60,"Pass","Fail")</f>
        <v>Pass</v>
      </c>
      <c r="M174" t="str" cm="1">
        <f t="array" ref="M174">_xlfn.IFS(StudentsTable[[#This Row],[AverageScore]]&gt;=85,"Advanced",StudentsTable[[#This Row],[AverageScore]]&gt;=70,"Intermediate",StudentsTable[[#This Row],[AverageScore]]&gt;=60,"Basic",TRUE,"Needs Help")</f>
        <v>Intermediate</v>
      </c>
      <c r="N174">
        <f>RANK(StudentsTable[[#This Row],[AverageScore]],StudentsTable[AverageScore])</f>
        <v>166</v>
      </c>
      <c r="O174">
        <f>(StudentsTable[[#This Row],[AverageScore]]-MIN(StudentsTable[AverageScore]))/(MAX(StudentsTable[AverageScore])-MIN(StudentsTable[AverageScore]))*100</f>
        <v>80.219780219780219</v>
      </c>
    </row>
    <row r="175" spans="1:15" x14ac:dyDescent="0.3">
      <c r="A175" t="s">
        <v>8</v>
      </c>
      <c r="B175" t="s">
        <v>13</v>
      </c>
      <c r="C175" t="s">
        <v>19</v>
      </c>
      <c r="D175" t="s">
        <v>11</v>
      </c>
      <c r="E175" t="s">
        <v>12</v>
      </c>
      <c r="F175">
        <v>63</v>
      </c>
      <c r="G175">
        <v>67</v>
      </c>
      <c r="H175">
        <v>70</v>
      </c>
      <c r="I175">
        <f>StudentsTable[[#This Row],[math score]]+StudentsTable[[#This Row],[reading score]]+StudentsTable[[#This Row],[writing score]]</f>
        <v>200</v>
      </c>
      <c r="J175">
        <f>StudentsTable[[#This Row],[TotalScore]]/3</f>
        <v>66.666666666666671</v>
      </c>
      <c r="K175" t="str" cm="1">
        <f t="array" ref="K175">_xlfn.IFS(StudentsTable[[#This Row],[AverageScore]]&gt;=90,"A",StudentsTable[[#This Row],[AverageScore]]&gt;=80,"B",StudentsTable[[#This Row],[AverageScore]]&gt;=70,"C",StudentsTable[[#This Row],[AverageScore]]&gt;=60,"D",TRUE,"F")</f>
        <v>D</v>
      </c>
      <c r="L175" t="str">
        <f>IF(StudentsTable[[#This Row],[AverageScore]]&gt;=60,"Pass","Fail")</f>
        <v>Pass</v>
      </c>
      <c r="M175" t="str" cm="1">
        <f t="array" ref="M175">_xlfn.IFS(StudentsTable[[#This Row],[AverageScore]]&gt;=85,"Advanced",StudentsTable[[#This Row],[AverageScore]]&gt;=70,"Intermediate",StudentsTable[[#This Row],[AverageScore]]&gt;=60,"Basic",TRUE,"Needs Help")</f>
        <v>Basic</v>
      </c>
      <c r="N175">
        <f>RANK(StudentsTable[[#This Row],[AverageScore]],StudentsTable[AverageScore])</f>
        <v>549</v>
      </c>
      <c r="O175">
        <f>(StudentsTable[[#This Row],[AverageScore]]-MIN(StudentsTable[AverageScore]))/(MAX(StudentsTable[AverageScore])-MIN(StudentsTable[AverageScore]))*100</f>
        <v>63.369963369963379</v>
      </c>
    </row>
    <row r="176" spans="1:15" x14ac:dyDescent="0.3">
      <c r="A176" t="s">
        <v>8</v>
      </c>
      <c r="B176" t="s">
        <v>13</v>
      </c>
      <c r="C176" t="s">
        <v>10</v>
      </c>
      <c r="D176" t="s">
        <v>20</v>
      </c>
      <c r="E176" t="s">
        <v>15</v>
      </c>
      <c r="F176">
        <v>43</v>
      </c>
      <c r="G176">
        <v>51</v>
      </c>
      <c r="H176">
        <v>54</v>
      </c>
      <c r="I176">
        <f>StudentsTable[[#This Row],[math score]]+StudentsTable[[#This Row],[reading score]]+StudentsTable[[#This Row],[writing score]]</f>
        <v>148</v>
      </c>
      <c r="J176">
        <f>StudentsTable[[#This Row],[TotalScore]]/3</f>
        <v>49.333333333333336</v>
      </c>
      <c r="K176" t="str" cm="1">
        <f t="array" ref="K176">_xlfn.IFS(StudentsTable[[#This Row],[AverageScore]]&gt;=90,"A",StudentsTable[[#This Row],[AverageScore]]&gt;=80,"B",StudentsTable[[#This Row],[AverageScore]]&gt;=70,"C",StudentsTable[[#This Row],[AverageScore]]&gt;=60,"D",TRUE,"F")</f>
        <v>F</v>
      </c>
      <c r="L176" t="str">
        <f>IF(StudentsTable[[#This Row],[AverageScore]]&gt;=60,"Pass","Fail")</f>
        <v>Fail</v>
      </c>
      <c r="M176" t="str" cm="1">
        <f t="array" ref="M176">_xlfn.IFS(StudentsTable[[#This Row],[AverageScore]]&gt;=85,"Advanced",StudentsTable[[#This Row],[AverageScore]]&gt;=70,"Intermediate",StudentsTable[[#This Row],[AverageScore]]&gt;=60,"Basic",TRUE,"Needs Help")</f>
        <v>Needs Help</v>
      </c>
      <c r="N176">
        <f>RANK(StudentsTable[[#This Row],[AverageScore]],StudentsTable[AverageScore])</f>
        <v>901</v>
      </c>
      <c r="O176">
        <f>(StudentsTable[[#This Row],[AverageScore]]-MIN(StudentsTable[AverageScore]))/(MAX(StudentsTable[AverageScore])-MIN(StudentsTable[AverageScore]))*100</f>
        <v>44.322344322344328</v>
      </c>
    </row>
    <row r="177" spans="1:15" x14ac:dyDescent="0.3">
      <c r="A177" t="s">
        <v>8</v>
      </c>
      <c r="B177" t="s">
        <v>13</v>
      </c>
      <c r="C177" t="s">
        <v>16</v>
      </c>
      <c r="D177" t="s">
        <v>11</v>
      </c>
      <c r="E177" t="s">
        <v>15</v>
      </c>
      <c r="F177">
        <v>81</v>
      </c>
      <c r="G177">
        <v>91</v>
      </c>
      <c r="H177">
        <v>87</v>
      </c>
      <c r="I177">
        <f>StudentsTable[[#This Row],[math score]]+StudentsTable[[#This Row],[reading score]]+StudentsTable[[#This Row],[writing score]]</f>
        <v>259</v>
      </c>
      <c r="J177">
        <f>StudentsTable[[#This Row],[TotalScore]]/3</f>
        <v>86.333333333333329</v>
      </c>
      <c r="K177" t="str" cm="1">
        <f t="array" ref="K177">_xlfn.IFS(StudentsTable[[#This Row],[AverageScore]]&gt;=90,"A",StudentsTable[[#This Row],[AverageScore]]&gt;=80,"B",StudentsTable[[#This Row],[AverageScore]]&gt;=70,"C",StudentsTable[[#This Row],[AverageScore]]&gt;=60,"D",TRUE,"F")</f>
        <v>B</v>
      </c>
      <c r="L177" t="str">
        <f>IF(StudentsTable[[#This Row],[AverageScore]]&gt;=60,"Pass","Fail")</f>
        <v>Pass</v>
      </c>
      <c r="M177" t="str" cm="1">
        <f t="array" ref="M177">_xlfn.IFS(StudentsTable[[#This Row],[AverageScore]]&gt;=85,"Advanced",StudentsTable[[#This Row],[AverageScore]]&gt;=70,"Intermediate",StudentsTable[[#This Row],[AverageScore]]&gt;=60,"Basic",TRUE,"Needs Help")</f>
        <v>Advanced</v>
      </c>
      <c r="N177">
        <f>RANK(StudentsTable[[#This Row],[AverageScore]],StudentsTable[AverageScore])</f>
        <v>93</v>
      </c>
      <c r="O177">
        <f>(StudentsTable[[#This Row],[AverageScore]]-MIN(StudentsTable[AverageScore]))/(MAX(StudentsTable[AverageScore])-MIN(StudentsTable[AverageScore]))*100</f>
        <v>84.981684981684978</v>
      </c>
    </row>
    <row r="178" spans="1:15" x14ac:dyDescent="0.3">
      <c r="A178" t="s">
        <v>8</v>
      </c>
      <c r="B178" t="s">
        <v>9</v>
      </c>
      <c r="C178" t="s">
        <v>22</v>
      </c>
      <c r="D178" t="s">
        <v>20</v>
      </c>
      <c r="E178" t="s">
        <v>15</v>
      </c>
      <c r="F178">
        <v>46</v>
      </c>
      <c r="G178">
        <v>54</v>
      </c>
      <c r="H178">
        <v>58</v>
      </c>
      <c r="I178">
        <f>StudentsTable[[#This Row],[math score]]+StudentsTable[[#This Row],[reading score]]+StudentsTable[[#This Row],[writing score]]</f>
        <v>158</v>
      </c>
      <c r="J178">
        <f>StudentsTable[[#This Row],[TotalScore]]/3</f>
        <v>52.666666666666664</v>
      </c>
      <c r="K178" t="str" cm="1">
        <f t="array" ref="K178">_xlfn.IFS(StudentsTable[[#This Row],[AverageScore]]&gt;=90,"A",StudentsTable[[#This Row],[AverageScore]]&gt;=80,"B",StudentsTable[[#This Row],[AverageScore]]&gt;=70,"C",StudentsTable[[#This Row],[AverageScore]]&gt;=60,"D",TRUE,"F")</f>
        <v>F</v>
      </c>
      <c r="L178" t="str">
        <f>IF(StudentsTable[[#This Row],[AverageScore]]&gt;=60,"Pass","Fail")</f>
        <v>Fail</v>
      </c>
      <c r="M178" t="str" cm="1">
        <f t="array" ref="M178">_xlfn.IFS(StudentsTable[[#This Row],[AverageScore]]&gt;=85,"Advanced",StudentsTable[[#This Row],[AverageScore]]&gt;=70,"Intermediate",StudentsTable[[#This Row],[AverageScore]]&gt;=60,"Basic",TRUE,"Needs Help")</f>
        <v>Needs Help</v>
      </c>
      <c r="N178">
        <f>RANK(StudentsTable[[#This Row],[AverageScore]],StudentsTable[AverageScore])</f>
        <v>843</v>
      </c>
      <c r="O178">
        <f>(StudentsTable[[#This Row],[AverageScore]]-MIN(StudentsTable[AverageScore]))/(MAX(StudentsTable[AverageScore])-MIN(StudentsTable[AverageScore]))*100</f>
        <v>47.985347985347978</v>
      </c>
    </row>
    <row r="179" spans="1:15" x14ac:dyDescent="0.3">
      <c r="A179" t="s">
        <v>8</v>
      </c>
      <c r="B179" t="s">
        <v>13</v>
      </c>
      <c r="C179" t="s">
        <v>19</v>
      </c>
      <c r="D179" t="s">
        <v>11</v>
      </c>
      <c r="E179" t="s">
        <v>15</v>
      </c>
      <c r="F179">
        <v>71</v>
      </c>
      <c r="G179">
        <v>77</v>
      </c>
      <c r="H179">
        <v>77</v>
      </c>
      <c r="I179">
        <f>StudentsTable[[#This Row],[math score]]+StudentsTable[[#This Row],[reading score]]+StudentsTable[[#This Row],[writing score]]</f>
        <v>225</v>
      </c>
      <c r="J179">
        <f>StudentsTable[[#This Row],[TotalScore]]/3</f>
        <v>75</v>
      </c>
      <c r="K179" t="str" cm="1">
        <f t="array" ref="K179">_xlfn.IFS(StudentsTable[[#This Row],[AverageScore]]&gt;=90,"A",StudentsTable[[#This Row],[AverageScore]]&gt;=80,"B",StudentsTable[[#This Row],[AverageScore]]&gt;=70,"C",StudentsTable[[#This Row],[AverageScore]]&gt;=60,"D",TRUE,"F")</f>
        <v>C</v>
      </c>
      <c r="L179" t="str">
        <f>IF(StudentsTable[[#This Row],[AverageScore]]&gt;=60,"Pass","Fail")</f>
        <v>Pass</v>
      </c>
      <c r="M179" t="str" cm="1">
        <f t="array" ref="M179">_xlfn.IFS(StudentsTable[[#This Row],[AverageScore]]&gt;=85,"Advanced",StudentsTable[[#This Row],[AverageScore]]&gt;=70,"Intermediate",StudentsTable[[#This Row],[AverageScore]]&gt;=60,"Basic",TRUE,"Needs Help")</f>
        <v>Intermediate</v>
      </c>
      <c r="N179">
        <f>RANK(StudentsTable[[#This Row],[AverageScore]],StudentsTable[AverageScore])</f>
        <v>314</v>
      </c>
      <c r="O179">
        <f>(StudentsTable[[#This Row],[AverageScore]]-MIN(StudentsTable[AverageScore]))/(MAX(StudentsTable[AverageScore])-MIN(StudentsTable[AverageScore]))*100</f>
        <v>72.527472527472526</v>
      </c>
    </row>
    <row r="180" spans="1:15" x14ac:dyDescent="0.3">
      <c r="A180" t="s">
        <v>8</v>
      </c>
      <c r="B180" t="s">
        <v>9</v>
      </c>
      <c r="C180" t="s">
        <v>16</v>
      </c>
      <c r="D180" t="s">
        <v>20</v>
      </c>
      <c r="E180" t="s">
        <v>15</v>
      </c>
      <c r="F180">
        <v>52</v>
      </c>
      <c r="G180">
        <v>70</v>
      </c>
      <c r="H180">
        <v>62</v>
      </c>
      <c r="I180">
        <f>StudentsTable[[#This Row],[math score]]+StudentsTable[[#This Row],[reading score]]+StudentsTable[[#This Row],[writing score]]</f>
        <v>184</v>
      </c>
      <c r="J180">
        <f>StudentsTable[[#This Row],[TotalScore]]/3</f>
        <v>61.333333333333336</v>
      </c>
      <c r="K180" t="str" cm="1">
        <f t="array" ref="K180">_xlfn.IFS(StudentsTable[[#This Row],[AverageScore]]&gt;=90,"A",StudentsTable[[#This Row],[AverageScore]]&gt;=80,"B",StudentsTable[[#This Row],[AverageScore]]&gt;=70,"C",StudentsTable[[#This Row],[AverageScore]]&gt;=60,"D",TRUE,"F")</f>
        <v>D</v>
      </c>
      <c r="L180" t="str">
        <f>IF(StudentsTable[[#This Row],[AverageScore]]&gt;=60,"Pass","Fail")</f>
        <v>Pass</v>
      </c>
      <c r="M180" t="str" cm="1">
        <f t="array" ref="M180">_xlfn.IFS(StudentsTable[[#This Row],[AverageScore]]&gt;=85,"Advanced",StudentsTable[[#This Row],[AverageScore]]&gt;=70,"Intermediate",StudentsTable[[#This Row],[AverageScore]]&gt;=60,"Basic",TRUE,"Needs Help")</f>
        <v>Basic</v>
      </c>
      <c r="N180">
        <f>RANK(StudentsTable[[#This Row],[AverageScore]],StudentsTable[AverageScore])</f>
        <v>678</v>
      </c>
      <c r="O180">
        <f>(StudentsTable[[#This Row],[AverageScore]]-MIN(StudentsTable[AverageScore]))/(MAX(StudentsTable[AverageScore])-MIN(StudentsTable[AverageScore]))*100</f>
        <v>57.509157509157518</v>
      </c>
    </row>
    <row r="181" spans="1:15" x14ac:dyDescent="0.3">
      <c r="A181" t="s">
        <v>8</v>
      </c>
      <c r="B181" t="s">
        <v>21</v>
      </c>
      <c r="C181" t="s">
        <v>23</v>
      </c>
      <c r="D181" t="s">
        <v>11</v>
      </c>
      <c r="E181" t="s">
        <v>15</v>
      </c>
      <c r="F181">
        <v>97</v>
      </c>
      <c r="G181">
        <v>100</v>
      </c>
      <c r="H181">
        <v>100</v>
      </c>
      <c r="I181">
        <f>StudentsTable[[#This Row],[math score]]+StudentsTable[[#This Row],[reading score]]+StudentsTable[[#This Row],[writing score]]</f>
        <v>297</v>
      </c>
      <c r="J181">
        <f>StudentsTable[[#This Row],[TotalScore]]/3</f>
        <v>99</v>
      </c>
      <c r="K181" t="str" cm="1">
        <f t="array" ref="K181">_xlfn.IFS(StudentsTable[[#This Row],[AverageScore]]&gt;=90,"A",StudentsTable[[#This Row],[AverageScore]]&gt;=80,"B",StudentsTable[[#This Row],[AverageScore]]&gt;=70,"C",StudentsTable[[#This Row],[AverageScore]]&gt;=60,"D",TRUE,"F")</f>
        <v>A</v>
      </c>
      <c r="L181" t="str">
        <f>IF(StudentsTable[[#This Row],[AverageScore]]&gt;=60,"Pass","Fail")</f>
        <v>Pass</v>
      </c>
      <c r="M181" t="str" cm="1">
        <f t="array" ref="M181">_xlfn.IFS(StudentsTable[[#This Row],[AverageScore]]&gt;=85,"Advanced",StudentsTable[[#This Row],[AverageScore]]&gt;=70,"Intermediate",StudentsTable[[#This Row],[AverageScore]]&gt;=60,"Basic",TRUE,"Needs Help")</f>
        <v>Advanced</v>
      </c>
      <c r="N181">
        <f>RANK(StudentsTable[[#This Row],[AverageScore]],StudentsTable[AverageScore])</f>
        <v>5</v>
      </c>
      <c r="O181">
        <f>(StudentsTable[[#This Row],[AverageScore]]-MIN(StudentsTable[AverageScore]))/(MAX(StudentsTable[AverageScore])-MIN(StudentsTable[AverageScore]))*100</f>
        <v>98.901098901098905</v>
      </c>
    </row>
    <row r="182" spans="1:15" x14ac:dyDescent="0.3">
      <c r="A182" t="s">
        <v>17</v>
      </c>
      <c r="B182" t="s">
        <v>13</v>
      </c>
      <c r="C182" t="s">
        <v>16</v>
      </c>
      <c r="D182" t="s">
        <v>20</v>
      </c>
      <c r="E182" t="s">
        <v>15</v>
      </c>
      <c r="F182">
        <v>62</v>
      </c>
      <c r="G182">
        <v>68</v>
      </c>
      <c r="H182">
        <v>75</v>
      </c>
      <c r="I182">
        <f>StudentsTable[[#This Row],[math score]]+StudentsTable[[#This Row],[reading score]]+StudentsTable[[#This Row],[writing score]]</f>
        <v>205</v>
      </c>
      <c r="J182">
        <f>StudentsTable[[#This Row],[TotalScore]]/3</f>
        <v>68.333333333333329</v>
      </c>
      <c r="K182" t="str" cm="1">
        <f t="array" ref="K182">_xlfn.IFS(StudentsTable[[#This Row],[AverageScore]]&gt;=90,"A",StudentsTable[[#This Row],[AverageScore]]&gt;=80,"B",StudentsTable[[#This Row],[AverageScore]]&gt;=70,"C",StudentsTable[[#This Row],[AverageScore]]&gt;=60,"D",TRUE,"F")</f>
        <v>D</v>
      </c>
      <c r="L182" t="str">
        <f>IF(StudentsTable[[#This Row],[AverageScore]]&gt;=60,"Pass","Fail")</f>
        <v>Pass</v>
      </c>
      <c r="M182" t="str" cm="1">
        <f t="array" ref="M182">_xlfn.IFS(StudentsTable[[#This Row],[AverageScore]]&gt;=85,"Advanced",StudentsTable[[#This Row],[AverageScore]]&gt;=70,"Intermediate",StudentsTable[[#This Row],[AverageScore]]&gt;=60,"Basic",TRUE,"Needs Help")</f>
        <v>Basic</v>
      </c>
      <c r="N182">
        <f>RANK(StudentsTable[[#This Row],[AverageScore]],StudentsTable[AverageScore])</f>
        <v>499</v>
      </c>
      <c r="O182">
        <f>(StudentsTable[[#This Row],[AverageScore]]-MIN(StudentsTable[AverageScore]))/(MAX(StudentsTable[AverageScore])-MIN(StudentsTable[AverageScore]))*100</f>
        <v>65.201465201465197</v>
      </c>
    </row>
    <row r="183" spans="1:15" x14ac:dyDescent="0.3">
      <c r="A183" t="s">
        <v>8</v>
      </c>
      <c r="B183" t="s">
        <v>13</v>
      </c>
      <c r="C183" t="s">
        <v>14</v>
      </c>
      <c r="D183" t="s">
        <v>20</v>
      </c>
      <c r="E183" t="s">
        <v>12</v>
      </c>
      <c r="F183">
        <v>46</v>
      </c>
      <c r="G183">
        <v>64</v>
      </c>
      <c r="H183">
        <v>66</v>
      </c>
      <c r="I183">
        <f>StudentsTable[[#This Row],[math score]]+StudentsTable[[#This Row],[reading score]]+StudentsTable[[#This Row],[writing score]]</f>
        <v>176</v>
      </c>
      <c r="J183">
        <f>StudentsTable[[#This Row],[TotalScore]]/3</f>
        <v>58.666666666666664</v>
      </c>
      <c r="K183" t="str" cm="1">
        <f t="array" ref="K183">_xlfn.IFS(StudentsTable[[#This Row],[AverageScore]]&gt;=90,"A",StudentsTable[[#This Row],[AverageScore]]&gt;=80,"B",StudentsTable[[#This Row],[AverageScore]]&gt;=70,"C",StudentsTable[[#This Row],[AverageScore]]&gt;=60,"D",TRUE,"F")</f>
        <v>F</v>
      </c>
      <c r="L183" t="str">
        <f>IF(StudentsTable[[#This Row],[AverageScore]]&gt;=60,"Pass","Fail")</f>
        <v>Fail</v>
      </c>
      <c r="M183" t="str" cm="1">
        <f t="array" ref="M183">_xlfn.IFS(StudentsTable[[#This Row],[AverageScore]]&gt;=85,"Advanced",StudentsTable[[#This Row],[AverageScore]]&gt;=70,"Intermediate",StudentsTable[[#This Row],[AverageScore]]&gt;=60,"Basic",TRUE,"Needs Help")</f>
        <v>Needs Help</v>
      </c>
      <c r="N183">
        <f>RANK(StudentsTable[[#This Row],[AverageScore]],StudentsTable[AverageScore])</f>
        <v>736</v>
      </c>
      <c r="O183">
        <f>(StudentsTable[[#This Row],[AverageScore]]-MIN(StudentsTable[AverageScore]))/(MAX(StudentsTable[AverageScore])-MIN(StudentsTable[AverageScore]))*100</f>
        <v>54.578754578754577</v>
      </c>
    </row>
    <row r="184" spans="1:15" x14ac:dyDescent="0.3">
      <c r="A184" t="s">
        <v>8</v>
      </c>
      <c r="B184" t="s">
        <v>24</v>
      </c>
      <c r="C184" t="s">
        <v>22</v>
      </c>
      <c r="D184" t="s">
        <v>11</v>
      </c>
      <c r="E184" t="s">
        <v>12</v>
      </c>
      <c r="F184">
        <v>50</v>
      </c>
      <c r="G184">
        <v>50</v>
      </c>
      <c r="H184">
        <v>47</v>
      </c>
      <c r="I184">
        <f>StudentsTable[[#This Row],[math score]]+StudentsTable[[#This Row],[reading score]]+StudentsTable[[#This Row],[writing score]]</f>
        <v>147</v>
      </c>
      <c r="J184">
        <f>StudentsTable[[#This Row],[TotalScore]]/3</f>
        <v>49</v>
      </c>
      <c r="K184" t="str" cm="1">
        <f t="array" ref="K184">_xlfn.IFS(StudentsTable[[#This Row],[AverageScore]]&gt;=90,"A",StudentsTable[[#This Row],[AverageScore]]&gt;=80,"B",StudentsTable[[#This Row],[AverageScore]]&gt;=70,"C",StudentsTable[[#This Row],[AverageScore]]&gt;=60,"D",TRUE,"F")</f>
        <v>F</v>
      </c>
      <c r="L184" t="str">
        <f>IF(StudentsTable[[#This Row],[AverageScore]]&gt;=60,"Pass","Fail")</f>
        <v>Fail</v>
      </c>
      <c r="M184" t="str" cm="1">
        <f t="array" ref="M184">_xlfn.IFS(StudentsTable[[#This Row],[AverageScore]]&gt;=85,"Advanced",StudentsTable[[#This Row],[AverageScore]]&gt;=70,"Intermediate",StudentsTable[[#This Row],[AverageScore]]&gt;=60,"Basic",TRUE,"Needs Help")</f>
        <v>Needs Help</v>
      </c>
      <c r="N184">
        <f>RANK(StudentsTable[[#This Row],[AverageScore]],StudentsTable[AverageScore])</f>
        <v>905</v>
      </c>
      <c r="O184">
        <f>(StudentsTable[[#This Row],[AverageScore]]-MIN(StudentsTable[AverageScore]))/(MAX(StudentsTable[AverageScore])-MIN(StudentsTable[AverageScore]))*100</f>
        <v>43.956043956043956</v>
      </c>
    </row>
    <row r="185" spans="1:15" x14ac:dyDescent="0.3">
      <c r="A185" t="s">
        <v>8</v>
      </c>
      <c r="B185" t="s">
        <v>21</v>
      </c>
      <c r="C185" t="s">
        <v>19</v>
      </c>
      <c r="D185" t="s">
        <v>11</v>
      </c>
      <c r="E185" t="s">
        <v>12</v>
      </c>
      <c r="F185">
        <v>65</v>
      </c>
      <c r="G185">
        <v>69</v>
      </c>
      <c r="H185">
        <v>70</v>
      </c>
      <c r="I185">
        <f>StudentsTable[[#This Row],[math score]]+StudentsTable[[#This Row],[reading score]]+StudentsTable[[#This Row],[writing score]]</f>
        <v>204</v>
      </c>
      <c r="J185">
        <f>StudentsTable[[#This Row],[TotalScore]]/3</f>
        <v>68</v>
      </c>
      <c r="K185" t="str" cm="1">
        <f t="array" ref="K185">_xlfn.IFS(StudentsTable[[#This Row],[AverageScore]]&gt;=90,"A",StudentsTable[[#This Row],[AverageScore]]&gt;=80,"B",StudentsTable[[#This Row],[AverageScore]]&gt;=70,"C",StudentsTable[[#This Row],[AverageScore]]&gt;=60,"D",TRUE,"F")</f>
        <v>D</v>
      </c>
      <c r="L185" t="str">
        <f>IF(StudentsTable[[#This Row],[AverageScore]]&gt;=60,"Pass","Fail")</f>
        <v>Pass</v>
      </c>
      <c r="M185" t="str" cm="1">
        <f t="array" ref="M185">_xlfn.IFS(StudentsTable[[#This Row],[AverageScore]]&gt;=85,"Advanced",StudentsTable[[#This Row],[AverageScore]]&gt;=70,"Intermediate",StudentsTable[[#This Row],[AverageScore]]&gt;=60,"Basic",TRUE,"Needs Help")</f>
        <v>Basic</v>
      </c>
      <c r="N185">
        <f>RANK(StudentsTable[[#This Row],[AverageScore]],StudentsTable[AverageScore])</f>
        <v>512</v>
      </c>
      <c r="O185">
        <f>(StudentsTable[[#This Row],[AverageScore]]-MIN(StudentsTable[AverageScore]))/(MAX(StudentsTable[AverageScore])-MIN(StudentsTable[AverageScore]))*100</f>
        <v>64.835164835164832</v>
      </c>
    </row>
    <row r="186" spans="1:15" x14ac:dyDescent="0.3">
      <c r="A186" t="s">
        <v>17</v>
      </c>
      <c r="B186" t="s">
        <v>13</v>
      </c>
      <c r="C186" t="s">
        <v>23</v>
      </c>
      <c r="D186" t="s">
        <v>20</v>
      </c>
      <c r="E186" t="s">
        <v>15</v>
      </c>
      <c r="F186">
        <v>45</v>
      </c>
      <c r="G186">
        <v>52</v>
      </c>
      <c r="H186">
        <v>49</v>
      </c>
      <c r="I186">
        <f>StudentsTable[[#This Row],[math score]]+StudentsTable[[#This Row],[reading score]]+StudentsTable[[#This Row],[writing score]]</f>
        <v>146</v>
      </c>
      <c r="J186">
        <f>StudentsTable[[#This Row],[TotalScore]]/3</f>
        <v>48.666666666666664</v>
      </c>
      <c r="K186" t="str" cm="1">
        <f t="array" ref="K186">_xlfn.IFS(StudentsTable[[#This Row],[AverageScore]]&gt;=90,"A",StudentsTable[[#This Row],[AverageScore]]&gt;=80,"B",StudentsTable[[#This Row],[AverageScore]]&gt;=70,"C",StudentsTable[[#This Row],[AverageScore]]&gt;=60,"D",TRUE,"F")</f>
        <v>F</v>
      </c>
      <c r="L186" t="str">
        <f>IF(StudentsTable[[#This Row],[AverageScore]]&gt;=60,"Pass","Fail")</f>
        <v>Fail</v>
      </c>
      <c r="M186" t="str" cm="1">
        <f t="array" ref="M186">_xlfn.IFS(StudentsTable[[#This Row],[AverageScore]]&gt;=85,"Advanced",StudentsTable[[#This Row],[AverageScore]]&gt;=70,"Intermediate",StudentsTable[[#This Row],[AverageScore]]&gt;=60,"Basic",TRUE,"Needs Help")</f>
        <v>Needs Help</v>
      </c>
      <c r="N186">
        <f>RANK(StudentsTable[[#This Row],[AverageScore]],StudentsTable[AverageScore])</f>
        <v>911</v>
      </c>
      <c r="O186">
        <f>(StudentsTable[[#This Row],[AverageScore]]-MIN(StudentsTable[AverageScore]))/(MAX(StudentsTable[AverageScore])-MIN(StudentsTable[AverageScore]))*100</f>
        <v>43.589743589743584</v>
      </c>
    </row>
    <row r="187" spans="1:15" x14ac:dyDescent="0.3">
      <c r="A187" t="s">
        <v>17</v>
      </c>
      <c r="B187" t="s">
        <v>13</v>
      </c>
      <c r="C187" t="s">
        <v>19</v>
      </c>
      <c r="D187" t="s">
        <v>20</v>
      </c>
      <c r="E187" t="s">
        <v>15</v>
      </c>
      <c r="F187">
        <v>65</v>
      </c>
      <c r="G187">
        <v>67</v>
      </c>
      <c r="H187">
        <v>65</v>
      </c>
      <c r="I187">
        <f>StudentsTable[[#This Row],[math score]]+StudentsTable[[#This Row],[reading score]]+StudentsTable[[#This Row],[writing score]]</f>
        <v>197</v>
      </c>
      <c r="J187">
        <f>StudentsTable[[#This Row],[TotalScore]]/3</f>
        <v>65.666666666666671</v>
      </c>
      <c r="K187" t="str" cm="1">
        <f t="array" ref="K187">_xlfn.IFS(StudentsTable[[#This Row],[AverageScore]]&gt;=90,"A",StudentsTable[[#This Row],[AverageScore]]&gt;=80,"B",StudentsTable[[#This Row],[AverageScore]]&gt;=70,"C",StudentsTable[[#This Row],[AverageScore]]&gt;=60,"D",TRUE,"F")</f>
        <v>D</v>
      </c>
      <c r="L187" t="str">
        <f>IF(StudentsTable[[#This Row],[AverageScore]]&gt;=60,"Pass","Fail")</f>
        <v>Pass</v>
      </c>
      <c r="M187" t="str" cm="1">
        <f t="array" ref="M187">_xlfn.IFS(StudentsTable[[#This Row],[AverageScore]]&gt;=85,"Advanced",StudentsTable[[#This Row],[AverageScore]]&gt;=70,"Intermediate",StudentsTable[[#This Row],[AverageScore]]&gt;=60,"Basic",TRUE,"Needs Help")</f>
        <v>Basic</v>
      </c>
      <c r="N187">
        <f>RANK(StudentsTable[[#This Row],[AverageScore]],StudentsTable[AverageScore])</f>
        <v>576</v>
      </c>
      <c r="O187">
        <f>(StudentsTable[[#This Row],[AverageScore]]-MIN(StudentsTable[AverageScore]))/(MAX(StudentsTable[AverageScore])-MIN(StudentsTable[AverageScore]))*100</f>
        <v>62.27106227106227</v>
      </c>
    </row>
    <row r="188" spans="1:15" x14ac:dyDescent="0.3">
      <c r="A188" t="s">
        <v>17</v>
      </c>
      <c r="B188" t="s">
        <v>24</v>
      </c>
      <c r="C188" t="s">
        <v>22</v>
      </c>
      <c r="D188" t="s">
        <v>11</v>
      </c>
      <c r="E188" t="s">
        <v>12</v>
      </c>
      <c r="F188">
        <v>80</v>
      </c>
      <c r="G188">
        <v>76</v>
      </c>
      <c r="H188">
        <v>65</v>
      </c>
      <c r="I188">
        <f>StudentsTable[[#This Row],[math score]]+StudentsTable[[#This Row],[reading score]]+StudentsTable[[#This Row],[writing score]]</f>
        <v>221</v>
      </c>
      <c r="J188">
        <f>StudentsTable[[#This Row],[TotalScore]]/3</f>
        <v>73.666666666666671</v>
      </c>
      <c r="K188" t="str" cm="1">
        <f t="array" ref="K188">_xlfn.IFS(StudentsTable[[#This Row],[AverageScore]]&gt;=90,"A",StudentsTable[[#This Row],[AverageScore]]&gt;=80,"B",StudentsTable[[#This Row],[AverageScore]]&gt;=70,"C",StudentsTable[[#This Row],[AverageScore]]&gt;=60,"D",TRUE,"F")</f>
        <v>C</v>
      </c>
      <c r="L188" t="str">
        <f>IF(StudentsTable[[#This Row],[AverageScore]]&gt;=60,"Pass","Fail")</f>
        <v>Pass</v>
      </c>
      <c r="M188" t="str" cm="1">
        <f t="array" ref="M188">_xlfn.IFS(StudentsTable[[#This Row],[AverageScore]]&gt;=85,"Advanced",StudentsTable[[#This Row],[AverageScore]]&gt;=70,"Intermediate",StudentsTable[[#This Row],[AverageScore]]&gt;=60,"Basic",TRUE,"Needs Help")</f>
        <v>Intermediate</v>
      </c>
      <c r="N188">
        <f>RANK(StudentsTable[[#This Row],[AverageScore]],StudentsTable[AverageScore])</f>
        <v>351</v>
      </c>
      <c r="O188">
        <f>(StudentsTable[[#This Row],[AverageScore]]-MIN(StudentsTable[AverageScore]))/(MAX(StudentsTable[AverageScore])-MIN(StudentsTable[AverageScore]))*100</f>
        <v>71.062271062271066</v>
      </c>
    </row>
    <row r="189" spans="1:15" x14ac:dyDescent="0.3">
      <c r="A189" t="s">
        <v>17</v>
      </c>
      <c r="B189" t="s">
        <v>21</v>
      </c>
      <c r="C189" t="s">
        <v>23</v>
      </c>
      <c r="D189" t="s">
        <v>11</v>
      </c>
      <c r="E189" t="s">
        <v>15</v>
      </c>
      <c r="F189">
        <v>62</v>
      </c>
      <c r="G189">
        <v>66</v>
      </c>
      <c r="H189">
        <v>68</v>
      </c>
      <c r="I189">
        <f>StudentsTable[[#This Row],[math score]]+StudentsTable[[#This Row],[reading score]]+StudentsTable[[#This Row],[writing score]]</f>
        <v>196</v>
      </c>
      <c r="J189">
        <f>StudentsTable[[#This Row],[TotalScore]]/3</f>
        <v>65.333333333333329</v>
      </c>
      <c r="K189" t="str" cm="1">
        <f t="array" ref="K189">_xlfn.IFS(StudentsTable[[#This Row],[AverageScore]]&gt;=90,"A",StudentsTable[[#This Row],[AverageScore]]&gt;=80,"B",StudentsTable[[#This Row],[AverageScore]]&gt;=70,"C",StudentsTable[[#This Row],[AverageScore]]&gt;=60,"D",TRUE,"F")</f>
        <v>D</v>
      </c>
      <c r="L189" t="str">
        <f>IF(StudentsTable[[#This Row],[AverageScore]]&gt;=60,"Pass","Fail")</f>
        <v>Pass</v>
      </c>
      <c r="M189" t="str" cm="1">
        <f t="array" ref="M189">_xlfn.IFS(StudentsTable[[#This Row],[AverageScore]]&gt;=85,"Advanced",StudentsTable[[#This Row],[AverageScore]]&gt;=70,"Intermediate",StudentsTable[[#This Row],[AverageScore]]&gt;=60,"Basic",TRUE,"Needs Help")</f>
        <v>Basic</v>
      </c>
      <c r="N189">
        <f>RANK(StudentsTable[[#This Row],[AverageScore]],StudentsTable[AverageScore])</f>
        <v>584</v>
      </c>
      <c r="O189">
        <f>(StudentsTable[[#This Row],[AverageScore]]-MIN(StudentsTable[AverageScore]))/(MAX(StudentsTable[AverageScore])-MIN(StudentsTable[AverageScore]))*100</f>
        <v>61.904761904761898</v>
      </c>
    </row>
    <row r="190" spans="1:15" x14ac:dyDescent="0.3">
      <c r="A190" t="s">
        <v>17</v>
      </c>
      <c r="B190" t="s">
        <v>9</v>
      </c>
      <c r="C190" t="s">
        <v>23</v>
      </c>
      <c r="D190" t="s">
        <v>20</v>
      </c>
      <c r="E190" t="s">
        <v>12</v>
      </c>
      <c r="F190">
        <v>48</v>
      </c>
      <c r="G190">
        <v>52</v>
      </c>
      <c r="H190">
        <v>45</v>
      </c>
      <c r="I190">
        <f>StudentsTable[[#This Row],[math score]]+StudentsTable[[#This Row],[reading score]]+StudentsTable[[#This Row],[writing score]]</f>
        <v>145</v>
      </c>
      <c r="J190">
        <f>StudentsTable[[#This Row],[TotalScore]]/3</f>
        <v>48.333333333333336</v>
      </c>
      <c r="K190" t="str" cm="1">
        <f t="array" ref="K190">_xlfn.IFS(StudentsTable[[#This Row],[AverageScore]]&gt;=90,"A",StudentsTable[[#This Row],[AverageScore]]&gt;=80,"B",StudentsTable[[#This Row],[AverageScore]]&gt;=70,"C",StudentsTable[[#This Row],[AverageScore]]&gt;=60,"D",TRUE,"F")</f>
        <v>F</v>
      </c>
      <c r="L190" t="str">
        <f>IF(StudentsTable[[#This Row],[AverageScore]]&gt;=60,"Pass","Fail")</f>
        <v>Fail</v>
      </c>
      <c r="M190" t="str" cm="1">
        <f t="array" ref="M190">_xlfn.IFS(StudentsTable[[#This Row],[AverageScore]]&gt;=85,"Advanced",StudentsTable[[#This Row],[AverageScore]]&gt;=70,"Intermediate",StudentsTable[[#This Row],[AverageScore]]&gt;=60,"Basic",TRUE,"Needs Help")</f>
        <v>Needs Help</v>
      </c>
      <c r="N190">
        <f>RANK(StudentsTable[[#This Row],[AverageScore]],StudentsTable[AverageScore])</f>
        <v>915</v>
      </c>
      <c r="O190">
        <f>(StudentsTable[[#This Row],[AverageScore]]-MIN(StudentsTable[AverageScore]))/(MAX(StudentsTable[AverageScore])-MIN(StudentsTable[AverageScore]))*100</f>
        <v>43.223443223443226</v>
      </c>
    </row>
    <row r="191" spans="1:15" x14ac:dyDescent="0.3">
      <c r="A191" t="s">
        <v>8</v>
      </c>
      <c r="B191" t="s">
        <v>13</v>
      </c>
      <c r="C191" t="s">
        <v>10</v>
      </c>
      <c r="D191" t="s">
        <v>11</v>
      </c>
      <c r="E191" t="s">
        <v>12</v>
      </c>
      <c r="F191">
        <v>77</v>
      </c>
      <c r="G191">
        <v>88</v>
      </c>
      <c r="H191">
        <v>87</v>
      </c>
      <c r="I191">
        <f>StudentsTable[[#This Row],[math score]]+StudentsTable[[#This Row],[reading score]]+StudentsTable[[#This Row],[writing score]]</f>
        <v>252</v>
      </c>
      <c r="J191">
        <f>StudentsTable[[#This Row],[TotalScore]]/3</f>
        <v>84</v>
      </c>
      <c r="K191" t="str" cm="1">
        <f t="array" ref="K191">_xlfn.IFS(StudentsTable[[#This Row],[AverageScore]]&gt;=90,"A",StudentsTable[[#This Row],[AverageScore]]&gt;=80,"B",StudentsTable[[#This Row],[AverageScore]]&gt;=70,"C",StudentsTable[[#This Row],[AverageScore]]&gt;=60,"D",TRUE,"F")</f>
        <v>B</v>
      </c>
      <c r="L191" t="str">
        <f>IF(StudentsTable[[#This Row],[AverageScore]]&gt;=60,"Pass","Fail")</f>
        <v>Pass</v>
      </c>
      <c r="M191" t="str" cm="1">
        <f t="array" ref="M191">_xlfn.IFS(StudentsTable[[#This Row],[AverageScore]]&gt;=85,"Advanced",StudentsTable[[#This Row],[AverageScore]]&gt;=70,"Intermediate",StudentsTable[[#This Row],[AverageScore]]&gt;=60,"Basic",TRUE,"Needs Help")</f>
        <v>Intermediate</v>
      </c>
      <c r="N191">
        <f>RANK(StudentsTable[[#This Row],[AverageScore]],StudentsTable[AverageScore])</f>
        <v>123</v>
      </c>
      <c r="O191">
        <f>(StudentsTable[[#This Row],[AverageScore]]-MIN(StudentsTable[AverageScore]))/(MAX(StudentsTable[AverageScore])-MIN(StudentsTable[AverageScore]))*100</f>
        <v>82.417582417582409</v>
      </c>
    </row>
    <row r="192" spans="1:15" x14ac:dyDescent="0.3">
      <c r="A192" t="s">
        <v>8</v>
      </c>
      <c r="B192" t="s">
        <v>24</v>
      </c>
      <c r="C192" t="s">
        <v>19</v>
      </c>
      <c r="D192" t="s">
        <v>11</v>
      </c>
      <c r="E192" t="s">
        <v>12</v>
      </c>
      <c r="F192">
        <v>66</v>
      </c>
      <c r="G192">
        <v>65</v>
      </c>
      <c r="H192">
        <v>69</v>
      </c>
      <c r="I192">
        <f>StudentsTable[[#This Row],[math score]]+StudentsTable[[#This Row],[reading score]]+StudentsTable[[#This Row],[writing score]]</f>
        <v>200</v>
      </c>
      <c r="J192">
        <f>StudentsTable[[#This Row],[TotalScore]]/3</f>
        <v>66.666666666666671</v>
      </c>
      <c r="K192" t="str" cm="1">
        <f t="array" ref="K192">_xlfn.IFS(StudentsTable[[#This Row],[AverageScore]]&gt;=90,"A",StudentsTable[[#This Row],[AverageScore]]&gt;=80,"B",StudentsTable[[#This Row],[AverageScore]]&gt;=70,"C",StudentsTable[[#This Row],[AverageScore]]&gt;=60,"D",TRUE,"F")</f>
        <v>D</v>
      </c>
      <c r="L192" t="str">
        <f>IF(StudentsTable[[#This Row],[AverageScore]]&gt;=60,"Pass","Fail")</f>
        <v>Pass</v>
      </c>
      <c r="M192" t="str" cm="1">
        <f t="array" ref="M192">_xlfn.IFS(StudentsTable[[#This Row],[AverageScore]]&gt;=85,"Advanced",StudentsTable[[#This Row],[AverageScore]]&gt;=70,"Intermediate",StudentsTable[[#This Row],[AverageScore]]&gt;=60,"Basic",TRUE,"Needs Help")</f>
        <v>Basic</v>
      </c>
      <c r="N192">
        <f>RANK(StudentsTable[[#This Row],[AverageScore]],StudentsTable[AverageScore])</f>
        <v>549</v>
      </c>
      <c r="O192">
        <f>(StudentsTable[[#This Row],[AverageScore]]-MIN(StudentsTable[AverageScore]))/(MAX(StudentsTable[AverageScore])-MIN(StudentsTable[AverageScore]))*100</f>
        <v>63.369963369963379</v>
      </c>
    </row>
    <row r="193" spans="1:15" x14ac:dyDescent="0.3">
      <c r="A193" t="s">
        <v>17</v>
      </c>
      <c r="B193" t="s">
        <v>21</v>
      </c>
      <c r="C193" t="s">
        <v>14</v>
      </c>
      <c r="D193" t="s">
        <v>11</v>
      </c>
      <c r="E193" t="s">
        <v>15</v>
      </c>
      <c r="F193">
        <v>76</v>
      </c>
      <c r="G193">
        <v>83</v>
      </c>
      <c r="H193">
        <v>79</v>
      </c>
      <c r="I193">
        <f>StudentsTable[[#This Row],[math score]]+StudentsTable[[#This Row],[reading score]]+StudentsTable[[#This Row],[writing score]]</f>
        <v>238</v>
      </c>
      <c r="J193">
        <f>StudentsTable[[#This Row],[TotalScore]]/3</f>
        <v>79.333333333333329</v>
      </c>
      <c r="K193" t="str" cm="1">
        <f t="array" ref="K193">_xlfn.IFS(StudentsTable[[#This Row],[AverageScore]]&gt;=90,"A",StudentsTable[[#This Row],[AverageScore]]&gt;=80,"B",StudentsTable[[#This Row],[AverageScore]]&gt;=70,"C",StudentsTable[[#This Row],[AverageScore]]&gt;=60,"D",TRUE,"F")</f>
        <v>C</v>
      </c>
      <c r="L193" t="str">
        <f>IF(StudentsTable[[#This Row],[AverageScore]]&gt;=60,"Pass","Fail")</f>
        <v>Pass</v>
      </c>
      <c r="M193" t="str" cm="1">
        <f t="array" ref="M193">_xlfn.IFS(StudentsTable[[#This Row],[AverageScore]]&gt;=85,"Advanced",StudentsTable[[#This Row],[AverageScore]]&gt;=70,"Intermediate",StudentsTable[[#This Row],[AverageScore]]&gt;=60,"Basic",TRUE,"Needs Help")</f>
        <v>Intermediate</v>
      </c>
      <c r="N193">
        <f>RANK(StudentsTable[[#This Row],[AverageScore]],StudentsTable[AverageScore])</f>
        <v>207</v>
      </c>
      <c r="O193">
        <f>(StudentsTable[[#This Row],[AverageScore]]-MIN(StudentsTable[AverageScore]))/(MAX(StudentsTable[AverageScore])-MIN(StudentsTable[AverageScore]))*100</f>
        <v>77.289377289377285</v>
      </c>
    </row>
    <row r="194" spans="1:15" x14ac:dyDescent="0.3">
      <c r="A194" t="s">
        <v>8</v>
      </c>
      <c r="B194" t="s">
        <v>9</v>
      </c>
      <c r="C194" t="s">
        <v>23</v>
      </c>
      <c r="D194" t="s">
        <v>11</v>
      </c>
      <c r="E194" t="s">
        <v>12</v>
      </c>
      <c r="F194">
        <v>62</v>
      </c>
      <c r="G194">
        <v>64</v>
      </c>
      <c r="H194">
        <v>66</v>
      </c>
      <c r="I194">
        <f>StudentsTable[[#This Row],[math score]]+StudentsTable[[#This Row],[reading score]]+StudentsTable[[#This Row],[writing score]]</f>
        <v>192</v>
      </c>
      <c r="J194">
        <f>StudentsTable[[#This Row],[TotalScore]]/3</f>
        <v>64</v>
      </c>
      <c r="K194" t="str" cm="1">
        <f t="array" ref="K194">_xlfn.IFS(StudentsTable[[#This Row],[AverageScore]]&gt;=90,"A",StudentsTable[[#This Row],[AverageScore]]&gt;=80,"B",StudentsTable[[#This Row],[AverageScore]]&gt;=70,"C",StudentsTable[[#This Row],[AverageScore]]&gt;=60,"D",TRUE,"F")</f>
        <v>D</v>
      </c>
      <c r="L194" t="str">
        <f>IF(StudentsTable[[#This Row],[AverageScore]]&gt;=60,"Pass","Fail")</f>
        <v>Pass</v>
      </c>
      <c r="M194" t="str" cm="1">
        <f t="array" ref="M194">_xlfn.IFS(StudentsTable[[#This Row],[AverageScore]]&gt;=85,"Advanced",StudentsTable[[#This Row],[AverageScore]]&gt;=70,"Intermediate",StudentsTable[[#This Row],[AverageScore]]&gt;=60,"Basic",TRUE,"Needs Help")</f>
        <v>Basic</v>
      </c>
      <c r="N194">
        <f>RANK(StudentsTable[[#This Row],[AverageScore]],StudentsTable[AverageScore])</f>
        <v>623</v>
      </c>
      <c r="O194">
        <f>(StudentsTable[[#This Row],[AverageScore]]-MIN(StudentsTable[AverageScore]))/(MAX(StudentsTable[AverageScore])-MIN(StudentsTable[AverageScore]))*100</f>
        <v>60.439560439560438</v>
      </c>
    </row>
    <row r="195" spans="1:15" x14ac:dyDescent="0.3">
      <c r="A195" t="s">
        <v>17</v>
      </c>
      <c r="B195" t="s">
        <v>21</v>
      </c>
      <c r="C195" t="s">
        <v>14</v>
      </c>
      <c r="D195" t="s">
        <v>11</v>
      </c>
      <c r="E195" t="s">
        <v>15</v>
      </c>
      <c r="F195">
        <v>77</v>
      </c>
      <c r="G195">
        <v>62</v>
      </c>
      <c r="H195">
        <v>62</v>
      </c>
      <c r="I195">
        <f>StudentsTable[[#This Row],[math score]]+StudentsTable[[#This Row],[reading score]]+StudentsTable[[#This Row],[writing score]]</f>
        <v>201</v>
      </c>
      <c r="J195">
        <f>StudentsTable[[#This Row],[TotalScore]]/3</f>
        <v>67</v>
      </c>
      <c r="K195" t="str" cm="1">
        <f t="array" ref="K195">_xlfn.IFS(StudentsTable[[#This Row],[AverageScore]]&gt;=90,"A",StudentsTable[[#This Row],[AverageScore]]&gt;=80,"B",StudentsTable[[#This Row],[AverageScore]]&gt;=70,"C",StudentsTable[[#This Row],[AverageScore]]&gt;=60,"D",TRUE,"F")</f>
        <v>D</v>
      </c>
      <c r="L195" t="str">
        <f>IF(StudentsTable[[#This Row],[AverageScore]]&gt;=60,"Pass","Fail")</f>
        <v>Pass</v>
      </c>
      <c r="M195" t="str" cm="1">
        <f t="array" ref="M195">_xlfn.IFS(StudentsTable[[#This Row],[AverageScore]]&gt;=85,"Advanced",StudentsTable[[#This Row],[AverageScore]]&gt;=70,"Intermediate",StudentsTable[[#This Row],[AverageScore]]&gt;=60,"Basic",TRUE,"Needs Help")</f>
        <v>Basic</v>
      </c>
      <c r="N195">
        <f>RANK(StudentsTable[[#This Row],[AverageScore]],StudentsTable[AverageScore])</f>
        <v>540</v>
      </c>
      <c r="O195">
        <f>(StudentsTable[[#This Row],[AverageScore]]-MIN(StudentsTable[AverageScore]))/(MAX(StudentsTable[AverageScore])-MIN(StudentsTable[AverageScore]))*100</f>
        <v>63.73626373626373</v>
      </c>
    </row>
    <row r="196" spans="1:15" x14ac:dyDescent="0.3">
      <c r="A196" t="s">
        <v>8</v>
      </c>
      <c r="B196" t="s">
        <v>13</v>
      </c>
      <c r="C196" t="s">
        <v>16</v>
      </c>
      <c r="D196" t="s">
        <v>11</v>
      </c>
      <c r="E196" t="s">
        <v>15</v>
      </c>
      <c r="F196">
        <v>69</v>
      </c>
      <c r="G196">
        <v>84</v>
      </c>
      <c r="H196">
        <v>85</v>
      </c>
      <c r="I196">
        <f>StudentsTable[[#This Row],[math score]]+StudentsTable[[#This Row],[reading score]]+StudentsTable[[#This Row],[writing score]]</f>
        <v>238</v>
      </c>
      <c r="J196">
        <f>StudentsTable[[#This Row],[TotalScore]]/3</f>
        <v>79.333333333333329</v>
      </c>
      <c r="K196" t="str" cm="1">
        <f t="array" ref="K196">_xlfn.IFS(StudentsTable[[#This Row],[AverageScore]]&gt;=90,"A",StudentsTable[[#This Row],[AverageScore]]&gt;=80,"B",StudentsTable[[#This Row],[AverageScore]]&gt;=70,"C",StudentsTable[[#This Row],[AverageScore]]&gt;=60,"D",TRUE,"F")</f>
        <v>C</v>
      </c>
      <c r="L196" t="str">
        <f>IF(StudentsTable[[#This Row],[AverageScore]]&gt;=60,"Pass","Fail")</f>
        <v>Pass</v>
      </c>
      <c r="M196" t="str" cm="1">
        <f t="array" ref="M196">_xlfn.IFS(StudentsTable[[#This Row],[AverageScore]]&gt;=85,"Advanced",StudentsTable[[#This Row],[AverageScore]]&gt;=70,"Intermediate",StudentsTable[[#This Row],[AverageScore]]&gt;=60,"Basic",TRUE,"Needs Help")</f>
        <v>Intermediate</v>
      </c>
      <c r="N196">
        <f>RANK(StudentsTable[[#This Row],[AverageScore]],StudentsTable[AverageScore])</f>
        <v>207</v>
      </c>
      <c r="O196">
        <f>(StudentsTable[[#This Row],[AverageScore]]-MIN(StudentsTable[AverageScore]))/(MAX(StudentsTable[AverageScore])-MIN(StudentsTable[AverageScore]))*100</f>
        <v>77.289377289377285</v>
      </c>
    </row>
    <row r="197" spans="1:15" x14ac:dyDescent="0.3">
      <c r="A197" t="s">
        <v>17</v>
      </c>
      <c r="B197" t="s">
        <v>21</v>
      </c>
      <c r="C197" t="s">
        <v>19</v>
      </c>
      <c r="D197" t="s">
        <v>11</v>
      </c>
      <c r="E197" t="s">
        <v>12</v>
      </c>
      <c r="F197">
        <v>61</v>
      </c>
      <c r="G197">
        <v>55</v>
      </c>
      <c r="H197">
        <v>52</v>
      </c>
      <c r="I197">
        <f>StudentsTable[[#This Row],[math score]]+StudentsTable[[#This Row],[reading score]]+StudentsTable[[#This Row],[writing score]]</f>
        <v>168</v>
      </c>
      <c r="J197">
        <f>StudentsTable[[#This Row],[TotalScore]]/3</f>
        <v>56</v>
      </c>
      <c r="K197" t="str" cm="1">
        <f t="array" ref="K197">_xlfn.IFS(StudentsTable[[#This Row],[AverageScore]]&gt;=90,"A",StudentsTable[[#This Row],[AverageScore]]&gt;=80,"B",StudentsTable[[#This Row],[AverageScore]]&gt;=70,"C",StudentsTable[[#This Row],[AverageScore]]&gt;=60,"D",TRUE,"F")</f>
        <v>F</v>
      </c>
      <c r="L197" t="str">
        <f>IF(StudentsTable[[#This Row],[AverageScore]]&gt;=60,"Pass","Fail")</f>
        <v>Fail</v>
      </c>
      <c r="M197" t="str" cm="1">
        <f t="array" ref="M197">_xlfn.IFS(StudentsTable[[#This Row],[AverageScore]]&gt;=85,"Advanced",StudentsTable[[#This Row],[AverageScore]]&gt;=70,"Intermediate",StudentsTable[[#This Row],[AverageScore]]&gt;=60,"Basic",TRUE,"Needs Help")</f>
        <v>Needs Help</v>
      </c>
      <c r="N197">
        <f>RANK(StudentsTable[[#This Row],[AverageScore]],StudentsTable[AverageScore])</f>
        <v>786</v>
      </c>
      <c r="O197">
        <f>(StudentsTable[[#This Row],[AverageScore]]-MIN(StudentsTable[AverageScore]))/(MAX(StudentsTable[AverageScore])-MIN(StudentsTable[AverageScore]))*100</f>
        <v>51.648351648351657</v>
      </c>
    </row>
    <row r="198" spans="1:15" x14ac:dyDescent="0.3">
      <c r="A198" t="s">
        <v>17</v>
      </c>
      <c r="B198" t="s">
        <v>13</v>
      </c>
      <c r="C198" t="s">
        <v>23</v>
      </c>
      <c r="D198" t="s">
        <v>20</v>
      </c>
      <c r="E198" t="s">
        <v>15</v>
      </c>
      <c r="F198">
        <v>59</v>
      </c>
      <c r="G198">
        <v>69</v>
      </c>
      <c r="H198">
        <v>65</v>
      </c>
      <c r="I198">
        <f>StudentsTable[[#This Row],[math score]]+StudentsTable[[#This Row],[reading score]]+StudentsTable[[#This Row],[writing score]]</f>
        <v>193</v>
      </c>
      <c r="J198">
        <f>StudentsTable[[#This Row],[TotalScore]]/3</f>
        <v>64.333333333333329</v>
      </c>
      <c r="K198" t="str" cm="1">
        <f t="array" ref="K198">_xlfn.IFS(StudentsTable[[#This Row],[AverageScore]]&gt;=90,"A",StudentsTable[[#This Row],[AverageScore]]&gt;=80,"B",StudentsTable[[#This Row],[AverageScore]]&gt;=70,"C",StudentsTable[[#This Row],[AverageScore]]&gt;=60,"D",TRUE,"F")</f>
        <v>D</v>
      </c>
      <c r="L198" t="str">
        <f>IF(StudentsTable[[#This Row],[AverageScore]]&gt;=60,"Pass","Fail")</f>
        <v>Pass</v>
      </c>
      <c r="M198" t="str" cm="1">
        <f t="array" ref="M198">_xlfn.IFS(StudentsTable[[#This Row],[AverageScore]]&gt;=85,"Advanced",StudentsTable[[#This Row],[AverageScore]]&gt;=70,"Intermediate",StudentsTable[[#This Row],[AverageScore]]&gt;=60,"Basic",TRUE,"Needs Help")</f>
        <v>Basic</v>
      </c>
      <c r="N198">
        <f>RANK(StudentsTable[[#This Row],[AverageScore]],StudentsTable[AverageScore])</f>
        <v>613</v>
      </c>
      <c r="O198">
        <f>(StudentsTable[[#This Row],[AverageScore]]-MIN(StudentsTable[AverageScore]))/(MAX(StudentsTable[AverageScore])-MIN(StudentsTable[AverageScore]))*100</f>
        <v>60.805860805860803</v>
      </c>
    </row>
    <row r="199" spans="1:15" x14ac:dyDescent="0.3">
      <c r="A199" t="s">
        <v>17</v>
      </c>
      <c r="B199" t="s">
        <v>24</v>
      </c>
      <c r="C199" t="s">
        <v>22</v>
      </c>
      <c r="D199" t="s">
        <v>20</v>
      </c>
      <c r="E199" t="s">
        <v>12</v>
      </c>
      <c r="F199">
        <v>55</v>
      </c>
      <c r="G199">
        <v>56</v>
      </c>
      <c r="H199">
        <v>51</v>
      </c>
      <c r="I199">
        <f>StudentsTable[[#This Row],[math score]]+StudentsTable[[#This Row],[reading score]]+StudentsTable[[#This Row],[writing score]]</f>
        <v>162</v>
      </c>
      <c r="J199">
        <f>StudentsTable[[#This Row],[TotalScore]]/3</f>
        <v>54</v>
      </c>
      <c r="K199" t="str" cm="1">
        <f t="array" ref="K199">_xlfn.IFS(StudentsTable[[#This Row],[AverageScore]]&gt;=90,"A",StudentsTable[[#This Row],[AverageScore]]&gt;=80,"B",StudentsTable[[#This Row],[AverageScore]]&gt;=70,"C",StudentsTable[[#This Row],[AverageScore]]&gt;=60,"D",TRUE,"F")</f>
        <v>F</v>
      </c>
      <c r="L199" t="str">
        <f>IF(StudentsTable[[#This Row],[AverageScore]]&gt;=60,"Pass","Fail")</f>
        <v>Fail</v>
      </c>
      <c r="M199" t="str" cm="1">
        <f t="array" ref="M199">_xlfn.IFS(StudentsTable[[#This Row],[AverageScore]]&gt;=85,"Advanced",StudentsTable[[#This Row],[AverageScore]]&gt;=70,"Intermediate",StudentsTable[[#This Row],[AverageScore]]&gt;=60,"Basic",TRUE,"Needs Help")</f>
        <v>Needs Help</v>
      </c>
      <c r="N199">
        <f>RANK(StudentsTable[[#This Row],[AverageScore]],StudentsTable[AverageScore])</f>
        <v>824</v>
      </c>
      <c r="O199">
        <f>(StudentsTable[[#This Row],[AverageScore]]-MIN(StudentsTable[AverageScore]))/(MAX(StudentsTable[AverageScore])-MIN(StudentsTable[AverageScore]))*100</f>
        <v>49.450549450549453</v>
      </c>
    </row>
    <row r="200" spans="1:15" x14ac:dyDescent="0.3">
      <c r="A200" t="s">
        <v>8</v>
      </c>
      <c r="B200" t="s">
        <v>9</v>
      </c>
      <c r="C200" t="s">
        <v>14</v>
      </c>
      <c r="D200" t="s">
        <v>20</v>
      </c>
      <c r="E200" t="s">
        <v>12</v>
      </c>
      <c r="F200">
        <v>45</v>
      </c>
      <c r="G200">
        <v>53</v>
      </c>
      <c r="H200">
        <v>55</v>
      </c>
      <c r="I200">
        <f>StudentsTable[[#This Row],[math score]]+StudentsTable[[#This Row],[reading score]]+StudentsTable[[#This Row],[writing score]]</f>
        <v>153</v>
      </c>
      <c r="J200">
        <f>StudentsTable[[#This Row],[TotalScore]]/3</f>
        <v>51</v>
      </c>
      <c r="K200" t="str" cm="1">
        <f t="array" ref="K200">_xlfn.IFS(StudentsTable[[#This Row],[AverageScore]]&gt;=90,"A",StudentsTable[[#This Row],[AverageScore]]&gt;=80,"B",StudentsTable[[#This Row],[AverageScore]]&gt;=70,"C",StudentsTable[[#This Row],[AverageScore]]&gt;=60,"D",TRUE,"F")</f>
        <v>F</v>
      </c>
      <c r="L200" t="str">
        <f>IF(StudentsTable[[#This Row],[AverageScore]]&gt;=60,"Pass","Fail")</f>
        <v>Fail</v>
      </c>
      <c r="M200" t="str" cm="1">
        <f t="array" ref="M200">_xlfn.IFS(StudentsTable[[#This Row],[AverageScore]]&gt;=85,"Advanced",StudentsTable[[#This Row],[AverageScore]]&gt;=70,"Intermediate",StudentsTable[[#This Row],[AverageScore]]&gt;=60,"Basic",TRUE,"Needs Help")</f>
        <v>Needs Help</v>
      </c>
      <c r="N200">
        <f>RANK(StudentsTable[[#This Row],[AverageScore]],StudentsTable[AverageScore])</f>
        <v>876</v>
      </c>
      <c r="O200">
        <f>(StudentsTable[[#This Row],[AverageScore]]-MIN(StudentsTable[AverageScore]))/(MAX(StudentsTable[AverageScore])-MIN(StudentsTable[AverageScore]))*100</f>
        <v>46.153846153846153</v>
      </c>
    </row>
    <row r="201" spans="1:15" x14ac:dyDescent="0.3">
      <c r="A201" t="s">
        <v>8</v>
      </c>
      <c r="B201" t="s">
        <v>9</v>
      </c>
      <c r="C201" t="s">
        <v>10</v>
      </c>
      <c r="D201" t="s">
        <v>20</v>
      </c>
      <c r="E201" t="s">
        <v>12</v>
      </c>
      <c r="F201">
        <v>78</v>
      </c>
      <c r="G201">
        <v>79</v>
      </c>
      <c r="H201">
        <v>76</v>
      </c>
      <c r="I201">
        <f>StudentsTable[[#This Row],[math score]]+StudentsTable[[#This Row],[reading score]]+StudentsTable[[#This Row],[writing score]]</f>
        <v>233</v>
      </c>
      <c r="J201">
        <f>StudentsTable[[#This Row],[TotalScore]]/3</f>
        <v>77.666666666666671</v>
      </c>
      <c r="K201" t="str" cm="1">
        <f t="array" ref="K201">_xlfn.IFS(StudentsTable[[#This Row],[AverageScore]]&gt;=90,"A",StudentsTable[[#This Row],[AverageScore]]&gt;=80,"B",StudentsTable[[#This Row],[AverageScore]]&gt;=70,"C",StudentsTable[[#This Row],[AverageScore]]&gt;=60,"D",TRUE,"F")</f>
        <v>C</v>
      </c>
      <c r="L201" t="str">
        <f>IF(StudentsTable[[#This Row],[AverageScore]]&gt;=60,"Pass","Fail")</f>
        <v>Pass</v>
      </c>
      <c r="M201" t="str" cm="1">
        <f t="array" ref="M201">_xlfn.IFS(StudentsTable[[#This Row],[AverageScore]]&gt;=85,"Advanced",StudentsTable[[#This Row],[AverageScore]]&gt;=70,"Intermediate",StudentsTable[[#This Row],[AverageScore]]&gt;=60,"Basic",TRUE,"Needs Help")</f>
        <v>Intermediate</v>
      </c>
      <c r="N201">
        <f>RANK(StudentsTable[[#This Row],[AverageScore]],StudentsTable[AverageScore])</f>
        <v>250</v>
      </c>
      <c r="O201">
        <f>(StudentsTable[[#This Row],[AverageScore]]-MIN(StudentsTable[AverageScore]))/(MAX(StudentsTable[AverageScore])-MIN(StudentsTable[AverageScore]))*100</f>
        <v>75.457875457875474</v>
      </c>
    </row>
    <row r="202" spans="1:15" x14ac:dyDescent="0.3">
      <c r="A202" t="s">
        <v>8</v>
      </c>
      <c r="B202" t="s">
        <v>13</v>
      </c>
      <c r="C202" t="s">
        <v>19</v>
      </c>
      <c r="D202" t="s">
        <v>11</v>
      </c>
      <c r="E202" t="s">
        <v>15</v>
      </c>
      <c r="F202">
        <v>67</v>
      </c>
      <c r="G202">
        <v>84</v>
      </c>
      <c r="H202">
        <v>86</v>
      </c>
      <c r="I202">
        <f>StudentsTable[[#This Row],[math score]]+StudentsTable[[#This Row],[reading score]]+StudentsTable[[#This Row],[writing score]]</f>
        <v>237</v>
      </c>
      <c r="J202">
        <f>StudentsTable[[#This Row],[TotalScore]]/3</f>
        <v>79</v>
      </c>
      <c r="K202" t="str" cm="1">
        <f t="array" ref="K202">_xlfn.IFS(StudentsTable[[#This Row],[AverageScore]]&gt;=90,"A",StudentsTable[[#This Row],[AverageScore]]&gt;=80,"B",StudentsTable[[#This Row],[AverageScore]]&gt;=70,"C",StudentsTable[[#This Row],[AverageScore]]&gt;=60,"D",TRUE,"F")</f>
        <v>C</v>
      </c>
      <c r="L202" t="str">
        <f>IF(StudentsTable[[#This Row],[AverageScore]]&gt;=60,"Pass","Fail")</f>
        <v>Pass</v>
      </c>
      <c r="M202" t="str" cm="1">
        <f t="array" ref="M202">_xlfn.IFS(StudentsTable[[#This Row],[AverageScore]]&gt;=85,"Advanced",StudentsTable[[#This Row],[AverageScore]]&gt;=70,"Intermediate",StudentsTable[[#This Row],[AverageScore]]&gt;=60,"Basic",TRUE,"Needs Help")</f>
        <v>Intermediate</v>
      </c>
      <c r="N202">
        <f>RANK(StudentsTable[[#This Row],[AverageScore]],StudentsTable[AverageScore])</f>
        <v>215</v>
      </c>
      <c r="O202">
        <f>(StudentsTable[[#This Row],[AverageScore]]-MIN(StudentsTable[AverageScore]))/(MAX(StudentsTable[AverageScore])-MIN(StudentsTable[AverageScore]))*100</f>
        <v>76.923076923076934</v>
      </c>
    </row>
    <row r="203" spans="1:15" x14ac:dyDescent="0.3">
      <c r="A203" t="s">
        <v>8</v>
      </c>
      <c r="B203" t="s">
        <v>21</v>
      </c>
      <c r="C203" t="s">
        <v>14</v>
      </c>
      <c r="D203" t="s">
        <v>20</v>
      </c>
      <c r="E203" t="s">
        <v>12</v>
      </c>
      <c r="F203">
        <v>65</v>
      </c>
      <c r="G203">
        <v>81</v>
      </c>
      <c r="H203">
        <v>77</v>
      </c>
      <c r="I203">
        <f>StudentsTable[[#This Row],[math score]]+StudentsTable[[#This Row],[reading score]]+StudentsTable[[#This Row],[writing score]]</f>
        <v>223</v>
      </c>
      <c r="J203">
        <f>StudentsTable[[#This Row],[TotalScore]]/3</f>
        <v>74.333333333333329</v>
      </c>
      <c r="K203" t="str" cm="1">
        <f t="array" ref="K203">_xlfn.IFS(StudentsTable[[#This Row],[AverageScore]]&gt;=90,"A",StudentsTable[[#This Row],[AverageScore]]&gt;=80,"B",StudentsTable[[#This Row],[AverageScore]]&gt;=70,"C",StudentsTable[[#This Row],[AverageScore]]&gt;=60,"D",TRUE,"F")</f>
        <v>C</v>
      </c>
      <c r="L203" t="str">
        <f>IF(StudentsTable[[#This Row],[AverageScore]]&gt;=60,"Pass","Fail")</f>
        <v>Pass</v>
      </c>
      <c r="M203" t="str" cm="1">
        <f t="array" ref="M203">_xlfn.IFS(StudentsTable[[#This Row],[AverageScore]]&gt;=85,"Advanced",StudentsTable[[#This Row],[AverageScore]]&gt;=70,"Intermediate",StudentsTable[[#This Row],[AverageScore]]&gt;=60,"Basic",TRUE,"Needs Help")</f>
        <v>Intermediate</v>
      </c>
      <c r="N203">
        <f>RANK(StudentsTable[[#This Row],[AverageScore]],StudentsTable[AverageScore])</f>
        <v>333</v>
      </c>
      <c r="O203">
        <f>(StudentsTable[[#This Row],[AverageScore]]-MIN(StudentsTable[AverageScore]))/(MAX(StudentsTable[AverageScore])-MIN(StudentsTable[AverageScore]))*100</f>
        <v>71.794871794871796</v>
      </c>
    </row>
    <row r="204" spans="1:15" x14ac:dyDescent="0.3">
      <c r="A204" t="s">
        <v>17</v>
      </c>
      <c r="B204" t="s">
        <v>13</v>
      </c>
      <c r="C204" t="s">
        <v>19</v>
      </c>
      <c r="D204" t="s">
        <v>11</v>
      </c>
      <c r="E204" t="s">
        <v>12</v>
      </c>
      <c r="F204">
        <v>69</v>
      </c>
      <c r="G204">
        <v>77</v>
      </c>
      <c r="H204">
        <v>69</v>
      </c>
      <c r="I204">
        <f>StudentsTable[[#This Row],[math score]]+StudentsTable[[#This Row],[reading score]]+StudentsTable[[#This Row],[writing score]]</f>
        <v>215</v>
      </c>
      <c r="J204">
        <f>StudentsTable[[#This Row],[TotalScore]]/3</f>
        <v>71.666666666666671</v>
      </c>
      <c r="K204" t="str" cm="1">
        <f t="array" ref="K204">_xlfn.IFS(StudentsTable[[#This Row],[AverageScore]]&gt;=90,"A",StudentsTable[[#This Row],[AverageScore]]&gt;=80,"B",StudentsTable[[#This Row],[AverageScore]]&gt;=70,"C",StudentsTable[[#This Row],[AverageScore]]&gt;=60,"D",TRUE,"F")</f>
        <v>C</v>
      </c>
      <c r="L204" t="str">
        <f>IF(StudentsTable[[#This Row],[AverageScore]]&gt;=60,"Pass","Fail")</f>
        <v>Pass</v>
      </c>
      <c r="M204" t="str" cm="1">
        <f t="array" ref="M204">_xlfn.IFS(StudentsTable[[#This Row],[AverageScore]]&gt;=85,"Advanced",StudentsTable[[#This Row],[AverageScore]]&gt;=70,"Intermediate",StudentsTable[[#This Row],[AverageScore]]&gt;=60,"Basic",TRUE,"Needs Help")</f>
        <v>Intermediate</v>
      </c>
      <c r="N204">
        <f>RANK(StudentsTable[[#This Row],[AverageScore]],StudentsTable[AverageScore])</f>
        <v>404</v>
      </c>
      <c r="O204">
        <f>(StudentsTable[[#This Row],[AverageScore]]-MIN(StudentsTable[AverageScore]))/(MAX(StudentsTable[AverageScore])-MIN(StudentsTable[AverageScore]))*100</f>
        <v>68.864468864468876</v>
      </c>
    </row>
    <row r="205" spans="1:15" x14ac:dyDescent="0.3">
      <c r="A205" t="s">
        <v>8</v>
      </c>
      <c r="B205" t="s">
        <v>9</v>
      </c>
      <c r="C205" t="s">
        <v>19</v>
      </c>
      <c r="D205" t="s">
        <v>11</v>
      </c>
      <c r="E205" t="s">
        <v>12</v>
      </c>
      <c r="F205">
        <v>57</v>
      </c>
      <c r="G205">
        <v>69</v>
      </c>
      <c r="H205">
        <v>68</v>
      </c>
      <c r="I205">
        <f>StudentsTable[[#This Row],[math score]]+StudentsTable[[#This Row],[reading score]]+StudentsTable[[#This Row],[writing score]]</f>
        <v>194</v>
      </c>
      <c r="J205">
        <f>StudentsTable[[#This Row],[TotalScore]]/3</f>
        <v>64.666666666666671</v>
      </c>
      <c r="K205" t="str" cm="1">
        <f t="array" ref="K205">_xlfn.IFS(StudentsTable[[#This Row],[AverageScore]]&gt;=90,"A",StudentsTable[[#This Row],[AverageScore]]&gt;=80,"B",StudentsTable[[#This Row],[AverageScore]]&gt;=70,"C",StudentsTable[[#This Row],[AverageScore]]&gt;=60,"D",TRUE,"F")</f>
        <v>D</v>
      </c>
      <c r="L205" t="str">
        <f>IF(StudentsTable[[#This Row],[AverageScore]]&gt;=60,"Pass","Fail")</f>
        <v>Pass</v>
      </c>
      <c r="M205" t="str" cm="1">
        <f t="array" ref="M205">_xlfn.IFS(StudentsTable[[#This Row],[AverageScore]]&gt;=85,"Advanced",StudentsTable[[#This Row],[AverageScore]]&gt;=70,"Intermediate",StudentsTable[[#This Row],[AverageScore]]&gt;=60,"Basic",TRUE,"Needs Help")</f>
        <v>Basic</v>
      </c>
      <c r="N205">
        <f>RANK(StudentsTable[[#This Row],[AverageScore]],StudentsTable[AverageScore])</f>
        <v>602</v>
      </c>
      <c r="O205">
        <f>(StudentsTable[[#This Row],[AverageScore]]-MIN(StudentsTable[AverageScore]))/(MAX(StudentsTable[AverageScore])-MIN(StudentsTable[AverageScore]))*100</f>
        <v>61.172161172161175</v>
      </c>
    </row>
    <row r="206" spans="1:15" x14ac:dyDescent="0.3">
      <c r="A206" t="s">
        <v>17</v>
      </c>
      <c r="B206" t="s">
        <v>13</v>
      </c>
      <c r="C206" t="s">
        <v>14</v>
      </c>
      <c r="D206" t="s">
        <v>11</v>
      </c>
      <c r="E206" t="s">
        <v>12</v>
      </c>
      <c r="F206">
        <v>59</v>
      </c>
      <c r="G206">
        <v>41</v>
      </c>
      <c r="H206">
        <v>42</v>
      </c>
      <c r="I206">
        <f>StudentsTable[[#This Row],[math score]]+StudentsTable[[#This Row],[reading score]]+StudentsTable[[#This Row],[writing score]]</f>
        <v>142</v>
      </c>
      <c r="J206">
        <f>StudentsTable[[#This Row],[TotalScore]]/3</f>
        <v>47.333333333333336</v>
      </c>
      <c r="K206" t="str" cm="1">
        <f t="array" ref="K206">_xlfn.IFS(StudentsTable[[#This Row],[AverageScore]]&gt;=90,"A",StudentsTable[[#This Row],[AverageScore]]&gt;=80,"B",StudentsTable[[#This Row],[AverageScore]]&gt;=70,"C",StudentsTable[[#This Row],[AverageScore]]&gt;=60,"D",TRUE,"F")</f>
        <v>F</v>
      </c>
      <c r="L206" t="str">
        <f>IF(StudentsTable[[#This Row],[AverageScore]]&gt;=60,"Pass","Fail")</f>
        <v>Fail</v>
      </c>
      <c r="M206" t="str" cm="1">
        <f t="array" ref="M206">_xlfn.IFS(StudentsTable[[#This Row],[AverageScore]]&gt;=85,"Advanced",StudentsTable[[#This Row],[AverageScore]]&gt;=70,"Intermediate",StudentsTable[[#This Row],[AverageScore]]&gt;=60,"Basic",TRUE,"Needs Help")</f>
        <v>Needs Help</v>
      </c>
      <c r="N206">
        <f>RANK(StudentsTable[[#This Row],[AverageScore]],StudentsTable[AverageScore])</f>
        <v>927</v>
      </c>
      <c r="O206">
        <f>(StudentsTable[[#This Row],[AverageScore]]-MIN(StudentsTable[AverageScore]))/(MAX(StudentsTable[AverageScore])-MIN(StudentsTable[AverageScore]))*100</f>
        <v>42.124542124542124</v>
      </c>
    </row>
    <row r="207" spans="1:15" x14ac:dyDescent="0.3">
      <c r="A207" t="s">
        <v>17</v>
      </c>
      <c r="B207" t="s">
        <v>21</v>
      </c>
      <c r="C207" t="s">
        <v>23</v>
      </c>
      <c r="D207" t="s">
        <v>11</v>
      </c>
      <c r="E207" t="s">
        <v>15</v>
      </c>
      <c r="F207">
        <v>74</v>
      </c>
      <c r="G207">
        <v>71</v>
      </c>
      <c r="H207">
        <v>78</v>
      </c>
      <c r="I207">
        <f>StudentsTable[[#This Row],[math score]]+StudentsTable[[#This Row],[reading score]]+StudentsTable[[#This Row],[writing score]]</f>
        <v>223</v>
      </c>
      <c r="J207">
        <f>StudentsTable[[#This Row],[TotalScore]]/3</f>
        <v>74.333333333333329</v>
      </c>
      <c r="K207" t="str" cm="1">
        <f t="array" ref="K207">_xlfn.IFS(StudentsTable[[#This Row],[AverageScore]]&gt;=90,"A",StudentsTable[[#This Row],[AverageScore]]&gt;=80,"B",StudentsTable[[#This Row],[AverageScore]]&gt;=70,"C",StudentsTable[[#This Row],[AverageScore]]&gt;=60,"D",TRUE,"F")</f>
        <v>C</v>
      </c>
      <c r="L207" t="str">
        <f>IF(StudentsTable[[#This Row],[AverageScore]]&gt;=60,"Pass","Fail")</f>
        <v>Pass</v>
      </c>
      <c r="M207" t="str" cm="1">
        <f t="array" ref="M207">_xlfn.IFS(StudentsTable[[#This Row],[AverageScore]]&gt;=85,"Advanced",StudentsTable[[#This Row],[AverageScore]]&gt;=70,"Intermediate",StudentsTable[[#This Row],[AverageScore]]&gt;=60,"Basic",TRUE,"Needs Help")</f>
        <v>Intermediate</v>
      </c>
      <c r="N207">
        <f>RANK(StudentsTable[[#This Row],[AverageScore]],StudentsTable[AverageScore])</f>
        <v>333</v>
      </c>
      <c r="O207">
        <f>(StudentsTable[[#This Row],[AverageScore]]-MIN(StudentsTable[AverageScore]))/(MAX(StudentsTable[AverageScore])-MIN(StudentsTable[AverageScore]))*100</f>
        <v>71.794871794871796</v>
      </c>
    </row>
    <row r="208" spans="1:15" x14ac:dyDescent="0.3">
      <c r="A208" t="s">
        <v>17</v>
      </c>
      <c r="B208" t="s">
        <v>24</v>
      </c>
      <c r="C208" t="s">
        <v>10</v>
      </c>
      <c r="D208" t="s">
        <v>11</v>
      </c>
      <c r="E208" t="s">
        <v>12</v>
      </c>
      <c r="F208">
        <v>82</v>
      </c>
      <c r="G208">
        <v>62</v>
      </c>
      <c r="H208">
        <v>62</v>
      </c>
      <c r="I208">
        <f>StudentsTable[[#This Row],[math score]]+StudentsTable[[#This Row],[reading score]]+StudentsTable[[#This Row],[writing score]]</f>
        <v>206</v>
      </c>
      <c r="J208">
        <f>StudentsTable[[#This Row],[TotalScore]]/3</f>
        <v>68.666666666666671</v>
      </c>
      <c r="K208" t="str" cm="1">
        <f t="array" ref="K208">_xlfn.IFS(StudentsTable[[#This Row],[AverageScore]]&gt;=90,"A",StudentsTable[[#This Row],[AverageScore]]&gt;=80,"B",StudentsTable[[#This Row],[AverageScore]]&gt;=70,"C",StudentsTable[[#This Row],[AverageScore]]&gt;=60,"D",TRUE,"F")</f>
        <v>D</v>
      </c>
      <c r="L208" t="str">
        <f>IF(StudentsTable[[#This Row],[AverageScore]]&gt;=60,"Pass","Fail")</f>
        <v>Pass</v>
      </c>
      <c r="M208" t="str" cm="1">
        <f t="array" ref="M208">_xlfn.IFS(StudentsTable[[#This Row],[AverageScore]]&gt;=85,"Advanced",StudentsTable[[#This Row],[AverageScore]]&gt;=70,"Intermediate",StudentsTable[[#This Row],[AverageScore]]&gt;=60,"Basic",TRUE,"Needs Help")</f>
        <v>Basic</v>
      </c>
      <c r="N208">
        <f>RANK(StudentsTable[[#This Row],[AverageScore]],StudentsTable[AverageScore])</f>
        <v>487</v>
      </c>
      <c r="O208">
        <f>(StudentsTable[[#This Row],[AverageScore]]-MIN(StudentsTable[AverageScore]))/(MAX(StudentsTable[AverageScore])-MIN(StudentsTable[AverageScore]))*100</f>
        <v>65.567765567765562</v>
      </c>
    </row>
    <row r="209" spans="1:15" x14ac:dyDescent="0.3">
      <c r="A209" t="s">
        <v>17</v>
      </c>
      <c r="B209" t="s">
        <v>24</v>
      </c>
      <c r="C209" t="s">
        <v>22</v>
      </c>
      <c r="D209" t="s">
        <v>11</v>
      </c>
      <c r="E209" t="s">
        <v>15</v>
      </c>
      <c r="F209">
        <v>81</v>
      </c>
      <c r="G209">
        <v>80</v>
      </c>
      <c r="H209">
        <v>76</v>
      </c>
      <c r="I209">
        <f>StudentsTable[[#This Row],[math score]]+StudentsTable[[#This Row],[reading score]]+StudentsTable[[#This Row],[writing score]]</f>
        <v>237</v>
      </c>
      <c r="J209">
        <f>StudentsTable[[#This Row],[TotalScore]]/3</f>
        <v>79</v>
      </c>
      <c r="K209" t="str" cm="1">
        <f t="array" ref="K209">_xlfn.IFS(StudentsTable[[#This Row],[AverageScore]]&gt;=90,"A",StudentsTable[[#This Row],[AverageScore]]&gt;=80,"B",StudentsTable[[#This Row],[AverageScore]]&gt;=70,"C",StudentsTable[[#This Row],[AverageScore]]&gt;=60,"D",TRUE,"F")</f>
        <v>C</v>
      </c>
      <c r="L209" t="str">
        <f>IF(StudentsTable[[#This Row],[AverageScore]]&gt;=60,"Pass","Fail")</f>
        <v>Pass</v>
      </c>
      <c r="M209" t="str" cm="1">
        <f t="array" ref="M209">_xlfn.IFS(StudentsTable[[#This Row],[AverageScore]]&gt;=85,"Advanced",StudentsTable[[#This Row],[AverageScore]]&gt;=70,"Intermediate",StudentsTable[[#This Row],[AverageScore]]&gt;=60,"Basic",TRUE,"Needs Help")</f>
        <v>Intermediate</v>
      </c>
      <c r="N209">
        <f>RANK(StudentsTable[[#This Row],[AverageScore]],StudentsTable[AverageScore])</f>
        <v>215</v>
      </c>
      <c r="O209">
        <f>(StudentsTable[[#This Row],[AverageScore]]-MIN(StudentsTable[AverageScore]))/(MAX(StudentsTable[AverageScore])-MIN(StudentsTable[AverageScore]))*100</f>
        <v>76.923076923076934</v>
      </c>
    </row>
    <row r="210" spans="1:15" x14ac:dyDescent="0.3">
      <c r="A210" t="s">
        <v>8</v>
      </c>
      <c r="B210" t="s">
        <v>9</v>
      </c>
      <c r="C210" t="s">
        <v>14</v>
      </c>
      <c r="D210" t="s">
        <v>20</v>
      </c>
      <c r="E210" t="s">
        <v>12</v>
      </c>
      <c r="F210">
        <v>74</v>
      </c>
      <c r="G210">
        <v>81</v>
      </c>
      <c r="H210">
        <v>76</v>
      </c>
      <c r="I210">
        <f>StudentsTable[[#This Row],[math score]]+StudentsTable[[#This Row],[reading score]]+StudentsTable[[#This Row],[writing score]]</f>
        <v>231</v>
      </c>
      <c r="J210">
        <f>StudentsTable[[#This Row],[TotalScore]]/3</f>
        <v>77</v>
      </c>
      <c r="K210" t="str" cm="1">
        <f t="array" ref="K210">_xlfn.IFS(StudentsTable[[#This Row],[AverageScore]]&gt;=90,"A",StudentsTable[[#This Row],[AverageScore]]&gt;=80,"B",StudentsTable[[#This Row],[AverageScore]]&gt;=70,"C",StudentsTable[[#This Row],[AverageScore]]&gt;=60,"D",TRUE,"F")</f>
        <v>C</v>
      </c>
      <c r="L210" t="str">
        <f>IF(StudentsTable[[#This Row],[AverageScore]]&gt;=60,"Pass","Fail")</f>
        <v>Pass</v>
      </c>
      <c r="M210" t="str" cm="1">
        <f t="array" ref="M210">_xlfn.IFS(StudentsTable[[#This Row],[AverageScore]]&gt;=85,"Advanced",StudentsTable[[#This Row],[AverageScore]]&gt;=70,"Intermediate",StudentsTable[[#This Row],[AverageScore]]&gt;=60,"Basic",TRUE,"Needs Help")</f>
        <v>Intermediate</v>
      </c>
      <c r="N210">
        <f>RANK(StudentsTable[[#This Row],[AverageScore]],StudentsTable[AverageScore])</f>
        <v>269</v>
      </c>
      <c r="O210">
        <f>(StudentsTable[[#This Row],[AverageScore]]-MIN(StudentsTable[AverageScore]))/(MAX(StudentsTable[AverageScore])-MIN(StudentsTable[AverageScore]))*100</f>
        <v>74.72527472527473</v>
      </c>
    </row>
    <row r="211" spans="1:15" x14ac:dyDescent="0.3">
      <c r="A211" t="s">
        <v>8</v>
      </c>
      <c r="B211" t="s">
        <v>9</v>
      </c>
      <c r="C211" t="s">
        <v>14</v>
      </c>
      <c r="D211" t="s">
        <v>20</v>
      </c>
      <c r="E211" t="s">
        <v>12</v>
      </c>
      <c r="F211">
        <v>58</v>
      </c>
      <c r="G211">
        <v>61</v>
      </c>
      <c r="H211">
        <v>66</v>
      </c>
      <c r="I211">
        <f>StudentsTable[[#This Row],[math score]]+StudentsTable[[#This Row],[reading score]]+StudentsTable[[#This Row],[writing score]]</f>
        <v>185</v>
      </c>
      <c r="J211">
        <f>StudentsTable[[#This Row],[TotalScore]]/3</f>
        <v>61.666666666666664</v>
      </c>
      <c r="K211" t="str" cm="1">
        <f t="array" ref="K211">_xlfn.IFS(StudentsTable[[#This Row],[AverageScore]]&gt;=90,"A",StudentsTable[[#This Row],[AverageScore]]&gt;=80,"B",StudentsTable[[#This Row],[AverageScore]]&gt;=70,"C",StudentsTable[[#This Row],[AverageScore]]&gt;=60,"D",TRUE,"F")</f>
        <v>D</v>
      </c>
      <c r="L211" t="str">
        <f>IF(StudentsTable[[#This Row],[AverageScore]]&gt;=60,"Pass","Fail")</f>
        <v>Pass</v>
      </c>
      <c r="M211" t="str" cm="1">
        <f t="array" ref="M211">_xlfn.IFS(StudentsTable[[#This Row],[AverageScore]]&gt;=85,"Advanced",StudentsTable[[#This Row],[AverageScore]]&gt;=70,"Intermediate",StudentsTable[[#This Row],[AverageScore]]&gt;=60,"Basic",TRUE,"Needs Help")</f>
        <v>Basic</v>
      </c>
      <c r="N211">
        <f>RANK(StudentsTable[[#This Row],[AverageScore]],StudentsTable[AverageScore])</f>
        <v>671</v>
      </c>
      <c r="O211">
        <f>(StudentsTable[[#This Row],[AverageScore]]-MIN(StudentsTable[AverageScore]))/(MAX(StudentsTable[AverageScore])-MIN(StudentsTable[AverageScore]))*100</f>
        <v>57.875457875457869</v>
      </c>
    </row>
    <row r="212" spans="1:15" x14ac:dyDescent="0.3">
      <c r="A212" t="s">
        <v>17</v>
      </c>
      <c r="B212" t="s">
        <v>21</v>
      </c>
      <c r="C212" t="s">
        <v>23</v>
      </c>
      <c r="D212" t="s">
        <v>20</v>
      </c>
      <c r="E212" t="s">
        <v>15</v>
      </c>
      <c r="F212">
        <v>80</v>
      </c>
      <c r="G212">
        <v>79</v>
      </c>
      <c r="H212">
        <v>79</v>
      </c>
      <c r="I212">
        <f>StudentsTable[[#This Row],[math score]]+StudentsTable[[#This Row],[reading score]]+StudentsTable[[#This Row],[writing score]]</f>
        <v>238</v>
      </c>
      <c r="J212">
        <f>StudentsTable[[#This Row],[TotalScore]]/3</f>
        <v>79.333333333333329</v>
      </c>
      <c r="K212" t="str" cm="1">
        <f t="array" ref="K212">_xlfn.IFS(StudentsTable[[#This Row],[AverageScore]]&gt;=90,"A",StudentsTable[[#This Row],[AverageScore]]&gt;=80,"B",StudentsTable[[#This Row],[AverageScore]]&gt;=70,"C",StudentsTable[[#This Row],[AverageScore]]&gt;=60,"D",TRUE,"F")</f>
        <v>C</v>
      </c>
      <c r="L212" t="str">
        <f>IF(StudentsTable[[#This Row],[AverageScore]]&gt;=60,"Pass","Fail")</f>
        <v>Pass</v>
      </c>
      <c r="M212" t="str" cm="1">
        <f t="array" ref="M212">_xlfn.IFS(StudentsTable[[#This Row],[AverageScore]]&gt;=85,"Advanced",StudentsTable[[#This Row],[AverageScore]]&gt;=70,"Intermediate",StudentsTable[[#This Row],[AverageScore]]&gt;=60,"Basic",TRUE,"Needs Help")</f>
        <v>Intermediate</v>
      </c>
      <c r="N212">
        <f>RANK(StudentsTable[[#This Row],[AverageScore]],StudentsTable[AverageScore])</f>
        <v>207</v>
      </c>
      <c r="O212">
        <f>(StudentsTable[[#This Row],[AverageScore]]-MIN(StudentsTable[AverageScore]))/(MAX(StudentsTable[AverageScore])-MIN(StudentsTable[AverageScore]))*100</f>
        <v>77.289377289377285</v>
      </c>
    </row>
    <row r="213" spans="1:15" x14ac:dyDescent="0.3">
      <c r="A213" t="s">
        <v>17</v>
      </c>
      <c r="B213" t="s">
        <v>13</v>
      </c>
      <c r="C213" t="s">
        <v>14</v>
      </c>
      <c r="D213" t="s">
        <v>20</v>
      </c>
      <c r="E213" t="s">
        <v>12</v>
      </c>
      <c r="F213">
        <v>35</v>
      </c>
      <c r="G213">
        <v>28</v>
      </c>
      <c r="H213">
        <v>27</v>
      </c>
      <c r="I213">
        <f>StudentsTable[[#This Row],[math score]]+StudentsTable[[#This Row],[reading score]]+StudentsTable[[#This Row],[writing score]]</f>
        <v>90</v>
      </c>
      <c r="J213">
        <f>StudentsTable[[#This Row],[TotalScore]]/3</f>
        <v>30</v>
      </c>
      <c r="K213" t="str" cm="1">
        <f t="array" ref="K213">_xlfn.IFS(StudentsTable[[#This Row],[AverageScore]]&gt;=90,"A",StudentsTable[[#This Row],[AverageScore]]&gt;=80,"B",StudentsTable[[#This Row],[AverageScore]]&gt;=70,"C",StudentsTable[[#This Row],[AverageScore]]&gt;=60,"D",TRUE,"F")</f>
        <v>F</v>
      </c>
      <c r="L213" t="str">
        <f>IF(StudentsTable[[#This Row],[AverageScore]]&gt;=60,"Pass","Fail")</f>
        <v>Fail</v>
      </c>
      <c r="M213" t="str" cm="1">
        <f t="array" ref="M213">_xlfn.IFS(StudentsTable[[#This Row],[AverageScore]]&gt;=85,"Advanced",StudentsTable[[#This Row],[AverageScore]]&gt;=70,"Intermediate",StudentsTable[[#This Row],[AverageScore]]&gt;=60,"Basic",TRUE,"Needs Help")</f>
        <v>Needs Help</v>
      </c>
      <c r="N213">
        <f>RANK(StudentsTable[[#This Row],[AverageScore]],StudentsTable[AverageScore])</f>
        <v>991</v>
      </c>
      <c r="O213">
        <f>(StudentsTable[[#This Row],[AverageScore]]-MIN(StudentsTable[AverageScore]))/(MAX(StudentsTable[AverageScore])-MIN(StudentsTable[AverageScore]))*100</f>
        <v>23.076923076923077</v>
      </c>
    </row>
    <row r="214" spans="1:15" x14ac:dyDescent="0.3">
      <c r="A214" t="s">
        <v>8</v>
      </c>
      <c r="B214" t="s">
        <v>13</v>
      </c>
      <c r="C214" t="s">
        <v>22</v>
      </c>
      <c r="D214" t="s">
        <v>20</v>
      </c>
      <c r="E214" t="s">
        <v>12</v>
      </c>
      <c r="F214">
        <v>42</v>
      </c>
      <c r="G214">
        <v>62</v>
      </c>
      <c r="H214">
        <v>60</v>
      </c>
      <c r="I214">
        <f>StudentsTable[[#This Row],[math score]]+StudentsTable[[#This Row],[reading score]]+StudentsTable[[#This Row],[writing score]]</f>
        <v>164</v>
      </c>
      <c r="J214">
        <f>StudentsTable[[#This Row],[TotalScore]]/3</f>
        <v>54.666666666666664</v>
      </c>
      <c r="K214" t="str" cm="1">
        <f t="array" ref="K214">_xlfn.IFS(StudentsTable[[#This Row],[AverageScore]]&gt;=90,"A",StudentsTable[[#This Row],[AverageScore]]&gt;=80,"B",StudentsTable[[#This Row],[AverageScore]]&gt;=70,"C",StudentsTable[[#This Row],[AverageScore]]&gt;=60,"D",TRUE,"F")</f>
        <v>F</v>
      </c>
      <c r="L214" t="str">
        <f>IF(StudentsTable[[#This Row],[AverageScore]]&gt;=60,"Pass","Fail")</f>
        <v>Fail</v>
      </c>
      <c r="M214" t="str" cm="1">
        <f t="array" ref="M214">_xlfn.IFS(StudentsTable[[#This Row],[AverageScore]]&gt;=85,"Advanced",StudentsTable[[#This Row],[AverageScore]]&gt;=70,"Intermediate",StudentsTable[[#This Row],[AverageScore]]&gt;=60,"Basic",TRUE,"Needs Help")</f>
        <v>Needs Help</v>
      </c>
      <c r="N214">
        <f>RANK(StudentsTable[[#This Row],[AverageScore]],StudentsTable[AverageScore])</f>
        <v>810</v>
      </c>
      <c r="O214">
        <f>(StudentsTable[[#This Row],[AverageScore]]-MIN(StudentsTable[AverageScore]))/(MAX(StudentsTable[AverageScore])-MIN(StudentsTable[AverageScore]))*100</f>
        <v>50.183150183150182</v>
      </c>
    </row>
    <row r="215" spans="1:15" x14ac:dyDescent="0.3">
      <c r="A215" t="s">
        <v>17</v>
      </c>
      <c r="B215" t="s">
        <v>13</v>
      </c>
      <c r="C215" t="s">
        <v>19</v>
      </c>
      <c r="D215" t="s">
        <v>20</v>
      </c>
      <c r="E215" t="s">
        <v>15</v>
      </c>
      <c r="F215">
        <v>60</v>
      </c>
      <c r="G215">
        <v>51</v>
      </c>
      <c r="H215">
        <v>56</v>
      </c>
      <c r="I215">
        <f>StudentsTable[[#This Row],[math score]]+StudentsTable[[#This Row],[reading score]]+StudentsTable[[#This Row],[writing score]]</f>
        <v>167</v>
      </c>
      <c r="J215">
        <f>StudentsTable[[#This Row],[TotalScore]]/3</f>
        <v>55.666666666666664</v>
      </c>
      <c r="K215" t="str" cm="1">
        <f t="array" ref="K215">_xlfn.IFS(StudentsTable[[#This Row],[AverageScore]]&gt;=90,"A",StudentsTable[[#This Row],[AverageScore]]&gt;=80,"B",StudentsTable[[#This Row],[AverageScore]]&gt;=70,"C",StudentsTable[[#This Row],[AverageScore]]&gt;=60,"D",TRUE,"F")</f>
        <v>F</v>
      </c>
      <c r="L215" t="str">
        <f>IF(StudentsTable[[#This Row],[AverageScore]]&gt;=60,"Pass","Fail")</f>
        <v>Fail</v>
      </c>
      <c r="M215" t="str" cm="1">
        <f t="array" ref="M215">_xlfn.IFS(StudentsTable[[#This Row],[AverageScore]]&gt;=85,"Advanced",StudentsTable[[#This Row],[AverageScore]]&gt;=70,"Intermediate",StudentsTable[[#This Row],[AverageScore]]&gt;=60,"Basic",TRUE,"Needs Help")</f>
        <v>Needs Help</v>
      </c>
      <c r="N215">
        <f>RANK(StudentsTable[[#This Row],[AverageScore]],StudentsTable[AverageScore])</f>
        <v>796</v>
      </c>
      <c r="O215">
        <f>(StudentsTable[[#This Row],[AverageScore]]-MIN(StudentsTable[AverageScore]))/(MAX(StudentsTable[AverageScore])-MIN(StudentsTable[AverageScore]))*100</f>
        <v>51.282051282051277</v>
      </c>
    </row>
    <row r="216" spans="1:15" x14ac:dyDescent="0.3">
      <c r="A216" t="s">
        <v>17</v>
      </c>
      <c r="B216" t="s">
        <v>24</v>
      </c>
      <c r="C216" t="s">
        <v>22</v>
      </c>
      <c r="D216" t="s">
        <v>11</v>
      </c>
      <c r="E216" t="s">
        <v>15</v>
      </c>
      <c r="F216">
        <v>87</v>
      </c>
      <c r="G216">
        <v>91</v>
      </c>
      <c r="H216">
        <v>81</v>
      </c>
      <c r="I216">
        <f>StudentsTable[[#This Row],[math score]]+StudentsTable[[#This Row],[reading score]]+StudentsTable[[#This Row],[writing score]]</f>
        <v>259</v>
      </c>
      <c r="J216">
        <f>StudentsTable[[#This Row],[TotalScore]]/3</f>
        <v>86.333333333333329</v>
      </c>
      <c r="K216" t="str" cm="1">
        <f t="array" ref="K216">_xlfn.IFS(StudentsTable[[#This Row],[AverageScore]]&gt;=90,"A",StudentsTable[[#This Row],[AverageScore]]&gt;=80,"B",StudentsTable[[#This Row],[AverageScore]]&gt;=70,"C",StudentsTable[[#This Row],[AverageScore]]&gt;=60,"D",TRUE,"F")</f>
        <v>B</v>
      </c>
      <c r="L216" t="str">
        <f>IF(StudentsTable[[#This Row],[AverageScore]]&gt;=60,"Pass","Fail")</f>
        <v>Pass</v>
      </c>
      <c r="M216" t="str" cm="1">
        <f t="array" ref="M216">_xlfn.IFS(StudentsTable[[#This Row],[AverageScore]]&gt;=85,"Advanced",StudentsTable[[#This Row],[AverageScore]]&gt;=70,"Intermediate",StudentsTable[[#This Row],[AverageScore]]&gt;=60,"Basic",TRUE,"Needs Help")</f>
        <v>Advanced</v>
      </c>
      <c r="N216">
        <f>RANK(StudentsTable[[#This Row],[AverageScore]],StudentsTable[AverageScore])</f>
        <v>93</v>
      </c>
      <c r="O216">
        <f>(StudentsTable[[#This Row],[AverageScore]]-MIN(StudentsTable[AverageScore]))/(MAX(StudentsTable[AverageScore])-MIN(StudentsTable[AverageScore]))*100</f>
        <v>84.981684981684978</v>
      </c>
    </row>
    <row r="217" spans="1:15" x14ac:dyDescent="0.3">
      <c r="A217" t="s">
        <v>17</v>
      </c>
      <c r="B217" t="s">
        <v>9</v>
      </c>
      <c r="C217" t="s">
        <v>23</v>
      </c>
      <c r="D217" t="s">
        <v>11</v>
      </c>
      <c r="E217" t="s">
        <v>15</v>
      </c>
      <c r="F217">
        <v>84</v>
      </c>
      <c r="G217">
        <v>83</v>
      </c>
      <c r="H217">
        <v>75</v>
      </c>
      <c r="I217">
        <f>StudentsTable[[#This Row],[math score]]+StudentsTable[[#This Row],[reading score]]+StudentsTable[[#This Row],[writing score]]</f>
        <v>242</v>
      </c>
      <c r="J217">
        <f>StudentsTable[[#This Row],[TotalScore]]/3</f>
        <v>80.666666666666671</v>
      </c>
      <c r="K217" t="str" cm="1">
        <f t="array" ref="K217">_xlfn.IFS(StudentsTable[[#This Row],[AverageScore]]&gt;=90,"A",StudentsTable[[#This Row],[AverageScore]]&gt;=80,"B",StudentsTable[[#This Row],[AverageScore]]&gt;=70,"C",StudentsTable[[#This Row],[AverageScore]]&gt;=60,"D",TRUE,"F")</f>
        <v>B</v>
      </c>
      <c r="L217" t="str">
        <f>IF(StudentsTable[[#This Row],[AverageScore]]&gt;=60,"Pass","Fail")</f>
        <v>Pass</v>
      </c>
      <c r="M217" t="str" cm="1">
        <f t="array" ref="M217">_xlfn.IFS(StudentsTable[[#This Row],[AverageScore]]&gt;=85,"Advanced",StudentsTable[[#This Row],[AverageScore]]&gt;=70,"Intermediate",StudentsTable[[#This Row],[AverageScore]]&gt;=60,"Basic",TRUE,"Needs Help")</f>
        <v>Intermediate</v>
      </c>
      <c r="N217">
        <f>RANK(StudentsTable[[#This Row],[AverageScore]],StudentsTable[AverageScore])</f>
        <v>180</v>
      </c>
      <c r="O217">
        <f>(StudentsTable[[#This Row],[AverageScore]]-MIN(StudentsTable[AverageScore]))/(MAX(StudentsTable[AverageScore])-MIN(StudentsTable[AverageScore]))*100</f>
        <v>78.754578754578759</v>
      </c>
    </row>
    <row r="218" spans="1:15" x14ac:dyDescent="0.3">
      <c r="A218" t="s">
        <v>8</v>
      </c>
      <c r="B218" t="s">
        <v>24</v>
      </c>
      <c r="C218" t="s">
        <v>19</v>
      </c>
      <c r="D218" t="s">
        <v>20</v>
      </c>
      <c r="E218" t="s">
        <v>15</v>
      </c>
      <c r="F218">
        <v>83</v>
      </c>
      <c r="G218">
        <v>86</v>
      </c>
      <c r="H218">
        <v>88</v>
      </c>
      <c r="I218">
        <f>StudentsTable[[#This Row],[math score]]+StudentsTable[[#This Row],[reading score]]+StudentsTable[[#This Row],[writing score]]</f>
        <v>257</v>
      </c>
      <c r="J218">
        <f>StudentsTable[[#This Row],[TotalScore]]/3</f>
        <v>85.666666666666671</v>
      </c>
      <c r="K218" t="str" cm="1">
        <f t="array" ref="K218">_xlfn.IFS(StudentsTable[[#This Row],[AverageScore]]&gt;=90,"A",StudentsTable[[#This Row],[AverageScore]]&gt;=80,"B",StudentsTable[[#This Row],[AverageScore]]&gt;=70,"C",StudentsTable[[#This Row],[AverageScore]]&gt;=60,"D",TRUE,"F")</f>
        <v>B</v>
      </c>
      <c r="L218" t="str">
        <f>IF(StudentsTable[[#This Row],[AverageScore]]&gt;=60,"Pass","Fail")</f>
        <v>Pass</v>
      </c>
      <c r="M218" t="str" cm="1">
        <f t="array" ref="M218">_xlfn.IFS(StudentsTable[[#This Row],[AverageScore]]&gt;=85,"Advanced",StudentsTable[[#This Row],[AverageScore]]&gt;=70,"Intermediate",StudentsTable[[#This Row],[AverageScore]]&gt;=60,"Basic",TRUE,"Needs Help")</f>
        <v>Advanced</v>
      </c>
      <c r="N218">
        <f>RANK(StudentsTable[[#This Row],[AverageScore]],StudentsTable[AverageScore])</f>
        <v>103</v>
      </c>
      <c r="O218">
        <f>(StudentsTable[[#This Row],[AverageScore]]-MIN(StudentsTable[AverageScore]))/(MAX(StudentsTable[AverageScore])-MIN(StudentsTable[AverageScore]))*100</f>
        <v>84.249084249084248</v>
      </c>
    </row>
    <row r="219" spans="1:15" x14ac:dyDescent="0.3">
      <c r="A219" t="s">
        <v>8</v>
      </c>
      <c r="B219" t="s">
        <v>13</v>
      </c>
      <c r="C219" t="s">
        <v>22</v>
      </c>
      <c r="D219" t="s">
        <v>20</v>
      </c>
      <c r="E219" t="s">
        <v>12</v>
      </c>
      <c r="F219">
        <v>34</v>
      </c>
      <c r="G219">
        <v>42</v>
      </c>
      <c r="H219">
        <v>39</v>
      </c>
      <c r="I219">
        <f>StudentsTable[[#This Row],[math score]]+StudentsTable[[#This Row],[reading score]]+StudentsTable[[#This Row],[writing score]]</f>
        <v>115</v>
      </c>
      <c r="J219">
        <f>StudentsTable[[#This Row],[TotalScore]]/3</f>
        <v>38.333333333333336</v>
      </c>
      <c r="K219" t="str" cm="1">
        <f t="array" ref="K219">_xlfn.IFS(StudentsTable[[#This Row],[AverageScore]]&gt;=90,"A",StudentsTable[[#This Row],[AverageScore]]&gt;=80,"B",StudentsTable[[#This Row],[AverageScore]]&gt;=70,"C",StudentsTable[[#This Row],[AverageScore]]&gt;=60,"D",TRUE,"F")</f>
        <v>F</v>
      </c>
      <c r="L219" t="str">
        <f>IF(StudentsTable[[#This Row],[AverageScore]]&gt;=60,"Pass","Fail")</f>
        <v>Fail</v>
      </c>
      <c r="M219" t="str" cm="1">
        <f t="array" ref="M219">_xlfn.IFS(StudentsTable[[#This Row],[AverageScore]]&gt;=85,"Advanced",StudentsTable[[#This Row],[AverageScore]]&gt;=70,"Intermediate",StudentsTable[[#This Row],[AverageScore]]&gt;=60,"Basic",TRUE,"Needs Help")</f>
        <v>Needs Help</v>
      </c>
      <c r="N219">
        <f>RANK(StudentsTable[[#This Row],[AverageScore]],StudentsTable[AverageScore])</f>
        <v>978</v>
      </c>
      <c r="O219">
        <f>(StudentsTable[[#This Row],[AverageScore]]-MIN(StudentsTable[AverageScore]))/(MAX(StudentsTable[AverageScore])-MIN(StudentsTable[AverageScore]))*100</f>
        <v>32.234432234432234</v>
      </c>
    </row>
    <row r="220" spans="1:15" x14ac:dyDescent="0.3">
      <c r="A220" t="s">
        <v>17</v>
      </c>
      <c r="B220" t="s">
        <v>9</v>
      </c>
      <c r="C220" t="s">
        <v>22</v>
      </c>
      <c r="D220" t="s">
        <v>20</v>
      </c>
      <c r="E220" t="s">
        <v>12</v>
      </c>
      <c r="F220">
        <v>66</v>
      </c>
      <c r="G220">
        <v>77</v>
      </c>
      <c r="H220">
        <v>70</v>
      </c>
      <c r="I220">
        <f>StudentsTable[[#This Row],[math score]]+StudentsTable[[#This Row],[reading score]]+StudentsTable[[#This Row],[writing score]]</f>
        <v>213</v>
      </c>
      <c r="J220">
        <f>StudentsTable[[#This Row],[TotalScore]]/3</f>
        <v>71</v>
      </c>
      <c r="K220" t="str" cm="1">
        <f t="array" ref="K220">_xlfn.IFS(StudentsTable[[#This Row],[AverageScore]]&gt;=90,"A",StudentsTable[[#This Row],[AverageScore]]&gt;=80,"B",StudentsTable[[#This Row],[AverageScore]]&gt;=70,"C",StudentsTable[[#This Row],[AverageScore]]&gt;=60,"D",TRUE,"F")</f>
        <v>C</v>
      </c>
      <c r="L220" t="str">
        <f>IF(StudentsTable[[#This Row],[AverageScore]]&gt;=60,"Pass","Fail")</f>
        <v>Pass</v>
      </c>
      <c r="M220" t="str" cm="1">
        <f t="array" ref="M220">_xlfn.IFS(StudentsTable[[#This Row],[AverageScore]]&gt;=85,"Advanced",StudentsTable[[#This Row],[AverageScore]]&gt;=70,"Intermediate",StudentsTable[[#This Row],[AverageScore]]&gt;=60,"Basic",TRUE,"Needs Help")</f>
        <v>Intermediate</v>
      </c>
      <c r="N220">
        <f>RANK(StudentsTable[[#This Row],[AverageScore]],StudentsTable[AverageScore])</f>
        <v>424</v>
      </c>
      <c r="O220">
        <f>(StudentsTable[[#This Row],[AverageScore]]-MIN(StudentsTable[AverageScore]))/(MAX(StudentsTable[AverageScore])-MIN(StudentsTable[AverageScore]))*100</f>
        <v>68.131868131868131</v>
      </c>
    </row>
    <row r="221" spans="1:15" x14ac:dyDescent="0.3">
      <c r="A221" t="s">
        <v>17</v>
      </c>
      <c r="B221" t="s">
        <v>9</v>
      </c>
      <c r="C221" t="s">
        <v>23</v>
      </c>
      <c r="D221" t="s">
        <v>11</v>
      </c>
      <c r="E221" t="s">
        <v>15</v>
      </c>
      <c r="F221">
        <v>61</v>
      </c>
      <c r="G221">
        <v>56</v>
      </c>
      <c r="H221">
        <v>56</v>
      </c>
      <c r="I221">
        <f>StudentsTable[[#This Row],[math score]]+StudentsTable[[#This Row],[reading score]]+StudentsTable[[#This Row],[writing score]]</f>
        <v>173</v>
      </c>
      <c r="J221">
        <f>StudentsTable[[#This Row],[TotalScore]]/3</f>
        <v>57.666666666666664</v>
      </c>
      <c r="K221" t="str" cm="1">
        <f t="array" ref="K221">_xlfn.IFS(StudentsTable[[#This Row],[AverageScore]]&gt;=90,"A",StudentsTable[[#This Row],[AverageScore]]&gt;=80,"B",StudentsTable[[#This Row],[AverageScore]]&gt;=70,"C",StudentsTable[[#This Row],[AverageScore]]&gt;=60,"D",TRUE,"F")</f>
        <v>F</v>
      </c>
      <c r="L221" t="str">
        <f>IF(StudentsTable[[#This Row],[AverageScore]]&gt;=60,"Pass","Fail")</f>
        <v>Fail</v>
      </c>
      <c r="M221" t="str" cm="1">
        <f t="array" ref="M221">_xlfn.IFS(StudentsTable[[#This Row],[AverageScore]]&gt;=85,"Advanced",StudentsTable[[#This Row],[AverageScore]]&gt;=70,"Intermediate",StudentsTable[[#This Row],[AverageScore]]&gt;=60,"Basic",TRUE,"Needs Help")</f>
        <v>Needs Help</v>
      </c>
      <c r="N221">
        <f>RANK(StudentsTable[[#This Row],[AverageScore]],StudentsTable[AverageScore])</f>
        <v>756</v>
      </c>
      <c r="O221">
        <f>(StudentsTable[[#This Row],[AverageScore]]-MIN(StudentsTable[AverageScore]))/(MAX(StudentsTable[AverageScore])-MIN(StudentsTable[AverageScore]))*100</f>
        <v>53.479853479853482</v>
      </c>
    </row>
    <row r="222" spans="1:15" x14ac:dyDescent="0.3">
      <c r="A222" t="s">
        <v>8</v>
      </c>
      <c r="B222" t="s">
        <v>21</v>
      </c>
      <c r="C222" t="s">
        <v>22</v>
      </c>
      <c r="D222" t="s">
        <v>11</v>
      </c>
      <c r="E222" t="s">
        <v>15</v>
      </c>
      <c r="F222">
        <v>56</v>
      </c>
      <c r="G222">
        <v>68</v>
      </c>
      <c r="H222">
        <v>74</v>
      </c>
      <c r="I222">
        <f>StudentsTable[[#This Row],[math score]]+StudentsTable[[#This Row],[reading score]]+StudentsTable[[#This Row],[writing score]]</f>
        <v>198</v>
      </c>
      <c r="J222">
        <f>StudentsTable[[#This Row],[TotalScore]]/3</f>
        <v>66</v>
      </c>
      <c r="K222" t="str" cm="1">
        <f t="array" ref="K222">_xlfn.IFS(StudentsTable[[#This Row],[AverageScore]]&gt;=90,"A",StudentsTable[[#This Row],[AverageScore]]&gt;=80,"B",StudentsTable[[#This Row],[AverageScore]]&gt;=70,"C",StudentsTable[[#This Row],[AverageScore]]&gt;=60,"D",TRUE,"F")</f>
        <v>D</v>
      </c>
      <c r="L222" t="str">
        <f>IF(StudentsTable[[#This Row],[AverageScore]]&gt;=60,"Pass","Fail")</f>
        <v>Pass</v>
      </c>
      <c r="M222" t="str" cm="1">
        <f t="array" ref="M222">_xlfn.IFS(StudentsTable[[#This Row],[AverageScore]]&gt;=85,"Advanced",StudentsTable[[#This Row],[AverageScore]]&gt;=70,"Intermediate",StudentsTable[[#This Row],[AverageScore]]&gt;=60,"Basic",TRUE,"Needs Help")</f>
        <v>Basic</v>
      </c>
      <c r="N222">
        <f>RANK(StudentsTable[[#This Row],[AverageScore]],StudentsTable[AverageScore])</f>
        <v>562</v>
      </c>
      <c r="O222">
        <f>(StudentsTable[[#This Row],[AverageScore]]-MIN(StudentsTable[AverageScore]))/(MAX(StudentsTable[AverageScore])-MIN(StudentsTable[AverageScore]))*100</f>
        <v>62.637362637362635</v>
      </c>
    </row>
    <row r="223" spans="1:15" x14ac:dyDescent="0.3">
      <c r="A223" t="s">
        <v>17</v>
      </c>
      <c r="B223" t="s">
        <v>9</v>
      </c>
      <c r="C223" t="s">
        <v>19</v>
      </c>
      <c r="D223" t="s">
        <v>11</v>
      </c>
      <c r="E223" t="s">
        <v>12</v>
      </c>
      <c r="F223">
        <v>87</v>
      </c>
      <c r="G223">
        <v>85</v>
      </c>
      <c r="H223">
        <v>73</v>
      </c>
      <c r="I223">
        <f>StudentsTable[[#This Row],[math score]]+StudentsTable[[#This Row],[reading score]]+StudentsTable[[#This Row],[writing score]]</f>
        <v>245</v>
      </c>
      <c r="J223">
        <f>StudentsTable[[#This Row],[TotalScore]]/3</f>
        <v>81.666666666666671</v>
      </c>
      <c r="K223" t="str" cm="1">
        <f t="array" ref="K223">_xlfn.IFS(StudentsTable[[#This Row],[AverageScore]]&gt;=90,"A",StudentsTable[[#This Row],[AverageScore]]&gt;=80,"B",StudentsTable[[#This Row],[AverageScore]]&gt;=70,"C",StudentsTable[[#This Row],[AverageScore]]&gt;=60,"D",TRUE,"F")</f>
        <v>B</v>
      </c>
      <c r="L223" t="str">
        <f>IF(StudentsTable[[#This Row],[AverageScore]]&gt;=60,"Pass","Fail")</f>
        <v>Pass</v>
      </c>
      <c r="M223" t="str" cm="1">
        <f t="array" ref="M223">_xlfn.IFS(StudentsTable[[#This Row],[AverageScore]]&gt;=85,"Advanced",StudentsTable[[#This Row],[AverageScore]]&gt;=70,"Intermediate",StudentsTable[[#This Row],[AverageScore]]&gt;=60,"Basic",TRUE,"Needs Help")</f>
        <v>Intermediate</v>
      </c>
      <c r="N223">
        <f>RANK(StudentsTable[[#This Row],[AverageScore]],StudentsTable[AverageScore])</f>
        <v>169</v>
      </c>
      <c r="O223">
        <f>(StudentsTable[[#This Row],[AverageScore]]-MIN(StudentsTable[AverageScore]))/(MAX(StudentsTable[AverageScore])-MIN(StudentsTable[AverageScore]))*100</f>
        <v>79.853479853479854</v>
      </c>
    </row>
    <row r="224" spans="1:15" x14ac:dyDescent="0.3">
      <c r="A224" t="s">
        <v>8</v>
      </c>
      <c r="B224" t="s">
        <v>13</v>
      </c>
      <c r="C224" t="s">
        <v>23</v>
      </c>
      <c r="D224" t="s">
        <v>20</v>
      </c>
      <c r="E224" t="s">
        <v>12</v>
      </c>
      <c r="F224">
        <v>55</v>
      </c>
      <c r="G224">
        <v>65</v>
      </c>
      <c r="H224">
        <v>62</v>
      </c>
      <c r="I224">
        <f>StudentsTable[[#This Row],[math score]]+StudentsTable[[#This Row],[reading score]]+StudentsTable[[#This Row],[writing score]]</f>
        <v>182</v>
      </c>
      <c r="J224">
        <f>StudentsTable[[#This Row],[TotalScore]]/3</f>
        <v>60.666666666666664</v>
      </c>
      <c r="K224" t="str" cm="1">
        <f t="array" ref="K224">_xlfn.IFS(StudentsTable[[#This Row],[AverageScore]]&gt;=90,"A",StudentsTable[[#This Row],[AverageScore]]&gt;=80,"B",StudentsTable[[#This Row],[AverageScore]]&gt;=70,"C",StudentsTable[[#This Row],[AverageScore]]&gt;=60,"D",TRUE,"F")</f>
        <v>D</v>
      </c>
      <c r="L224" t="str">
        <f>IF(StudentsTable[[#This Row],[AverageScore]]&gt;=60,"Pass","Fail")</f>
        <v>Pass</v>
      </c>
      <c r="M224" t="str" cm="1">
        <f t="array" ref="M224">_xlfn.IFS(StudentsTable[[#This Row],[AverageScore]]&gt;=85,"Advanced",StudentsTable[[#This Row],[AverageScore]]&gt;=70,"Intermediate",StudentsTable[[#This Row],[AverageScore]]&gt;=60,"Basic",TRUE,"Needs Help")</f>
        <v>Basic</v>
      </c>
      <c r="N224">
        <f>RANK(StudentsTable[[#This Row],[AverageScore]],StudentsTable[AverageScore])</f>
        <v>693</v>
      </c>
      <c r="O224">
        <f>(StudentsTable[[#This Row],[AverageScore]]-MIN(StudentsTable[AverageScore]))/(MAX(StudentsTable[AverageScore])-MIN(StudentsTable[AverageScore]))*100</f>
        <v>56.776556776556774</v>
      </c>
    </row>
    <row r="225" spans="1:15" x14ac:dyDescent="0.3">
      <c r="A225" t="s">
        <v>17</v>
      </c>
      <c r="B225" t="s">
        <v>21</v>
      </c>
      <c r="C225" t="s">
        <v>23</v>
      </c>
      <c r="D225" t="s">
        <v>11</v>
      </c>
      <c r="E225" t="s">
        <v>12</v>
      </c>
      <c r="F225">
        <v>86</v>
      </c>
      <c r="G225">
        <v>80</v>
      </c>
      <c r="H225">
        <v>75</v>
      </c>
      <c r="I225">
        <f>StudentsTable[[#This Row],[math score]]+StudentsTable[[#This Row],[reading score]]+StudentsTable[[#This Row],[writing score]]</f>
        <v>241</v>
      </c>
      <c r="J225">
        <f>StudentsTable[[#This Row],[TotalScore]]/3</f>
        <v>80.333333333333329</v>
      </c>
      <c r="K225" t="str" cm="1">
        <f t="array" ref="K225">_xlfn.IFS(StudentsTable[[#This Row],[AverageScore]]&gt;=90,"A",StudentsTable[[#This Row],[AverageScore]]&gt;=80,"B",StudentsTable[[#This Row],[AverageScore]]&gt;=70,"C",StudentsTable[[#This Row],[AverageScore]]&gt;=60,"D",TRUE,"F")</f>
        <v>B</v>
      </c>
      <c r="L225" t="str">
        <f>IF(StudentsTable[[#This Row],[AverageScore]]&gt;=60,"Pass","Fail")</f>
        <v>Pass</v>
      </c>
      <c r="M225" t="str" cm="1">
        <f t="array" ref="M225">_xlfn.IFS(StudentsTable[[#This Row],[AverageScore]]&gt;=85,"Advanced",StudentsTable[[#This Row],[AverageScore]]&gt;=70,"Intermediate",StudentsTable[[#This Row],[AverageScore]]&gt;=60,"Basic",TRUE,"Needs Help")</f>
        <v>Intermediate</v>
      </c>
      <c r="N225">
        <f>RANK(StudentsTable[[#This Row],[AverageScore]],StudentsTable[AverageScore])</f>
        <v>187</v>
      </c>
      <c r="O225">
        <f>(StudentsTable[[#This Row],[AverageScore]]-MIN(StudentsTable[AverageScore]))/(MAX(StudentsTable[AverageScore])-MIN(StudentsTable[AverageScore]))*100</f>
        <v>78.388278388278394</v>
      </c>
    </row>
    <row r="226" spans="1:15" x14ac:dyDescent="0.3">
      <c r="A226" t="s">
        <v>8</v>
      </c>
      <c r="B226" t="s">
        <v>9</v>
      </c>
      <c r="C226" t="s">
        <v>19</v>
      </c>
      <c r="D226" t="s">
        <v>11</v>
      </c>
      <c r="E226" t="s">
        <v>15</v>
      </c>
      <c r="F226">
        <v>52</v>
      </c>
      <c r="G226">
        <v>66</v>
      </c>
      <c r="H226">
        <v>73</v>
      </c>
      <c r="I226">
        <f>StudentsTable[[#This Row],[math score]]+StudentsTable[[#This Row],[reading score]]+StudentsTable[[#This Row],[writing score]]</f>
        <v>191</v>
      </c>
      <c r="J226">
        <f>StudentsTable[[#This Row],[TotalScore]]/3</f>
        <v>63.666666666666664</v>
      </c>
      <c r="K226" t="str" cm="1">
        <f t="array" ref="K226">_xlfn.IFS(StudentsTable[[#This Row],[AverageScore]]&gt;=90,"A",StudentsTable[[#This Row],[AverageScore]]&gt;=80,"B",StudentsTable[[#This Row],[AverageScore]]&gt;=70,"C",StudentsTable[[#This Row],[AverageScore]]&gt;=60,"D",TRUE,"F")</f>
        <v>D</v>
      </c>
      <c r="L226" t="str">
        <f>IF(StudentsTable[[#This Row],[AverageScore]]&gt;=60,"Pass","Fail")</f>
        <v>Pass</v>
      </c>
      <c r="M226" t="str" cm="1">
        <f t="array" ref="M226">_xlfn.IFS(StudentsTable[[#This Row],[AverageScore]]&gt;=85,"Advanced",StudentsTable[[#This Row],[AverageScore]]&gt;=70,"Intermediate",StudentsTable[[#This Row],[AverageScore]]&gt;=60,"Basic",TRUE,"Needs Help")</f>
        <v>Basic</v>
      </c>
      <c r="N226">
        <f>RANK(StudentsTable[[#This Row],[AverageScore]],StudentsTable[AverageScore])</f>
        <v>632</v>
      </c>
      <c r="O226">
        <f>(StudentsTable[[#This Row],[AverageScore]]-MIN(StudentsTable[AverageScore]))/(MAX(StudentsTable[AverageScore])-MIN(StudentsTable[AverageScore]))*100</f>
        <v>60.073260073260073</v>
      </c>
    </row>
    <row r="227" spans="1:15" x14ac:dyDescent="0.3">
      <c r="A227" t="s">
        <v>8</v>
      </c>
      <c r="B227" t="s">
        <v>24</v>
      </c>
      <c r="C227" t="s">
        <v>16</v>
      </c>
      <c r="D227" t="s">
        <v>20</v>
      </c>
      <c r="E227" t="s">
        <v>12</v>
      </c>
      <c r="F227">
        <v>45</v>
      </c>
      <c r="G227">
        <v>56</v>
      </c>
      <c r="H227">
        <v>54</v>
      </c>
      <c r="I227">
        <f>StudentsTable[[#This Row],[math score]]+StudentsTable[[#This Row],[reading score]]+StudentsTable[[#This Row],[writing score]]</f>
        <v>155</v>
      </c>
      <c r="J227">
        <f>StudentsTable[[#This Row],[TotalScore]]/3</f>
        <v>51.666666666666664</v>
      </c>
      <c r="K227" t="str" cm="1">
        <f t="array" ref="K227">_xlfn.IFS(StudentsTable[[#This Row],[AverageScore]]&gt;=90,"A",StudentsTable[[#This Row],[AverageScore]]&gt;=80,"B",StudentsTable[[#This Row],[AverageScore]]&gt;=70,"C",StudentsTable[[#This Row],[AverageScore]]&gt;=60,"D",TRUE,"F")</f>
        <v>F</v>
      </c>
      <c r="L227" t="str">
        <f>IF(StudentsTable[[#This Row],[AverageScore]]&gt;=60,"Pass","Fail")</f>
        <v>Fail</v>
      </c>
      <c r="M227" t="str" cm="1">
        <f t="array" ref="M227">_xlfn.IFS(StudentsTable[[#This Row],[AverageScore]]&gt;=85,"Advanced",StudentsTable[[#This Row],[AverageScore]]&gt;=70,"Intermediate",StudentsTable[[#This Row],[AverageScore]]&gt;=60,"Basic",TRUE,"Needs Help")</f>
        <v>Needs Help</v>
      </c>
      <c r="N227">
        <f>RANK(StudentsTable[[#This Row],[AverageScore]],StudentsTable[AverageScore])</f>
        <v>860</v>
      </c>
      <c r="O227">
        <f>(StudentsTable[[#This Row],[AverageScore]]-MIN(StudentsTable[AverageScore]))/(MAX(StudentsTable[AverageScore])-MIN(StudentsTable[AverageScore]))*100</f>
        <v>46.886446886446883</v>
      </c>
    </row>
    <row r="228" spans="1:15" x14ac:dyDescent="0.3">
      <c r="A228" t="s">
        <v>8</v>
      </c>
      <c r="B228" t="s">
        <v>13</v>
      </c>
      <c r="C228" t="s">
        <v>14</v>
      </c>
      <c r="D228" t="s">
        <v>11</v>
      </c>
      <c r="E228" t="s">
        <v>12</v>
      </c>
      <c r="F228">
        <v>72</v>
      </c>
      <c r="G228">
        <v>72</v>
      </c>
      <c r="H228">
        <v>71</v>
      </c>
      <c r="I228">
        <f>StudentsTable[[#This Row],[math score]]+StudentsTable[[#This Row],[reading score]]+StudentsTable[[#This Row],[writing score]]</f>
        <v>215</v>
      </c>
      <c r="J228">
        <f>StudentsTable[[#This Row],[TotalScore]]/3</f>
        <v>71.666666666666671</v>
      </c>
      <c r="K228" t="str" cm="1">
        <f t="array" ref="K228">_xlfn.IFS(StudentsTable[[#This Row],[AverageScore]]&gt;=90,"A",StudentsTable[[#This Row],[AverageScore]]&gt;=80,"B",StudentsTable[[#This Row],[AverageScore]]&gt;=70,"C",StudentsTable[[#This Row],[AverageScore]]&gt;=60,"D",TRUE,"F")</f>
        <v>C</v>
      </c>
      <c r="L228" t="str">
        <f>IF(StudentsTable[[#This Row],[AverageScore]]&gt;=60,"Pass","Fail")</f>
        <v>Pass</v>
      </c>
      <c r="M228" t="str" cm="1">
        <f t="array" ref="M228">_xlfn.IFS(StudentsTable[[#This Row],[AverageScore]]&gt;=85,"Advanced",StudentsTable[[#This Row],[AverageScore]]&gt;=70,"Intermediate",StudentsTable[[#This Row],[AverageScore]]&gt;=60,"Basic",TRUE,"Needs Help")</f>
        <v>Intermediate</v>
      </c>
      <c r="N228">
        <f>RANK(StudentsTable[[#This Row],[AverageScore]],StudentsTable[AverageScore])</f>
        <v>404</v>
      </c>
      <c r="O228">
        <f>(StudentsTable[[#This Row],[AverageScore]]-MIN(StudentsTable[AverageScore]))/(MAX(StudentsTable[AverageScore])-MIN(StudentsTable[AverageScore]))*100</f>
        <v>68.864468864468876</v>
      </c>
    </row>
    <row r="229" spans="1:15" x14ac:dyDescent="0.3">
      <c r="A229" t="s">
        <v>17</v>
      </c>
      <c r="B229" t="s">
        <v>21</v>
      </c>
      <c r="C229" t="s">
        <v>22</v>
      </c>
      <c r="D229" t="s">
        <v>11</v>
      </c>
      <c r="E229" t="s">
        <v>12</v>
      </c>
      <c r="F229">
        <v>57</v>
      </c>
      <c r="G229">
        <v>50</v>
      </c>
      <c r="H229">
        <v>54</v>
      </c>
      <c r="I229">
        <f>StudentsTable[[#This Row],[math score]]+StudentsTable[[#This Row],[reading score]]+StudentsTable[[#This Row],[writing score]]</f>
        <v>161</v>
      </c>
      <c r="J229">
        <f>StudentsTable[[#This Row],[TotalScore]]/3</f>
        <v>53.666666666666664</v>
      </c>
      <c r="K229" t="str" cm="1">
        <f t="array" ref="K229">_xlfn.IFS(StudentsTable[[#This Row],[AverageScore]]&gt;=90,"A",StudentsTable[[#This Row],[AverageScore]]&gt;=80,"B",StudentsTable[[#This Row],[AverageScore]]&gt;=70,"C",StudentsTable[[#This Row],[AverageScore]]&gt;=60,"D",TRUE,"F")</f>
        <v>F</v>
      </c>
      <c r="L229" t="str">
        <f>IF(StudentsTable[[#This Row],[AverageScore]]&gt;=60,"Pass","Fail")</f>
        <v>Fail</v>
      </c>
      <c r="M229" t="str" cm="1">
        <f t="array" ref="M229">_xlfn.IFS(StudentsTable[[#This Row],[AverageScore]]&gt;=85,"Advanced",StudentsTable[[#This Row],[AverageScore]]&gt;=70,"Intermediate",StudentsTable[[#This Row],[AverageScore]]&gt;=60,"Basic",TRUE,"Needs Help")</f>
        <v>Needs Help</v>
      </c>
      <c r="N229">
        <f>RANK(StudentsTable[[#This Row],[AverageScore]],StudentsTable[AverageScore])</f>
        <v>830</v>
      </c>
      <c r="O229">
        <f>(StudentsTable[[#This Row],[AverageScore]]-MIN(StudentsTable[AverageScore]))/(MAX(StudentsTable[AverageScore])-MIN(StudentsTable[AverageScore]))*100</f>
        <v>49.08424908424908</v>
      </c>
    </row>
    <row r="230" spans="1:15" x14ac:dyDescent="0.3">
      <c r="A230" t="s">
        <v>17</v>
      </c>
      <c r="B230" t="s">
        <v>18</v>
      </c>
      <c r="C230" t="s">
        <v>23</v>
      </c>
      <c r="D230" t="s">
        <v>20</v>
      </c>
      <c r="E230" t="s">
        <v>12</v>
      </c>
      <c r="F230">
        <v>68</v>
      </c>
      <c r="G230">
        <v>72</v>
      </c>
      <c r="H230">
        <v>64</v>
      </c>
      <c r="I230">
        <f>StudentsTable[[#This Row],[math score]]+StudentsTable[[#This Row],[reading score]]+StudentsTable[[#This Row],[writing score]]</f>
        <v>204</v>
      </c>
      <c r="J230">
        <f>StudentsTable[[#This Row],[TotalScore]]/3</f>
        <v>68</v>
      </c>
      <c r="K230" t="str" cm="1">
        <f t="array" ref="K230">_xlfn.IFS(StudentsTable[[#This Row],[AverageScore]]&gt;=90,"A",StudentsTable[[#This Row],[AverageScore]]&gt;=80,"B",StudentsTable[[#This Row],[AverageScore]]&gt;=70,"C",StudentsTable[[#This Row],[AverageScore]]&gt;=60,"D",TRUE,"F")</f>
        <v>D</v>
      </c>
      <c r="L230" t="str">
        <f>IF(StudentsTable[[#This Row],[AverageScore]]&gt;=60,"Pass","Fail")</f>
        <v>Pass</v>
      </c>
      <c r="M230" t="str" cm="1">
        <f t="array" ref="M230">_xlfn.IFS(StudentsTable[[#This Row],[AverageScore]]&gt;=85,"Advanced",StudentsTable[[#This Row],[AverageScore]]&gt;=70,"Intermediate",StudentsTable[[#This Row],[AverageScore]]&gt;=60,"Basic",TRUE,"Needs Help")</f>
        <v>Basic</v>
      </c>
      <c r="N230">
        <f>RANK(StudentsTable[[#This Row],[AverageScore]],StudentsTable[AverageScore])</f>
        <v>512</v>
      </c>
      <c r="O230">
        <f>(StudentsTable[[#This Row],[AverageScore]]-MIN(StudentsTable[AverageScore]))/(MAX(StudentsTable[AverageScore])-MIN(StudentsTable[AverageScore]))*100</f>
        <v>64.835164835164832</v>
      </c>
    </row>
    <row r="231" spans="1:15" x14ac:dyDescent="0.3">
      <c r="A231" t="s">
        <v>8</v>
      </c>
      <c r="B231" t="s">
        <v>13</v>
      </c>
      <c r="C231" t="s">
        <v>14</v>
      </c>
      <c r="D231" t="s">
        <v>11</v>
      </c>
      <c r="E231" t="s">
        <v>15</v>
      </c>
      <c r="F231">
        <v>88</v>
      </c>
      <c r="G231">
        <v>95</v>
      </c>
      <c r="H231">
        <v>94</v>
      </c>
      <c r="I231">
        <f>StudentsTable[[#This Row],[math score]]+StudentsTable[[#This Row],[reading score]]+StudentsTable[[#This Row],[writing score]]</f>
        <v>277</v>
      </c>
      <c r="J231">
        <f>StudentsTable[[#This Row],[TotalScore]]/3</f>
        <v>92.333333333333329</v>
      </c>
      <c r="K231" t="str" cm="1">
        <f t="array" ref="K231">_xlfn.IFS(StudentsTable[[#This Row],[AverageScore]]&gt;=90,"A",StudentsTable[[#This Row],[AverageScore]]&gt;=80,"B",StudentsTable[[#This Row],[AverageScore]]&gt;=70,"C",StudentsTable[[#This Row],[AverageScore]]&gt;=60,"D",TRUE,"F")</f>
        <v>A</v>
      </c>
      <c r="L231" t="str">
        <f>IF(StudentsTable[[#This Row],[AverageScore]]&gt;=60,"Pass","Fail")</f>
        <v>Pass</v>
      </c>
      <c r="M231" t="str" cm="1">
        <f t="array" ref="M231">_xlfn.IFS(StudentsTable[[#This Row],[AverageScore]]&gt;=85,"Advanced",StudentsTable[[#This Row],[AverageScore]]&gt;=70,"Intermediate",StudentsTable[[#This Row],[AverageScore]]&gt;=60,"Basic",TRUE,"Needs Help")</f>
        <v>Advanced</v>
      </c>
      <c r="N231">
        <f>RANK(StudentsTable[[#This Row],[AverageScore]],StudentsTable[AverageScore])</f>
        <v>34</v>
      </c>
      <c r="O231">
        <f>(StudentsTable[[#This Row],[AverageScore]]-MIN(StudentsTable[AverageScore]))/(MAX(StudentsTable[AverageScore])-MIN(StudentsTable[AverageScore]))*100</f>
        <v>91.575091575091577</v>
      </c>
    </row>
    <row r="232" spans="1:15" x14ac:dyDescent="0.3">
      <c r="A232" t="s">
        <v>17</v>
      </c>
      <c r="B232" t="s">
        <v>21</v>
      </c>
      <c r="C232" t="s">
        <v>14</v>
      </c>
      <c r="D232" t="s">
        <v>11</v>
      </c>
      <c r="E232" t="s">
        <v>12</v>
      </c>
      <c r="F232">
        <v>76</v>
      </c>
      <c r="G232">
        <v>64</v>
      </c>
      <c r="H232">
        <v>66</v>
      </c>
      <c r="I232">
        <f>StudentsTable[[#This Row],[math score]]+StudentsTable[[#This Row],[reading score]]+StudentsTable[[#This Row],[writing score]]</f>
        <v>206</v>
      </c>
      <c r="J232">
        <f>StudentsTable[[#This Row],[TotalScore]]/3</f>
        <v>68.666666666666671</v>
      </c>
      <c r="K232" t="str" cm="1">
        <f t="array" ref="K232">_xlfn.IFS(StudentsTable[[#This Row],[AverageScore]]&gt;=90,"A",StudentsTable[[#This Row],[AverageScore]]&gt;=80,"B",StudentsTable[[#This Row],[AverageScore]]&gt;=70,"C",StudentsTable[[#This Row],[AverageScore]]&gt;=60,"D",TRUE,"F")</f>
        <v>D</v>
      </c>
      <c r="L232" t="str">
        <f>IF(StudentsTable[[#This Row],[AverageScore]]&gt;=60,"Pass","Fail")</f>
        <v>Pass</v>
      </c>
      <c r="M232" t="str" cm="1">
        <f t="array" ref="M232">_xlfn.IFS(StudentsTable[[#This Row],[AverageScore]]&gt;=85,"Advanced",StudentsTable[[#This Row],[AverageScore]]&gt;=70,"Intermediate",StudentsTable[[#This Row],[AverageScore]]&gt;=60,"Basic",TRUE,"Needs Help")</f>
        <v>Basic</v>
      </c>
      <c r="N232">
        <f>RANK(StudentsTable[[#This Row],[AverageScore]],StudentsTable[AverageScore])</f>
        <v>487</v>
      </c>
      <c r="O232">
        <f>(StudentsTable[[#This Row],[AverageScore]]-MIN(StudentsTable[AverageScore]))/(MAX(StudentsTable[AverageScore])-MIN(StudentsTable[AverageScore]))*100</f>
        <v>65.567765567765562</v>
      </c>
    </row>
    <row r="233" spans="1:15" x14ac:dyDescent="0.3">
      <c r="A233" t="s">
        <v>17</v>
      </c>
      <c r="B233" t="s">
        <v>13</v>
      </c>
      <c r="C233" t="s">
        <v>19</v>
      </c>
      <c r="D233" t="s">
        <v>11</v>
      </c>
      <c r="E233" t="s">
        <v>12</v>
      </c>
      <c r="F233">
        <v>46</v>
      </c>
      <c r="G233">
        <v>43</v>
      </c>
      <c r="H233">
        <v>42</v>
      </c>
      <c r="I233">
        <f>StudentsTable[[#This Row],[math score]]+StudentsTable[[#This Row],[reading score]]+StudentsTable[[#This Row],[writing score]]</f>
        <v>131</v>
      </c>
      <c r="J233">
        <f>StudentsTable[[#This Row],[TotalScore]]/3</f>
        <v>43.666666666666664</v>
      </c>
      <c r="K233" t="str" cm="1">
        <f t="array" ref="K233">_xlfn.IFS(StudentsTable[[#This Row],[AverageScore]]&gt;=90,"A",StudentsTable[[#This Row],[AverageScore]]&gt;=80,"B",StudentsTable[[#This Row],[AverageScore]]&gt;=70,"C",StudentsTable[[#This Row],[AverageScore]]&gt;=60,"D",TRUE,"F")</f>
        <v>F</v>
      </c>
      <c r="L233" t="str">
        <f>IF(StudentsTable[[#This Row],[AverageScore]]&gt;=60,"Pass","Fail")</f>
        <v>Fail</v>
      </c>
      <c r="M233" t="str" cm="1">
        <f t="array" ref="M233">_xlfn.IFS(StudentsTable[[#This Row],[AverageScore]]&gt;=85,"Advanced",StudentsTable[[#This Row],[AverageScore]]&gt;=70,"Intermediate",StudentsTable[[#This Row],[AverageScore]]&gt;=60,"Basic",TRUE,"Needs Help")</f>
        <v>Needs Help</v>
      </c>
      <c r="N233">
        <f>RANK(StudentsTable[[#This Row],[AverageScore]],StudentsTable[AverageScore])</f>
        <v>954</v>
      </c>
      <c r="O233">
        <f>(StudentsTable[[#This Row],[AverageScore]]-MIN(StudentsTable[AverageScore]))/(MAX(StudentsTable[AverageScore])-MIN(StudentsTable[AverageScore]))*100</f>
        <v>38.095238095238095</v>
      </c>
    </row>
    <row r="234" spans="1:15" x14ac:dyDescent="0.3">
      <c r="A234" t="s">
        <v>8</v>
      </c>
      <c r="B234" t="s">
        <v>9</v>
      </c>
      <c r="C234" t="s">
        <v>10</v>
      </c>
      <c r="D234" t="s">
        <v>11</v>
      </c>
      <c r="E234" t="s">
        <v>12</v>
      </c>
      <c r="F234">
        <v>67</v>
      </c>
      <c r="G234">
        <v>86</v>
      </c>
      <c r="H234">
        <v>83</v>
      </c>
      <c r="I234">
        <f>StudentsTable[[#This Row],[math score]]+StudentsTable[[#This Row],[reading score]]+StudentsTable[[#This Row],[writing score]]</f>
        <v>236</v>
      </c>
      <c r="J234">
        <f>StudentsTable[[#This Row],[TotalScore]]/3</f>
        <v>78.666666666666671</v>
      </c>
      <c r="K234" t="str" cm="1">
        <f t="array" ref="K234">_xlfn.IFS(StudentsTable[[#This Row],[AverageScore]]&gt;=90,"A",StudentsTable[[#This Row],[AverageScore]]&gt;=80,"B",StudentsTable[[#This Row],[AverageScore]]&gt;=70,"C",StudentsTable[[#This Row],[AverageScore]]&gt;=60,"D",TRUE,"F")</f>
        <v>C</v>
      </c>
      <c r="L234" t="str">
        <f>IF(StudentsTable[[#This Row],[AverageScore]]&gt;=60,"Pass","Fail")</f>
        <v>Pass</v>
      </c>
      <c r="M234" t="str" cm="1">
        <f t="array" ref="M234">_xlfn.IFS(StudentsTable[[#This Row],[AverageScore]]&gt;=85,"Advanced",StudentsTable[[#This Row],[AverageScore]]&gt;=70,"Intermediate",StudentsTable[[#This Row],[AverageScore]]&gt;=60,"Basic",TRUE,"Needs Help")</f>
        <v>Intermediate</v>
      </c>
      <c r="N234">
        <f>RANK(StudentsTable[[#This Row],[AverageScore]],StudentsTable[AverageScore])</f>
        <v>222</v>
      </c>
      <c r="O234">
        <f>(StudentsTable[[#This Row],[AverageScore]]-MIN(StudentsTable[AverageScore]))/(MAX(StudentsTable[AverageScore])-MIN(StudentsTable[AverageScore]))*100</f>
        <v>76.556776556776569</v>
      </c>
    </row>
    <row r="235" spans="1:15" x14ac:dyDescent="0.3">
      <c r="A235" t="s">
        <v>17</v>
      </c>
      <c r="B235" t="s">
        <v>24</v>
      </c>
      <c r="C235" t="s">
        <v>23</v>
      </c>
      <c r="D235" t="s">
        <v>11</v>
      </c>
      <c r="E235" t="s">
        <v>12</v>
      </c>
      <c r="F235">
        <v>92</v>
      </c>
      <c r="G235">
        <v>87</v>
      </c>
      <c r="H235">
        <v>78</v>
      </c>
      <c r="I235">
        <f>StudentsTable[[#This Row],[math score]]+StudentsTable[[#This Row],[reading score]]+StudentsTable[[#This Row],[writing score]]</f>
        <v>257</v>
      </c>
      <c r="J235">
        <f>StudentsTable[[#This Row],[TotalScore]]/3</f>
        <v>85.666666666666671</v>
      </c>
      <c r="K235" t="str" cm="1">
        <f t="array" ref="K235">_xlfn.IFS(StudentsTable[[#This Row],[AverageScore]]&gt;=90,"A",StudentsTable[[#This Row],[AverageScore]]&gt;=80,"B",StudentsTable[[#This Row],[AverageScore]]&gt;=70,"C",StudentsTable[[#This Row],[AverageScore]]&gt;=60,"D",TRUE,"F")</f>
        <v>B</v>
      </c>
      <c r="L235" t="str">
        <f>IF(StudentsTable[[#This Row],[AverageScore]]&gt;=60,"Pass","Fail")</f>
        <v>Pass</v>
      </c>
      <c r="M235" t="str" cm="1">
        <f t="array" ref="M235">_xlfn.IFS(StudentsTable[[#This Row],[AverageScore]]&gt;=85,"Advanced",StudentsTable[[#This Row],[AverageScore]]&gt;=70,"Intermediate",StudentsTable[[#This Row],[AverageScore]]&gt;=60,"Basic",TRUE,"Needs Help")</f>
        <v>Advanced</v>
      </c>
      <c r="N235">
        <f>RANK(StudentsTable[[#This Row],[AverageScore]],StudentsTable[AverageScore])</f>
        <v>103</v>
      </c>
      <c r="O235">
        <f>(StudentsTable[[#This Row],[AverageScore]]-MIN(StudentsTable[AverageScore]))/(MAX(StudentsTable[AverageScore])-MIN(StudentsTable[AverageScore]))*100</f>
        <v>84.249084249084248</v>
      </c>
    </row>
    <row r="236" spans="1:15" x14ac:dyDescent="0.3">
      <c r="A236" t="s">
        <v>17</v>
      </c>
      <c r="B236" t="s">
        <v>13</v>
      </c>
      <c r="C236" t="s">
        <v>10</v>
      </c>
      <c r="D236" t="s">
        <v>11</v>
      </c>
      <c r="E236" t="s">
        <v>15</v>
      </c>
      <c r="F236">
        <v>83</v>
      </c>
      <c r="G236">
        <v>82</v>
      </c>
      <c r="H236">
        <v>84</v>
      </c>
      <c r="I236">
        <f>StudentsTable[[#This Row],[math score]]+StudentsTable[[#This Row],[reading score]]+StudentsTable[[#This Row],[writing score]]</f>
        <v>249</v>
      </c>
      <c r="J236">
        <f>StudentsTable[[#This Row],[TotalScore]]/3</f>
        <v>83</v>
      </c>
      <c r="K236" t="str" cm="1">
        <f t="array" ref="K236">_xlfn.IFS(StudentsTable[[#This Row],[AverageScore]]&gt;=90,"A",StudentsTable[[#This Row],[AverageScore]]&gt;=80,"B",StudentsTable[[#This Row],[AverageScore]]&gt;=70,"C",StudentsTable[[#This Row],[AverageScore]]&gt;=60,"D",TRUE,"F")</f>
        <v>B</v>
      </c>
      <c r="L236" t="str">
        <f>IF(StudentsTable[[#This Row],[AverageScore]]&gt;=60,"Pass","Fail")</f>
        <v>Pass</v>
      </c>
      <c r="M236" t="str" cm="1">
        <f t="array" ref="M236">_xlfn.IFS(StudentsTable[[#This Row],[AverageScore]]&gt;=85,"Advanced",StudentsTable[[#This Row],[AverageScore]]&gt;=70,"Intermediate",StudentsTable[[#This Row],[AverageScore]]&gt;=60,"Basic",TRUE,"Needs Help")</f>
        <v>Intermediate</v>
      </c>
      <c r="N236">
        <f>RANK(StudentsTable[[#This Row],[AverageScore]],StudentsTable[AverageScore])</f>
        <v>140</v>
      </c>
      <c r="O236">
        <f>(StudentsTable[[#This Row],[AverageScore]]-MIN(StudentsTable[AverageScore]))/(MAX(StudentsTable[AverageScore])-MIN(StudentsTable[AverageScore]))*100</f>
        <v>81.318681318681314</v>
      </c>
    </row>
    <row r="237" spans="1:15" x14ac:dyDescent="0.3">
      <c r="A237" t="s">
        <v>17</v>
      </c>
      <c r="B237" t="s">
        <v>21</v>
      </c>
      <c r="C237" t="s">
        <v>19</v>
      </c>
      <c r="D237" t="s">
        <v>11</v>
      </c>
      <c r="E237" t="s">
        <v>12</v>
      </c>
      <c r="F237">
        <v>80</v>
      </c>
      <c r="G237">
        <v>75</v>
      </c>
      <c r="H237">
        <v>77</v>
      </c>
      <c r="I237">
        <f>StudentsTable[[#This Row],[math score]]+StudentsTable[[#This Row],[reading score]]+StudentsTable[[#This Row],[writing score]]</f>
        <v>232</v>
      </c>
      <c r="J237">
        <f>StudentsTable[[#This Row],[TotalScore]]/3</f>
        <v>77.333333333333329</v>
      </c>
      <c r="K237" t="str" cm="1">
        <f t="array" ref="K237">_xlfn.IFS(StudentsTable[[#This Row],[AverageScore]]&gt;=90,"A",StudentsTable[[#This Row],[AverageScore]]&gt;=80,"B",StudentsTable[[#This Row],[AverageScore]]&gt;=70,"C",StudentsTable[[#This Row],[AverageScore]]&gt;=60,"D",TRUE,"F")</f>
        <v>C</v>
      </c>
      <c r="L237" t="str">
        <f>IF(StudentsTable[[#This Row],[AverageScore]]&gt;=60,"Pass","Fail")</f>
        <v>Pass</v>
      </c>
      <c r="M237" t="str" cm="1">
        <f t="array" ref="M237">_xlfn.IFS(StudentsTable[[#This Row],[AverageScore]]&gt;=85,"Advanced",StudentsTable[[#This Row],[AverageScore]]&gt;=70,"Intermediate",StudentsTable[[#This Row],[AverageScore]]&gt;=60,"Basic",TRUE,"Needs Help")</f>
        <v>Intermediate</v>
      </c>
      <c r="N237">
        <f>RANK(StudentsTable[[#This Row],[AverageScore]],StudentsTable[AverageScore])</f>
        <v>255</v>
      </c>
      <c r="O237">
        <f>(StudentsTable[[#This Row],[AverageScore]]-MIN(StudentsTable[AverageScore]))/(MAX(StudentsTable[AverageScore])-MIN(StudentsTable[AverageScore]))*100</f>
        <v>75.091575091575095</v>
      </c>
    </row>
    <row r="238" spans="1:15" x14ac:dyDescent="0.3">
      <c r="A238" t="s">
        <v>17</v>
      </c>
      <c r="B238" t="s">
        <v>21</v>
      </c>
      <c r="C238" t="s">
        <v>10</v>
      </c>
      <c r="D238" t="s">
        <v>20</v>
      </c>
      <c r="E238" t="s">
        <v>12</v>
      </c>
      <c r="F238">
        <v>63</v>
      </c>
      <c r="G238">
        <v>66</v>
      </c>
      <c r="H238">
        <v>67</v>
      </c>
      <c r="I238">
        <f>StudentsTable[[#This Row],[math score]]+StudentsTable[[#This Row],[reading score]]+StudentsTable[[#This Row],[writing score]]</f>
        <v>196</v>
      </c>
      <c r="J238">
        <f>StudentsTable[[#This Row],[TotalScore]]/3</f>
        <v>65.333333333333329</v>
      </c>
      <c r="K238" t="str" cm="1">
        <f t="array" ref="K238">_xlfn.IFS(StudentsTable[[#This Row],[AverageScore]]&gt;=90,"A",StudentsTable[[#This Row],[AverageScore]]&gt;=80,"B",StudentsTable[[#This Row],[AverageScore]]&gt;=70,"C",StudentsTable[[#This Row],[AverageScore]]&gt;=60,"D",TRUE,"F")</f>
        <v>D</v>
      </c>
      <c r="L238" t="str">
        <f>IF(StudentsTable[[#This Row],[AverageScore]]&gt;=60,"Pass","Fail")</f>
        <v>Pass</v>
      </c>
      <c r="M238" t="str" cm="1">
        <f t="array" ref="M238">_xlfn.IFS(StudentsTable[[#This Row],[AverageScore]]&gt;=85,"Advanced",StudentsTable[[#This Row],[AverageScore]]&gt;=70,"Intermediate",StudentsTable[[#This Row],[AverageScore]]&gt;=60,"Basic",TRUE,"Needs Help")</f>
        <v>Basic</v>
      </c>
      <c r="N238">
        <f>RANK(StudentsTable[[#This Row],[AverageScore]],StudentsTable[AverageScore])</f>
        <v>584</v>
      </c>
      <c r="O238">
        <f>(StudentsTable[[#This Row],[AverageScore]]-MIN(StudentsTable[AverageScore]))/(MAX(StudentsTable[AverageScore])-MIN(StudentsTable[AverageScore]))*100</f>
        <v>61.904761904761898</v>
      </c>
    </row>
    <row r="239" spans="1:15" x14ac:dyDescent="0.3">
      <c r="A239" t="s">
        <v>8</v>
      </c>
      <c r="B239" t="s">
        <v>21</v>
      </c>
      <c r="C239" t="s">
        <v>23</v>
      </c>
      <c r="D239" t="s">
        <v>11</v>
      </c>
      <c r="E239" t="s">
        <v>15</v>
      </c>
      <c r="F239">
        <v>64</v>
      </c>
      <c r="G239">
        <v>60</v>
      </c>
      <c r="H239">
        <v>74</v>
      </c>
      <c r="I239">
        <f>StudentsTable[[#This Row],[math score]]+StudentsTable[[#This Row],[reading score]]+StudentsTable[[#This Row],[writing score]]</f>
        <v>198</v>
      </c>
      <c r="J239">
        <f>StudentsTable[[#This Row],[TotalScore]]/3</f>
        <v>66</v>
      </c>
      <c r="K239" t="str" cm="1">
        <f t="array" ref="K239">_xlfn.IFS(StudentsTable[[#This Row],[AverageScore]]&gt;=90,"A",StudentsTable[[#This Row],[AverageScore]]&gt;=80,"B",StudentsTable[[#This Row],[AverageScore]]&gt;=70,"C",StudentsTable[[#This Row],[AverageScore]]&gt;=60,"D",TRUE,"F")</f>
        <v>D</v>
      </c>
      <c r="L239" t="str">
        <f>IF(StudentsTable[[#This Row],[AverageScore]]&gt;=60,"Pass","Fail")</f>
        <v>Pass</v>
      </c>
      <c r="M239" t="str" cm="1">
        <f t="array" ref="M239">_xlfn.IFS(StudentsTable[[#This Row],[AverageScore]]&gt;=85,"Advanced",StudentsTable[[#This Row],[AverageScore]]&gt;=70,"Intermediate",StudentsTable[[#This Row],[AverageScore]]&gt;=60,"Basic",TRUE,"Needs Help")</f>
        <v>Basic</v>
      </c>
      <c r="N239">
        <f>RANK(StudentsTable[[#This Row],[AverageScore]],StudentsTable[AverageScore])</f>
        <v>562</v>
      </c>
      <c r="O239">
        <f>(StudentsTable[[#This Row],[AverageScore]]-MIN(StudentsTable[AverageScore]))/(MAX(StudentsTable[AverageScore])-MIN(StudentsTable[AverageScore]))*100</f>
        <v>62.637362637362635</v>
      </c>
    </row>
    <row r="240" spans="1:15" x14ac:dyDescent="0.3">
      <c r="A240" t="s">
        <v>17</v>
      </c>
      <c r="B240" t="s">
        <v>9</v>
      </c>
      <c r="C240" t="s">
        <v>14</v>
      </c>
      <c r="D240" t="s">
        <v>11</v>
      </c>
      <c r="E240" t="s">
        <v>12</v>
      </c>
      <c r="F240">
        <v>54</v>
      </c>
      <c r="G240">
        <v>52</v>
      </c>
      <c r="H240">
        <v>51</v>
      </c>
      <c r="I240">
        <f>StudentsTable[[#This Row],[math score]]+StudentsTable[[#This Row],[reading score]]+StudentsTable[[#This Row],[writing score]]</f>
        <v>157</v>
      </c>
      <c r="J240">
        <f>StudentsTable[[#This Row],[TotalScore]]/3</f>
        <v>52.333333333333336</v>
      </c>
      <c r="K240" t="str" cm="1">
        <f t="array" ref="K240">_xlfn.IFS(StudentsTable[[#This Row],[AverageScore]]&gt;=90,"A",StudentsTable[[#This Row],[AverageScore]]&gt;=80,"B",StudentsTable[[#This Row],[AverageScore]]&gt;=70,"C",StudentsTable[[#This Row],[AverageScore]]&gt;=60,"D",TRUE,"F")</f>
        <v>F</v>
      </c>
      <c r="L240" t="str">
        <f>IF(StudentsTable[[#This Row],[AverageScore]]&gt;=60,"Pass","Fail")</f>
        <v>Fail</v>
      </c>
      <c r="M240" t="str" cm="1">
        <f t="array" ref="M240">_xlfn.IFS(StudentsTable[[#This Row],[AverageScore]]&gt;=85,"Advanced",StudentsTable[[#This Row],[AverageScore]]&gt;=70,"Intermediate",StudentsTable[[#This Row],[AverageScore]]&gt;=60,"Basic",TRUE,"Needs Help")</f>
        <v>Needs Help</v>
      </c>
      <c r="N240">
        <f>RANK(StudentsTable[[#This Row],[AverageScore]],StudentsTable[AverageScore])</f>
        <v>850</v>
      </c>
      <c r="O240">
        <f>(StudentsTable[[#This Row],[AverageScore]]-MIN(StudentsTable[AverageScore]))/(MAX(StudentsTable[AverageScore])-MIN(StudentsTable[AverageScore]))*100</f>
        <v>47.61904761904762</v>
      </c>
    </row>
    <row r="241" spans="1:15" x14ac:dyDescent="0.3">
      <c r="A241" t="s">
        <v>17</v>
      </c>
      <c r="B241" t="s">
        <v>13</v>
      </c>
      <c r="C241" t="s">
        <v>19</v>
      </c>
      <c r="D241" t="s">
        <v>11</v>
      </c>
      <c r="E241" t="s">
        <v>12</v>
      </c>
      <c r="F241">
        <v>84</v>
      </c>
      <c r="G241">
        <v>80</v>
      </c>
      <c r="H241">
        <v>80</v>
      </c>
      <c r="I241">
        <f>StudentsTable[[#This Row],[math score]]+StudentsTable[[#This Row],[reading score]]+StudentsTable[[#This Row],[writing score]]</f>
        <v>244</v>
      </c>
      <c r="J241">
        <f>StudentsTable[[#This Row],[TotalScore]]/3</f>
        <v>81.333333333333329</v>
      </c>
      <c r="K241" t="str" cm="1">
        <f t="array" ref="K241">_xlfn.IFS(StudentsTable[[#This Row],[AverageScore]]&gt;=90,"A",StudentsTable[[#This Row],[AverageScore]]&gt;=80,"B",StudentsTable[[#This Row],[AverageScore]]&gt;=70,"C",StudentsTable[[#This Row],[AverageScore]]&gt;=60,"D",TRUE,"F")</f>
        <v>B</v>
      </c>
      <c r="L241" t="str">
        <f>IF(StudentsTable[[#This Row],[AverageScore]]&gt;=60,"Pass","Fail")</f>
        <v>Pass</v>
      </c>
      <c r="M241" t="str" cm="1">
        <f t="array" ref="M241">_xlfn.IFS(StudentsTable[[#This Row],[AverageScore]]&gt;=85,"Advanced",StudentsTable[[#This Row],[AverageScore]]&gt;=70,"Intermediate",StudentsTable[[#This Row],[AverageScore]]&gt;=60,"Basic",TRUE,"Needs Help")</f>
        <v>Intermediate</v>
      </c>
      <c r="N241">
        <f>RANK(StudentsTable[[#This Row],[AverageScore]],StudentsTable[AverageScore])</f>
        <v>173</v>
      </c>
      <c r="O241">
        <f>(StudentsTable[[#This Row],[AverageScore]]-MIN(StudentsTable[AverageScore]))/(MAX(StudentsTable[AverageScore])-MIN(StudentsTable[AverageScore]))*100</f>
        <v>79.487179487179489</v>
      </c>
    </row>
    <row r="242" spans="1:15" x14ac:dyDescent="0.3">
      <c r="A242" t="s">
        <v>17</v>
      </c>
      <c r="B242" t="s">
        <v>21</v>
      </c>
      <c r="C242" t="s">
        <v>22</v>
      </c>
      <c r="D242" t="s">
        <v>20</v>
      </c>
      <c r="E242" t="s">
        <v>15</v>
      </c>
      <c r="F242">
        <v>73</v>
      </c>
      <c r="G242">
        <v>68</v>
      </c>
      <c r="H242">
        <v>66</v>
      </c>
      <c r="I242">
        <f>StudentsTable[[#This Row],[math score]]+StudentsTable[[#This Row],[reading score]]+StudentsTable[[#This Row],[writing score]]</f>
        <v>207</v>
      </c>
      <c r="J242">
        <f>StudentsTable[[#This Row],[TotalScore]]/3</f>
        <v>69</v>
      </c>
      <c r="K242" t="str" cm="1">
        <f t="array" ref="K242">_xlfn.IFS(StudentsTable[[#This Row],[AverageScore]]&gt;=90,"A",StudentsTable[[#This Row],[AverageScore]]&gt;=80,"B",StudentsTable[[#This Row],[AverageScore]]&gt;=70,"C",StudentsTable[[#This Row],[AverageScore]]&gt;=60,"D",TRUE,"F")</f>
        <v>D</v>
      </c>
      <c r="L242" t="str">
        <f>IF(StudentsTable[[#This Row],[AverageScore]]&gt;=60,"Pass","Fail")</f>
        <v>Pass</v>
      </c>
      <c r="M242" t="str" cm="1">
        <f t="array" ref="M242">_xlfn.IFS(StudentsTable[[#This Row],[AverageScore]]&gt;=85,"Advanced",StudentsTable[[#This Row],[AverageScore]]&gt;=70,"Intermediate",StudentsTable[[#This Row],[AverageScore]]&gt;=60,"Basic",TRUE,"Needs Help")</f>
        <v>Basic</v>
      </c>
      <c r="N242">
        <f>RANK(StudentsTable[[#This Row],[AverageScore]],StudentsTable[AverageScore])</f>
        <v>475</v>
      </c>
      <c r="O242">
        <f>(StudentsTable[[#This Row],[AverageScore]]-MIN(StudentsTable[AverageScore]))/(MAX(StudentsTable[AverageScore])-MIN(StudentsTable[AverageScore]))*100</f>
        <v>65.934065934065927</v>
      </c>
    </row>
    <row r="243" spans="1:15" x14ac:dyDescent="0.3">
      <c r="A243" t="s">
        <v>8</v>
      </c>
      <c r="B243" t="s">
        <v>24</v>
      </c>
      <c r="C243" t="s">
        <v>10</v>
      </c>
      <c r="D243" t="s">
        <v>11</v>
      </c>
      <c r="E243" t="s">
        <v>12</v>
      </c>
      <c r="F243">
        <v>80</v>
      </c>
      <c r="G243">
        <v>83</v>
      </c>
      <c r="H243">
        <v>83</v>
      </c>
      <c r="I243">
        <f>StudentsTable[[#This Row],[math score]]+StudentsTable[[#This Row],[reading score]]+StudentsTable[[#This Row],[writing score]]</f>
        <v>246</v>
      </c>
      <c r="J243">
        <f>StudentsTable[[#This Row],[TotalScore]]/3</f>
        <v>82</v>
      </c>
      <c r="K243" t="str" cm="1">
        <f t="array" ref="K243">_xlfn.IFS(StudentsTable[[#This Row],[AverageScore]]&gt;=90,"A",StudentsTable[[#This Row],[AverageScore]]&gt;=80,"B",StudentsTable[[#This Row],[AverageScore]]&gt;=70,"C",StudentsTable[[#This Row],[AverageScore]]&gt;=60,"D",TRUE,"F")</f>
        <v>B</v>
      </c>
      <c r="L243" t="str">
        <f>IF(StudentsTable[[#This Row],[AverageScore]]&gt;=60,"Pass","Fail")</f>
        <v>Pass</v>
      </c>
      <c r="M243" t="str" cm="1">
        <f t="array" ref="M243">_xlfn.IFS(StudentsTable[[#This Row],[AverageScore]]&gt;=85,"Advanced",StudentsTable[[#This Row],[AverageScore]]&gt;=70,"Intermediate",StudentsTable[[#This Row],[AverageScore]]&gt;=60,"Basic",TRUE,"Needs Help")</f>
        <v>Intermediate</v>
      </c>
      <c r="N243">
        <f>RANK(StudentsTable[[#This Row],[AverageScore]],StudentsTable[AverageScore])</f>
        <v>166</v>
      </c>
      <c r="O243">
        <f>(StudentsTable[[#This Row],[AverageScore]]-MIN(StudentsTable[AverageScore]))/(MAX(StudentsTable[AverageScore])-MIN(StudentsTable[AverageScore]))*100</f>
        <v>80.219780219780219</v>
      </c>
    </row>
    <row r="244" spans="1:15" x14ac:dyDescent="0.3">
      <c r="A244" t="s">
        <v>8</v>
      </c>
      <c r="B244" t="s">
        <v>21</v>
      </c>
      <c r="C244" t="s">
        <v>22</v>
      </c>
      <c r="D244" t="s">
        <v>11</v>
      </c>
      <c r="E244" t="s">
        <v>12</v>
      </c>
      <c r="F244">
        <v>56</v>
      </c>
      <c r="G244">
        <v>52</v>
      </c>
      <c r="H244">
        <v>55</v>
      </c>
      <c r="I244">
        <f>StudentsTable[[#This Row],[math score]]+StudentsTable[[#This Row],[reading score]]+StudentsTable[[#This Row],[writing score]]</f>
        <v>163</v>
      </c>
      <c r="J244">
        <f>StudentsTable[[#This Row],[TotalScore]]/3</f>
        <v>54.333333333333336</v>
      </c>
      <c r="K244" t="str" cm="1">
        <f t="array" ref="K244">_xlfn.IFS(StudentsTable[[#This Row],[AverageScore]]&gt;=90,"A",StudentsTable[[#This Row],[AverageScore]]&gt;=80,"B",StudentsTable[[#This Row],[AverageScore]]&gt;=70,"C",StudentsTable[[#This Row],[AverageScore]]&gt;=60,"D",TRUE,"F")</f>
        <v>F</v>
      </c>
      <c r="L244" t="str">
        <f>IF(StudentsTable[[#This Row],[AverageScore]]&gt;=60,"Pass","Fail")</f>
        <v>Fail</v>
      </c>
      <c r="M244" t="str" cm="1">
        <f t="array" ref="M244">_xlfn.IFS(StudentsTable[[#This Row],[AverageScore]]&gt;=85,"Advanced",StudentsTable[[#This Row],[AverageScore]]&gt;=70,"Intermediate",StudentsTable[[#This Row],[AverageScore]]&gt;=60,"Basic",TRUE,"Needs Help")</f>
        <v>Needs Help</v>
      </c>
      <c r="N244">
        <f>RANK(StudentsTable[[#This Row],[AverageScore]],StudentsTable[AverageScore])</f>
        <v>819</v>
      </c>
      <c r="O244">
        <f>(StudentsTable[[#This Row],[AverageScore]]-MIN(StudentsTable[AverageScore]))/(MAX(StudentsTable[AverageScore])-MIN(StudentsTable[AverageScore]))*100</f>
        <v>49.816849816849818</v>
      </c>
    </row>
    <row r="245" spans="1:15" x14ac:dyDescent="0.3">
      <c r="A245" t="s">
        <v>17</v>
      </c>
      <c r="B245" t="s">
        <v>24</v>
      </c>
      <c r="C245" t="s">
        <v>14</v>
      </c>
      <c r="D245" t="s">
        <v>11</v>
      </c>
      <c r="E245" t="s">
        <v>12</v>
      </c>
      <c r="F245">
        <v>59</v>
      </c>
      <c r="G245">
        <v>51</v>
      </c>
      <c r="H245">
        <v>43</v>
      </c>
      <c r="I245">
        <f>StudentsTable[[#This Row],[math score]]+StudentsTable[[#This Row],[reading score]]+StudentsTable[[#This Row],[writing score]]</f>
        <v>153</v>
      </c>
      <c r="J245">
        <f>StudentsTable[[#This Row],[TotalScore]]/3</f>
        <v>51</v>
      </c>
      <c r="K245" t="str" cm="1">
        <f t="array" ref="K245">_xlfn.IFS(StudentsTable[[#This Row],[AverageScore]]&gt;=90,"A",StudentsTable[[#This Row],[AverageScore]]&gt;=80,"B",StudentsTable[[#This Row],[AverageScore]]&gt;=70,"C",StudentsTable[[#This Row],[AverageScore]]&gt;=60,"D",TRUE,"F")</f>
        <v>F</v>
      </c>
      <c r="L245" t="str">
        <f>IF(StudentsTable[[#This Row],[AverageScore]]&gt;=60,"Pass","Fail")</f>
        <v>Fail</v>
      </c>
      <c r="M245" t="str" cm="1">
        <f t="array" ref="M245">_xlfn.IFS(StudentsTable[[#This Row],[AverageScore]]&gt;=85,"Advanced",StudentsTable[[#This Row],[AverageScore]]&gt;=70,"Intermediate",StudentsTable[[#This Row],[AverageScore]]&gt;=60,"Basic",TRUE,"Needs Help")</f>
        <v>Needs Help</v>
      </c>
      <c r="N245">
        <f>RANK(StudentsTable[[#This Row],[AverageScore]],StudentsTable[AverageScore])</f>
        <v>876</v>
      </c>
      <c r="O245">
        <f>(StudentsTable[[#This Row],[AverageScore]]-MIN(StudentsTable[AverageScore]))/(MAX(StudentsTable[AverageScore])-MIN(StudentsTable[AverageScore]))*100</f>
        <v>46.153846153846153</v>
      </c>
    </row>
    <row r="246" spans="1:15" x14ac:dyDescent="0.3">
      <c r="A246" t="s">
        <v>17</v>
      </c>
      <c r="B246" t="s">
        <v>21</v>
      </c>
      <c r="C246" t="s">
        <v>23</v>
      </c>
      <c r="D246" t="s">
        <v>11</v>
      </c>
      <c r="E246" t="s">
        <v>12</v>
      </c>
      <c r="F246">
        <v>75</v>
      </c>
      <c r="G246">
        <v>74</v>
      </c>
      <c r="H246">
        <v>69</v>
      </c>
      <c r="I246">
        <f>StudentsTable[[#This Row],[math score]]+StudentsTable[[#This Row],[reading score]]+StudentsTable[[#This Row],[writing score]]</f>
        <v>218</v>
      </c>
      <c r="J246">
        <f>StudentsTable[[#This Row],[TotalScore]]/3</f>
        <v>72.666666666666671</v>
      </c>
      <c r="K246" t="str" cm="1">
        <f t="array" ref="K246">_xlfn.IFS(StudentsTable[[#This Row],[AverageScore]]&gt;=90,"A",StudentsTable[[#This Row],[AverageScore]]&gt;=80,"B",StudentsTable[[#This Row],[AverageScore]]&gt;=70,"C",StudentsTable[[#This Row],[AverageScore]]&gt;=60,"D",TRUE,"F")</f>
        <v>C</v>
      </c>
      <c r="L246" t="str">
        <f>IF(StudentsTable[[#This Row],[AverageScore]]&gt;=60,"Pass","Fail")</f>
        <v>Pass</v>
      </c>
      <c r="M246" t="str" cm="1">
        <f t="array" ref="M246">_xlfn.IFS(StudentsTable[[#This Row],[AverageScore]]&gt;=85,"Advanced",StudentsTable[[#This Row],[AverageScore]]&gt;=70,"Intermediate",StudentsTable[[#This Row],[AverageScore]]&gt;=60,"Basic",TRUE,"Needs Help")</f>
        <v>Intermediate</v>
      </c>
      <c r="N246">
        <f>RANK(StudentsTable[[#This Row],[AverageScore]],StudentsTable[AverageScore])</f>
        <v>379</v>
      </c>
      <c r="O246">
        <f>(StudentsTable[[#This Row],[AverageScore]]-MIN(StudentsTable[AverageScore]))/(MAX(StudentsTable[AverageScore])-MIN(StudentsTable[AverageScore]))*100</f>
        <v>69.963369963369971</v>
      </c>
    </row>
    <row r="247" spans="1:15" x14ac:dyDescent="0.3">
      <c r="A247" t="s">
        <v>17</v>
      </c>
      <c r="B247" t="s">
        <v>13</v>
      </c>
      <c r="C247" t="s">
        <v>19</v>
      </c>
      <c r="D247" t="s">
        <v>11</v>
      </c>
      <c r="E247" t="s">
        <v>12</v>
      </c>
      <c r="F247">
        <v>85</v>
      </c>
      <c r="G247">
        <v>76</v>
      </c>
      <c r="H247">
        <v>71</v>
      </c>
      <c r="I247">
        <f>StudentsTable[[#This Row],[math score]]+StudentsTable[[#This Row],[reading score]]+StudentsTable[[#This Row],[writing score]]</f>
        <v>232</v>
      </c>
      <c r="J247">
        <f>StudentsTable[[#This Row],[TotalScore]]/3</f>
        <v>77.333333333333329</v>
      </c>
      <c r="K247" t="str" cm="1">
        <f t="array" ref="K247">_xlfn.IFS(StudentsTable[[#This Row],[AverageScore]]&gt;=90,"A",StudentsTable[[#This Row],[AverageScore]]&gt;=80,"B",StudentsTable[[#This Row],[AverageScore]]&gt;=70,"C",StudentsTable[[#This Row],[AverageScore]]&gt;=60,"D",TRUE,"F")</f>
        <v>C</v>
      </c>
      <c r="L247" t="str">
        <f>IF(StudentsTable[[#This Row],[AverageScore]]&gt;=60,"Pass","Fail")</f>
        <v>Pass</v>
      </c>
      <c r="M247" t="str" cm="1">
        <f t="array" ref="M247">_xlfn.IFS(StudentsTable[[#This Row],[AverageScore]]&gt;=85,"Advanced",StudentsTable[[#This Row],[AverageScore]]&gt;=70,"Intermediate",StudentsTable[[#This Row],[AverageScore]]&gt;=60,"Basic",TRUE,"Needs Help")</f>
        <v>Intermediate</v>
      </c>
      <c r="N247">
        <f>RANK(StudentsTable[[#This Row],[AverageScore]],StudentsTable[AverageScore])</f>
        <v>255</v>
      </c>
      <c r="O247">
        <f>(StudentsTable[[#This Row],[AverageScore]]-MIN(StudentsTable[AverageScore]))/(MAX(StudentsTable[AverageScore])-MIN(StudentsTable[AverageScore]))*100</f>
        <v>75.091575091575095</v>
      </c>
    </row>
    <row r="248" spans="1:15" x14ac:dyDescent="0.3">
      <c r="A248" t="s">
        <v>17</v>
      </c>
      <c r="B248" t="s">
        <v>24</v>
      </c>
      <c r="C248" t="s">
        <v>19</v>
      </c>
      <c r="D248" t="s">
        <v>11</v>
      </c>
      <c r="E248" t="s">
        <v>12</v>
      </c>
      <c r="F248">
        <v>89</v>
      </c>
      <c r="G248">
        <v>76</v>
      </c>
      <c r="H248">
        <v>74</v>
      </c>
      <c r="I248">
        <f>StudentsTable[[#This Row],[math score]]+StudentsTable[[#This Row],[reading score]]+StudentsTable[[#This Row],[writing score]]</f>
        <v>239</v>
      </c>
      <c r="J248">
        <f>StudentsTable[[#This Row],[TotalScore]]/3</f>
        <v>79.666666666666671</v>
      </c>
      <c r="K248" t="str" cm="1">
        <f t="array" ref="K248">_xlfn.IFS(StudentsTable[[#This Row],[AverageScore]]&gt;=90,"A",StudentsTable[[#This Row],[AverageScore]]&gt;=80,"B",StudentsTable[[#This Row],[AverageScore]]&gt;=70,"C",StudentsTable[[#This Row],[AverageScore]]&gt;=60,"D",TRUE,"F")</f>
        <v>C</v>
      </c>
      <c r="L248" t="str">
        <f>IF(StudentsTable[[#This Row],[AverageScore]]&gt;=60,"Pass","Fail")</f>
        <v>Pass</v>
      </c>
      <c r="M248" t="str" cm="1">
        <f t="array" ref="M248">_xlfn.IFS(StudentsTable[[#This Row],[AverageScore]]&gt;=85,"Advanced",StudentsTable[[#This Row],[AverageScore]]&gt;=70,"Intermediate",StudentsTable[[#This Row],[AverageScore]]&gt;=60,"Basic",TRUE,"Needs Help")</f>
        <v>Intermediate</v>
      </c>
      <c r="N248">
        <f>RANK(StudentsTable[[#This Row],[AverageScore]],StudentsTable[AverageScore])</f>
        <v>199</v>
      </c>
      <c r="O248">
        <f>(StudentsTable[[#This Row],[AverageScore]]-MIN(StudentsTable[AverageScore]))/(MAX(StudentsTable[AverageScore])-MIN(StudentsTable[AverageScore]))*100</f>
        <v>77.655677655677664</v>
      </c>
    </row>
    <row r="249" spans="1:15" x14ac:dyDescent="0.3">
      <c r="A249" t="s">
        <v>8</v>
      </c>
      <c r="B249" t="s">
        <v>9</v>
      </c>
      <c r="C249" t="s">
        <v>22</v>
      </c>
      <c r="D249" t="s">
        <v>11</v>
      </c>
      <c r="E249" t="s">
        <v>15</v>
      </c>
      <c r="F249">
        <v>58</v>
      </c>
      <c r="G249">
        <v>70</v>
      </c>
      <c r="H249">
        <v>68</v>
      </c>
      <c r="I249">
        <f>StudentsTable[[#This Row],[math score]]+StudentsTable[[#This Row],[reading score]]+StudentsTable[[#This Row],[writing score]]</f>
        <v>196</v>
      </c>
      <c r="J249">
        <f>StudentsTable[[#This Row],[TotalScore]]/3</f>
        <v>65.333333333333329</v>
      </c>
      <c r="K249" t="str" cm="1">
        <f t="array" ref="K249">_xlfn.IFS(StudentsTable[[#This Row],[AverageScore]]&gt;=90,"A",StudentsTable[[#This Row],[AverageScore]]&gt;=80,"B",StudentsTable[[#This Row],[AverageScore]]&gt;=70,"C",StudentsTable[[#This Row],[AverageScore]]&gt;=60,"D",TRUE,"F")</f>
        <v>D</v>
      </c>
      <c r="L249" t="str">
        <f>IF(StudentsTable[[#This Row],[AverageScore]]&gt;=60,"Pass","Fail")</f>
        <v>Pass</v>
      </c>
      <c r="M249" t="str" cm="1">
        <f t="array" ref="M249">_xlfn.IFS(StudentsTable[[#This Row],[AverageScore]]&gt;=85,"Advanced",StudentsTable[[#This Row],[AverageScore]]&gt;=70,"Intermediate",StudentsTable[[#This Row],[AverageScore]]&gt;=60,"Basic",TRUE,"Needs Help")</f>
        <v>Basic</v>
      </c>
      <c r="N249">
        <f>RANK(StudentsTable[[#This Row],[AverageScore]],StudentsTable[AverageScore])</f>
        <v>584</v>
      </c>
      <c r="O249">
        <f>(StudentsTable[[#This Row],[AverageScore]]-MIN(StudentsTable[AverageScore]))/(MAX(StudentsTable[AverageScore])-MIN(StudentsTable[AverageScore]))*100</f>
        <v>61.904761904761898</v>
      </c>
    </row>
    <row r="250" spans="1:15" x14ac:dyDescent="0.3">
      <c r="A250" t="s">
        <v>8</v>
      </c>
      <c r="B250" t="s">
        <v>9</v>
      </c>
      <c r="C250" t="s">
        <v>22</v>
      </c>
      <c r="D250" t="s">
        <v>11</v>
      </c>
      <c r="E250" t="s">
        <v>12</v>
      </c>
      <c r="F250">
        <v>65</v>
      </c>
      <c r="G250">
        <v>64</v>
      </c>
      <c r="H250">
        <v>62</v>
      </c>
      <c r="I250">
        <f>StudentsTable[[#This Row],[math score]]+StudentsTable[[#This Row],[reading score]]+StudentsTable[[#This Row],[writing score]]</f>
        <v>191</v>
      </c>
      <c r="J250">
        <f>StudentsTable[[#This Row],[TotalScore]]/3</f>
        <v>63.666666666666664</v>
      </c>
      <c r="K250" t="str" cm="1">
        <f t="array" ref="K250">_xlfn.IFS(StudentsTable[[#This Row],[AverageScore]]&gt;=90,"A",StudentsTable[[#This Row],[AverageScore]]&gt;=80,"B",StudentsTable[[#This Row],[AverageScore]]&gt;=70,"C",StudentsTable[[#This Row],[AverageScore]]&gt;=60,"D",TRUE,"F")</f>
        <v>D</v>
      </c>
      <c r="L250" t="str">
        <f>IF(StudentsTable[[#This Row],[AverageScore]]&gt;=60,"Pass","Fail")</f>
        <v>Pass</v>
      </c>
      <c r="M250" t="str" cm="1">
        <f t="array" ref="M250">_xlfn.IFS(StudentsTable[[#This Row],[AverageScore]]&gt;=85,"Advanced",StudentsTable[[#This Row],[AverageScore]]&gt;=70,"Intermediate",StudentsTable[[#This Row],[AverageScore]]&gt;=60,"Basic",TRUE,"Needs Help")</f>
        <v>Basic</v>
      </c>
      <c r="N250">
        <f>RANK(StudentsTable[[#This Row],[AverageScore]],StudentsTable[AverageScore])</f>
        <v>632</v>
      </c>
      <c r="O250">
        <f>(StudentsTable[[#This Row],[AverageScore]]-MIN(StudentsTable[AverageScore]))/(MAX(StudentsTable[AverageScore])-MIN(StudentsTable[AverageScore]))*100</f>
        <v>60.073260073260073</v>
      </c>
    </row>
    <row r="251" spans="1:15" x14ac:dyDescent="0.3">
      <c r="A251" t="s">
        <v>17</v>
      </c>
      <c r="B251" t="s">
        <v>13</v>
      </c>
      <c r="C251" t="s">
        <v>22</v>
      </c>
      <c r="D251" t="s">
        <v>11</v>
      </c>
      <c r="E251" t="s">
        <v>12</v>
      </c>
      <c r="F251">
        <v>68</v>
      </c>
      <c r="G251">
        <v>60</v>
      </c>
      <c r="H251">
        <v>53</v>
      </c>
      <c r="I251">
        <f>StudentsTable[[#This Row],[math score]]+StudentsTable[[#This Row],[reading score]]+StudentsTable[[#This Row],[writing score]]</f>
        <v>181</v>
      </c>
      <c r="J251">
        <f>StudentsTable[[#This Row],[TotalScore]]/3</f>
        <v>60.333333333333336</v>
      </c>
      <c r="K251" t="str" cm="1">
        <f t="array" ref="K251">_xlfn.IFS(StudentsTable[[#This Row],[AverageScore]]&gt;=90,"A",StudentsTable[[#This Row],[AverageScore]]&gt;=80,"B",StudentsTable[[#This Row],[AverageScore]]&gt;=70,"C",StudentsTable[[#This Row],[AverageScore]]&gt;=60,"D",TRUE,"F")</f>
        <v>D</v>
      </c>
      <c r="L251" t="str">
        <f>IF(StudentsTable[[#This Row],[AverageScore]]&gt;=60,"Pass","Fail")</f>
        <v>Pass</v>
      </c>
      <c r="M251" t="str" cm="1">
        <f t="array" ref="M251">_xlfn.IFS(StudentsTable[[#This Row],[AverageScore]]&gt;=85,"Advanced",StudentsTable[[#This Row],[AverageScore]]&gt;=70,"Intermediate",StudentsTable[[#This Row],[AverageScore]]&gt;=60,"Basic",TRUE,"Needs Help")</f>
        <v>Basic</v>
      </c>
      <c r="N251">
        <f>RANK(StudentsTable[[#This Row],[AverageScore]],StudentsTable[AverageScore])</f>
        <v>700</v>
      </c>
      <c r="O251">
        <f>(StudentsTable[[#This Row],[AverageScore]]-MIN(StudentsTable[AverageScore]))/(MAX(StudentsTable[AverageScore])-MIN(StudentsTable[AverageScore]))*100</f>
        <v>56.410256410256409</v>
      </c>
    </row>
    <row r="252" spans="1:15" x14ac:dyDescent="0.3">
      <c r="A252" t="s">
        <v>17</v>
      </c>
      <c r="B252" t="s">
        <v>18</v>
      </c>
      <c r="C252" t="s">
        <v>23</v>
      </c>
      <c r="D252" t="s">
        <v>11</v>
      </c>
      <c r="E252" t="s">
        <v>15</v>
      </c>
      <c r="F252">
        <v>47</v>
      </c>
      <c r="G252">
        <v>49</v>
      </c>
      <c r="H252">
        <v>49</v>
      </c>
      <c r="I252">
        <f>StudentsTable[[#This Row],[math score]]+StudentsTable[[#This Row],[reading score]]+StudentsTable[[#This Row],[writing score]]</f>
        <v>145</v>
      </c>
      <c r="J252">
        <f>StudentsTable[[#This Row],[TotalScore]]/3</f>
        <v>48.333333333333336</v>
      </c>
      <c r="K252" t="str" cm="1">
        <f t="array" ref="K252">_xlfn.IFS(StudentsTable[[#This Row],[AverageScore]]&gt;=90,"A",StudentsTable[[#This Row],[AverageScore]]&gt;=80,"B",StudentsTable[[#This Row],[AverageScore]]&gt;=70,"C",StudentsTable[[#This Row],[AverageScore]]&gt;=60,"D",TRUE,"F")</f>
        <v>F</v>
      </c>
      <c r="L252" t="str">
        <f>IF(StudentsTable[[#This Row],[AverageScore]]&gt;=60,"Pass","Fail")</f>
        <v>Fail</v>
      </c>
      <c r="M252" t="str" cm="1">
        <f t="array" ref="M252">_xlfn.IFS(StudentsTable[[#This Row],[AverageScore]]&gt;=85,"Advanced",StudentsTable[[#This Row],[AverageScore]]&gt;=70,"Intermediate",StudentsTable[[#This Row],[AverageScore]]&gt;=60,"Basic",TRUE,"Needs Help")</f>
        <v>Needs Help</v>
      </c>
      <c r="N252">
        <f>RANK(StudentsTable[[#This Row],[AverageScore]],StudentsTable[AverageScore])</f>
        <v>915</v>
      </c>
      <c r="O252">
        <f>(StudentsTable[[#This Row],[AverageScore]]-MIN(StudentsTable[AverageScore]))/(MAX(StudentsTable[AverageScore])-MIN(StudentsTable[AverageScore]))*100</f>
        <v>43.223443223443226</v>
      </c>
    </row>
    <row r="253" spans="1:15" x14ac:dyDescent="0.3">
      <c r="A253" t="s">
        <v>8</v>
      </c>
      <c r="B253" t="s">
        <v>21</v>
      </c>
      <c r="C253" t="s">
        <v>14</v>
      </c>
      <c r="D253" t="s">
        <v>20</v>
      </c>
      <c r="E253" t="s">
        <v>12</v>
      </c>
      <c r="F253">
        <v>71</v>
      </c>
      <c r="G253">
        <v>83</v>
      </c>
      <c r="H253">
        <v>83</v>
      </c>
      <c r="I253">
        <f>StudentsTable[[#This Row],[math score]]+StudentsTable[[#This Row],[reading score]]+StudentsTable[[#This Row],[writing score]]</f>
        <v>237</v>
      </c>
      <c r="J253">
        <f>StudentsTable[[#This Row],[TotalScore]]/3</f>
        <v>79</v>
      </c>
      <c r="K253" t="str" cm="1">
        <f t="array" ref="K253">_xlfn.IFS(StudentsTable[[#This Row],[AverageScore]]&gt;=90,"A",StudentsTable[[#This Row],[AverageScore]]&gt;=80,"B",StudentsTable[[#This Row],[AverageScore]]&gt;=70,"C",StudentsTable[[#This Row],[AverageScore]]&gt;=60,"D",TRUE,"F")</f>
        <v>C</v>
      </c>
      <c r="L253" t="str">
        <f>IF(StudentsTable[[#This Row],[AverageScore]]&gt;=60,"Pass","Fail")</f>
        <v>Pass</v>
      </c>
      <c r="M253" t="str" cm="1">
        <f t="array" ref="M253">_xlfn.IFS(StudentsTable[[#This Row],[AverageScore]]&gt;=85,"Advanced",StudentsTable[[#This Row],[AverageScore]]&gt;=70,"Intermediate",StudentsTable[[#This Row],[AverageScore]]&gt;=60,"Basic",TRUE,"Needs Help")</f>
        <v>Intermediate</v>
      </c>
      <c r="N253">
        <f>RANK(StudentsTable[[#This Row],[AverageScore]],StudentsTable[AverageScore])</f>
        <v>215</v>
      </c>
      <c r="O253">
        <f>(StudentsTable[[#This Row],[AverageScore]]-MIN(StudentsTable[AverageScore]))/(MAX(StudentsTable[AverageScore])-MIN(StudentsTable[AverageScore]))*100</f>
        <v>76.923076923076934</v>
      </c>
    </row>
    <row r="254" spans="1:15" x14ac:dyDescent="0.3">
      <c r="A254" t="s">
        <v>8</v>
      </c>
      <c r="B254" t="s">
        <v>9</v>
      </c>
      <c r="C254" t="s">
        <v>23</v>
      </c>
      <c r="D254" t="s">
        <v>11</v>
      </c>
      <c r="E254" t="s">
        <v>15</v>
      </c>
      <c r="F254">
        <v>60</v>
      </c>
      <c r="G254">
        <v>70</v>
      </c>
      <c r="H254">
        <v>70</v>
      </c>
      <c r="I254">
        <f>StudentsTable[[#This Row],[math score]]+StudentsTable[[#This Row],[reading score]]+StudentsTable[[#This Row],[writing score]]</f>
        <v>200</v>
      </c>
      <c r="J254">
        <f>StudentsTable[[#This Row],[TotalScore]]/3</f>
        <v>66.666666666666671</v>
      </c>
      <c r="K254" t="str" cm="1">
        <f t="array" ref="K254">_xlfn.IFS(StudentsTable[[#This Row],[AverageScore]]&gt;=90,"A",StudentsTable[[#This Row],[AverageScore]]&gt;=80,"B",StudentsTable[[#This Row],[AverageScore]]&gt;=70,"C",StudentsTable[[#This Row],[AverageScore]]&gt;=60,"D",TRUE,"F")</f>
        <v>D</v>
      </c>
      <c r="L254" t="str">
        <f>IF(StudentsTable[[#This Row],[AverageScore]]&gt;=60,"Pass","Fail")</f>
        <v>Pass</v>
      </c>
      <c r="M254" t="str" cm="1">
        <f t="array" ref="M254">_xlfn.IFS(StudentsTable[[#This Row],[AverageScore]]&gt;=85,"Advanced",StudentsTable[[#This Row],[AverageScore]]&gt;=70,"Intermediate",StudentsTable[[#This Row],[AverageScore]]&gt;=60,"Basic",TRUE,"Needs Help")</f>
        <v>Basic</v>
      </c>
      <c r="N254">
        <f>RANK(StudentsTable[[#This Row],[AverageScore]],StudentsTable[AverageScore])</f>
        <v>549</v>
      </c>
      <c r="O254">
        <f>(StudentsTable[[#This Row],[AverageScore]]-MIN(StudentsTable[AverageScore]))/(MAX(StudentsTable[AverageScore])-MIN(StudentsTable[AverageScore]))*100</f>
        <v>63.369963369963379</v>
      </c>
    </row>
    <row r="255" spans="1:15" x14ac:dyDescent="0.3">
      <c r="A255" t="s">
        <v>17</v>
      </c>
      <c r="B255" t="s">
        <v>21</v>
      </c>
      <c r="C255" t="s">
        <v>16</v>
      </c>
      <c r="D255" t="s">
        <v>11</v>
      </c>
      <c r="E255" t="s">
        <v>12</v>
      </c>
      <c r="F255">
        <v>80</v>
      </c>
      <c r="G255">
        <v>80</v>
      </c>
      <c r="H255">
        <v>72</v>
      </c>
      <c r="I255">
        <f>StudentsTable[[#This Row],[math score]]+StudentsTable[[#This Row],[reading score]]+StudentsTable[[#This Row],[writing score]]</f>
        <v>232</v>
      </c>
      <c r="J255">
        <f>StudentsTable[[#This Row],[TotalScore]]/3</f>
        <v>77.333333333333329</v>
      </c>
      <c r="K255" t="str" cm="1">
        <f t="array" ref="K255">_xlfn.IFS(StudentsTable[[#This Row],[AverageScore]]&gt;=90,"A",StudentsTable[[#This Row],[AverageScore]]&gt;=80,"B",StudentsTable[[#This Row],[AverageScore]]&gt;=70,"C",StudentsTable[[#This Row],[AverageScore]]&gt;=60,"D",TRUE,"F")</f>
        <v>C</v>
      </c>
      <c r="L255" t="str">
        <f>IF(StudentsTable[[#This Row],[AverageScore]]&gt;=60,"Pass","Fail")</f>
        <v>Pass</v>
      </c>
      <c r="M255" t="str" cm="1">
        <f t="array" ref="M255">_xlfn.IFS(StudentsTable[[#This Row],[AverageScore]]&gt;=85,"Advanced",StudentsTable[[#This Row],[AverageScore]]&gt;=70,"Intermediate",StudentsTable[[#This Row],[AverageScore]]&gt;=60,"Basic",TRUE,"Needs Help")</f>
        <v>Intermediate</v>
      </c>
      <c r="N255">
        <f>RANK(StudentsTable[[#This Row],[AverageScore]],StudentsTable[AverageScore])</f>
        <v>255</v>
      </c>
      <c r="O255">
        <f>(StudentsTable[[#This Row],[AverageScore]]-MIN(StudentsTable[AverageScore]))/(MAX(StudentsTable[AverageScore])-MIN(StudentsTable[AverageScore]))*100</f>
        <v>75.091575091575095</v>
      </c>
    </row>
    <row r="256" spans="1:15" x14ac:dyDescent="0.3">
      <c r="A256" t="s">
        <v>17</v>
      </c>
      <c r="B256" t="s">
        <v>21</v>
      </c>
      <c r="C256" t="s">
        <v>22</v>
      </c>
      <c r="D256" t="s">
        <v>11</v>
      </c>
      <c r="E256" t="s">
        <v>12</v>
      </c>
      <c r="F256">
        <v>54</v>
      </c>
      <c r="G256">
        <v>52</v>
      </c>
      <c r="H256">
        <v>52</v>
      </c>
      <c r="I256">
        <f>StudentsTable[[#This Row],[math score]]+StudentsTable[[#This Row],[reading score]]+StudentsTable[[#This Row],[writing score]]</f>
        <v>158</v>
      </c>
      <c r="J256">
        <f>StudentsTable[[#This Row],[TotalScore]]/3</f>
        <v>52.666666666666664</v>
      </c>
      <c r="K256" t="str" cm="1">
        <f t="array" ref="K256">_xlfn.IFS(StudentsTable[[#This Row],[AverageScore]]&gt;=90,"A",StudentsTable[[#This Row],[AverageScore]]&gt;=80,"B",StudentsTable[[#This Row],[AverageScore]]&gt;=70,"C",StudentsTable[[#This Row],[AverageScore]]&gt;=60,"D",TRUE,"F")</f>
        <v>F</v>
      </c>
      <c r="L256" t="str">
        <f>IF(StudentsTable[[#This Row],[AverageScore]]&gt;=60,"Pass","Fail")</f>
        <v>Fail</v>
      </c>
      <c r="M256" t="str" cm="1">
        <f t="array" ref="M256">_xlfn.IFS(StudentsTable[[#This Row],[AverageScore]]&gt;=85,"Advanced",StudentsTable[[#This Row],[AverageScore]]&gt;=70,"Intermediate",StudentsTable[[#This Row],[AverageScore]]&gt;=60,"Basic",TRUE,"Needs Help")</f>
        <v>Needs Help</v>
      </c>
      <c r="N256">
        <f>RANK(StudentsTable[[#This Row],[AverageScore]],StudentsTable[AverageScore])</f>
        <v>843</v>
      </c>
      <c r="O256">
        <f>(StudentsTable[[#This Row],[AverageScore]]-MIN(StudentsTable[AverageScore]))/(MAX(StudentsTable[AverageScore])-MIN(StudentsTable[AverageScore]))*100</f>
        <v>47.985347985347978</v>
      </c>
    </row>
    <row r="257" spans="1:15" x14ac:dyDescent="0.3">
      <c r="A257" t="s">
        <v>8</v>
      </c>
      <c r="B257" t="s">
        <v>24</v>
      </c>
      <c r="C257" t="s">
        <v>14</v>
      </c>
      <c r="D257" t="s">
        <v>11</v>
      </c>
      <c r="E257" t="s">
        <v>12</v>
      </c>
      <c r="F257">
        <v>62</v>
      </c>
      <c r="G257">
        <v>73</v>
      </c>
      <c r="H257">
        <v>70</v>
      </c>
      <c r="I257">
        <f>StudentsTable[[#This Row],[math score]]+StudentsTable[[#This Row],[reading score]]+StudentsTable[[#This Row],[writing score]]</f>
        <v>205</v>
      </c>
      <c r="J257">
        <f>StudentsTable[[#This Row],[TotalScore]]/3</f>
        <v>68.333333333333329</v>
      </c>
      <c r="K257" t="str" cm="1">
        <f t="array" ref="K257">_xlfn.IFS(StudentsTable[[#This Row],[AverageScore]]&gt;=90,"A",StudentsTable[[#This Row],[AverageScore]]&gt;=80,"B",StudentsTable[[#This Row],[AverageScore]]&gt;=70,"C",StudentsTable[[#This Row],[AverageScore]]&gt;=60,"D",TRUE,"F")</f>
        <v>D</v>
      </c>
      <c r="L257" t="str">
        <f>IF(StudentsTable[[#This Row],[AverageScore]]&gt;=60,"Pass","Fail")</f>
        <v>Pass</v>
      </c>
      <c r="M257" t="str" cm="1">
        <f t="array" ref="M257">_xlfn.IFS(StudentsTable[[#This Row],[AverageScore]]&gt;=85,"Advanced",StudentsTable[[#This Row],[AverageScore]]&gt;=70,"Intermediate",StudentsTable[[#This Row],[AverageScore]]&gt;=60,"Basic",TRUE,"Needs Help")</f>
        <v>Basic</v>
      </c>
      <c r="N257">
        <f>RANK(StudentsTable[[#This Row],[AverageScore]],StudentsTable[AverageScore])</f>
        <v>499</v>
      </c>
      <c r="O257">
        <f>(StudentsTable[[#This Row],[AverageScore]]-MIN(StudentsTable[AverageScore]))/(MAX(StudentsTable[AverageScore])-MIN(StudentsTable[AverageScore]))*100</f>
        <v>65.201465201465197</v>
      </c>
    </row>
    <row r="258" spans="1:15" x14ac:dyDescent="0.3">
      <c r="A258" t="s">
        <v>8</v>
      </c>
      <c r="B258" t="s">
        <v>13</v>
      </c>
      <c r="C258" t="s">
        <v>19</v>
      </c>
      <c r="D258" t="s">
        <v>20</v>
      </c>
      <c r="E258" t="s">
        <v>12</v>
      </c>
      <c r="F258">
        <v>64</v>
      </c>
      <c r="G258">
        <v>73</v>
      </c>
      <c r="H258">
        <v>68</v>
      </c>
      <c r="I258">
        <f>StudentsTable[[#This Row],[math score]]+StudentsTable[[#This Row],[reading score]]+StudentsTable[[#This Row],[writing score]]</f>
        <v>205</v>
      </c>
      <c r="J258">
        <f>StudentsTable[[#This Row],[TotalScore]]/3</f>
        <v>68.333333333333329</v>
      </c>
      <c r="K258" t="str" cm="1">
        <f t="array" ref="K258">_xlfn.IFS(StudentsTable[[#This Row],[AverageScore]]&gt;=90,"A",StudentsTable[[#This Row],[AverageScore]]&gt;=80,"B",StudentsTable[[#This Row],[AverageScore]]&gt;=70,"C",StudentsTable[[#This Row],[AverageScore]]&gt;=60,"D",TRUE,"F")</f>
        <v>D</v>
      </c>
      <c r="L258" t="str">
        <f>IF(StudentsTable[[#This Row],[AverageScore]]&gt;=60,"Pass","Fail")</f>
        <v>Pass</v>
      </c>
      <c r="M258" t="str" cm="1">
        <f t="array" ref="M258">_xlfn.IFS(StudentsTable[[#This Row],[AverageScore]]&gt;=85,"Advanced",StudentsTable[[#This Row],[AverageScore]]&gt;=70,"Intermediate",StudentsTable[[#This Row],[AverageScore]]&gt;=60,"Basic",TRUE,"Needs Help")</f>
        <v>Basic</v>
      </c>
      <c r="N258">
        <f>RANK(StudentsTable[[#This Row],[AverageScore]],StudentsTable[AverageScore])</f>
        <v>499</v>
      </c>
      <c r="O258">
        <f>(StudentsTable[[#This Row],[AverageScore]]-MIN(StudentsTable[AverageScore]))/(MAX(StudentsTable[AverageScore])-MIN(StudentsTable[AverageScore]))*100</f>
        <v>65.201465201465197</v>
      </c>
    </row>
    <row r="259" spans="1:15" x14ac:dyDescent="0.3">
      <c r="A259" t="s">
        <v>17</v>
      </c>
      <c r="B259" t="s">
        <v>13</v>
      </c>
      <c r="C259" t="s">
        <v>19</v>
      </c>
      <c r="D259" t="s">
        <v>11</v>
      </c>
      <c r="E259" t="s">
        <v>15</v>
      </c>
      <c r="F259">
        <v>78</v>
      </c>
      <c r="G259">
        <v>77</v>
      </c>
      <c r="H259">
        <v>77</v>
      </c>
      <c r="I259">
        <f>StudentsTable[[#This Row],[math score]]+StudentsTable[[#This Row],[reading score]]+StudentsTable[[#This Row],[writing score]]</f>
        <v>232</v>
      </c>
      <c r="J259">
        <f>StudentsTable[[#This Row],[TotalScore]]/3</f>
        <v>77.333333333333329</v>
      </c>
      <c r="K259" t="str" cm="1">
        <f t="array" ref="K259">_xlfn.IFS(StudentsTable[[#This Row],[AverageScore]]&gt;=90,"A",StudentsTable[[#This Row],[AverageScore]]&gt;=80,"B",StudentsTable[[#This Row],[AverageScore]]&gt;=70,"C",StudentsTable[[#This Row],[AverageScore]]&gt;=60,"D",TRUE,"F")</f>
        <v>C</v>
      </c>
      <c r="L259" t="str">
        <f>IF(StudentsTable[[#This Row],[AverageScore]]&gt;=60,"Pass","Fail")</f>
        <v>Pass</v>
      </c>
      <c r="M259" t="str" cm="1">
        <f t="array" ref="M259">_xlfn.IFS(StudentsTable[[#This Row],[AverageScore]]&gt;=85,"Advanced",StudentsTable[[#This Row],[AverageScore]]&gt;=70,"Intermediate",StudentsTable[[#This Row],[AverageScore]]&gt;=60,"Basic",TRUE,"Needs Help")</f>
        <v>Intermediate</v>
      </c>
      <c r="N259">
        <f>RANK(StudentsTable[[#This Row],[AverageScore]],StudentsTable[AverageScore])</f>
        <v>255</v>
      </c>
      <c r="O259">
        <f>(StudentsTable[[#This Row],[AverageScore]]-MIN(StudentsTable[AverageScore]))/(MAX(StudentsTable[AverageScore])-MIN(StudentsTable[AverageScore]))*100</f>
        <v>75.091575091575095</v>
      </c>
    </row>
    <row r="260" spans="1:15" x14ac:dyDescent="0.3">
      <c r="A260" t="s">
        <v>8</v>
      </c>
      <c r="B260" t="s">
        <v>9</v>
      </c>
      <c r="C260" t="s">
        <v>14</v>
      </c>
      <c r="D260" t="s">
        <v>11</v>
      </c>
      <c r="E260" t="s">
        <v>12</v>
      </c>
      <c r="F260">
        <v>70</v>
      </c>
      <c r="G260">
        <v>75</v>
      </c>
      <c r="H260">
        <v>78</v>
      </c>
      <c r="I260">
        <f>StudentsTable[[#This Row],[math score]]+StudentsTable[[#This Row],[reading score]]+StudentsTable[[#This Row],[writing score]]</f>
        <v>223</v>
      </c>
      <c r="J260">
        <f>StudentsTable[[#This Row],[TotalScore]]/3</f>
        <v>74.333333333333329</v>
      </c>
      <c r="K260" t="str" cm="1">
        <f t="array" ref="K260">_xlfn.IFS(StudentsTable[[#This Row],[AverageScore]]&gt;=90,"A",StudentsTable[[#This Row],[AverageScore]]&gt;=80,"B",StudentsTable[[#This Row],[AverageScore]]&gt;=70,"C",StudentsTable[[#This Row],[AverageScore]]&gt;=60,"D",TRUE,"F")</f>
        <v>C</v>
      </c>
      <c r="L260" t="str">
        <f>IF(StudentsTable[[#This Row],[AverageScore]]&gt;=60,"Pass","Fail")</f>
        <v>Pass</v>
      </c>
      <c r="M260" t="str" cm="1">
        <f t="array" ref="M260">_xlfn.IFS(StudentsTable[[#This Row],[AverageScore]]&gt;=85,"Advanced",StudentsTable[[#This Row],[AverageScore]]&gt;=70,"Intermediate",StudentsTable[[#This Row],[AverageScore]]&gt;=60,"Basic",TRUE,"Needs Help")</f>
        <v>Intermediate</v>
      </c>
      <c r="N260">
        <f>RANK(StudentsTable[[#This Row],[AverageScore]],StudentsTable[AverageScore])</f>
        <v>333</v>
      </c>
      <c r="O260">
        <f>(StudentsTable[[#This Row],[AverageScore]]-MIN(StudentsTable[AverageScore]))/(MAX(StudentsTable[AverageScore])-MIN(StudentsTable[AverageScore]))*100</f>
        <v>71.794871794871796</v>
      </c>
    </row>
    <row r="261" spans="1:15" x14ac:dyDescent="0.3">
      <c r="A261" t="s">
        <v>8</v>
      </c>
      <c r="B261" t="s">
        <v>13</v>
      </c>
      <c r="C261" t="s">
        <v>16</v>
      </c>
      <c r="D261" t="s">
        <v>20</v>
      </c>
      <c r="E261" t="s">
        <v>15</v>
      </c>
      <c r="F261">
        <v>65</v>
      </c>
      <c r="G261">
        <v>81</v>
      </c>
      <c r="H261">
        <v>81</v>
      </c>
      <c r="I261">
        <f>StudentsTable[[#This Row],[math score]]+StudentsTable[[#This Row],[reading score]]+StudentsTable[[#This Row],[writing score]]</f>
        <v>227</v>
      </c>
      <c r="J261">
        <f>StudentsTable[[#This Row],[TotalScore]]/3</f>
        <v>75.666666666666671</v>
      </c>
      <c r="K261" t="str" cm="1">
        <f t="array" ref="K261">_xlfn.IFS(StudentsTable[[#This Row],[AverageScore]]&gt;=90,"A",StudentsTable[[#This Row],[AverageScore]]&gt;=80,"B",StudentsTable[[#This Row],[AverageScore]]&gt;=70,"C",StudentsTable[[#This Row],[AverageScore]]&gt;=60,"D",TRUE,"F")</f>
        <v>C</v>
      </c>
      <c r="L261" t="str">
        <f>IF(StudentsTable[[#This Row],[AverageScore]]&gt;=60,"Pass","Fail")</f>
        <v>Pass</v>
      </c>
      <c r="M261" t="str" cm="1">
        <f t="array" ref="M261">_xlfn.IFS(StudentsTable[[#This Row],[AverageScore]]&gt;=85,"Advanced",StudentsTable[[#This Row],[AverageScore]]&gt;=70,"Intermediate",StudentsTable[[#This Row],[AverageScore]]&gt;=60,"Basic",TRUE,"Needs Help")</f>
        <v>Intermediate</v>
      </c>
      <c r="N261">
        <f>RANK(StudentsTable[[#This Row],[AverageScore]],StudentsTable[AverageScore])</f>
        <v>297</v>
      </c>
      <c r="O261">
        <f>(StudentsTable[[#This Row],[AverageScore]]-MIN(StudentsTable[AverageScore]))/(MAX(StudentsTable[AverageScore])-MIN(StudentsTable[AverageScore]))*100</f>
        <v>73.26007326007327</v>
      </c>
    </row>
    <row r="262" spans="1:15" x14ac:dyDescent="0.3">
      <c r="A262" t="s">
        <v>8</v>
      </c>
      <c r="B262" t="s">
        <v>13</v>
      </c>
      <c r="C262" t="s">
        <v>23</v>
      </c>
      <c r="D262" t="s">
        <v>20</v>
      </c>
      <c r="E262" t="s">
        <v>15</v>
      </c>
      <c r="F262">
        <v>64</v>
      </c>
      <c r="G262">
        <v>79</v>
      </c>
      <c r="H262">
        <v>77</v>
      </c>
      <c r="I262">
        <f>StudentsTable[[#This Row],[math score]]+StudentsTable[[#This Row],[reading score]]+StudentsTable[[#This Row],[writing score]]</f>
        <v>220</v>
      </c>
      <c r="J262">
        <f>StudentsTable[[#This Row],[TotalScore]]/3</f>
        <v>73.333333333333329</v>
      </c>
      <c r="K262" t="str" cm="1">
        <f t="array" ref="K262">_xlfn.IFS(StudentsTable[[#This Row],[AverageScore]]&gt;=90,"A",StudentsTable[[#This Row],[AverageScore]]&gt;=80,"B",StudentsTable[[#This Row],[AverageScore]]&gt;=70,"C",StudentsTable[[#This Row],[AverageScore]]&gt;=60,"D",TRUE,"F")</f>
        <v>C</v>
      </c>
      <c r="L262" t="str">
        <f>IF(StudentsTable[[#This Row],[AverageScore]]&gt;=60,"Pass","Fail")</f>
        <v>Pass</v>
      </c>
      <c r="M262" t="str" cm="1">
        <f t="array" ref="M262">_xlfn.IFS(StudentsTable[[#This Row],[AverageScore]]&gt;=85,"Advanced",StudentsTable[[#This Row],[AverageScore]]&gt;=70,"Intermediate",StudentsTable[[#This Row],[AverageScore]]&gt;=60,"Basic",TRUE,"Needs Help")</f>
        <v>Intermediate</v>
      </c>
      <c r="N262">
        <f>RANK(StudentsTable[[#This Row],[AverageScore]],StudentsTable[AverageScore])</f>
        <v>356</v>
      </c>
      <c r="O262">
        <f>(StudentsTable[[#This Row],[AverageScore]]-MIN(StudentsTable[AverageScore]))/(MAX(StudentsTable[AverageScore])-MIN(StudentsTable[AverageScore]))*100</f>
        <v>70.695970695970686</v>
      </c>
    </row>
    <row r="263" spans="1:15" x14ac:dyDescent="0.3">
      <c r="A263" t="s">
        <v>17</v>
      </c>
      <c r="B263" t="s">
        <v>13</v>
      </c>
      <c r="C263" t="s">
        <v>14</v>
      </c>
      <c r="D263" t="s">
        <v>11</v>
      </c>
      <c r="E263" t="s">
        <v>15</v>
      </c>
      <c r="F263">
        <v>79</v>
      </c>
      <c r="G263">
        <v>79</v>
      </c>
      <c r="H263">
        <v>78</v>
      </c>
      <c r="I263">
        <f>StudentsTable[[#This Row],[math score]]+StudentsTable[[#This Row],[reading score]]+StudentsTable[[#This Row],[writing score]]</f>
        <v>236</v>
      </c>
      <c r="J263">
        <f>StudentsTable[[#This Row],[TotalScore]]/3</f>
        <v>78.666666666666671</v>
      </c>
      <c r="K263" t="str" cm="1">
        <f t="array" ref="K263">_xlfn.IFS(StudentsTable[[#This Row],[AverageScore]]&gt;=90,"A",StudentsTable[[#This Row],[AverageScore]]&gt;=80,"B",StudentsTable[[#This Row],[AverageScore]]&gt;=70,"C",StudentsTable[[#This Row],[AverageScore]]&gt;=60,"D",TRUE,"F")</f>
        <v>C</v>
      </c>
      <c r="L263" t="str">
        <f>IF(StudentsTable[[#This Row],[AverageScore]]&gt;=60,"Pass","Fail")</f>
        <v>Pass</v>
      </c>
      <c r="M263" t="str" cm="1">
        <f t="array" ref="M263">_xlfn.IFS(StudentsTable[[#This Row],[AverageScore]]&gt;=85,"Advanced",StudentsTable[[#This Row],[AverageScore]]&gt;=70,"Intermediate",StudentsTable[[#This Row],[AverageScore]]&gt;=60,"Basic",TRUE,"Needs Help")</f>
        <v>Intermediate</v>
      </c>
      <c r="N263">
        <f>RANK(StudentsTable[[#This Row],[AverageScore]],StudentsTable[AverageScore])</f>
        <v>222</v>
      </c>
      <c r="O263">
        <f>(StudentsTable[[#This Row],[AverageScore]]-MIN(StudentsTable[AverageScore]))/(MAX(StudentsTable[AverageScore])-MIN(StudentsTable[AverageScore]))*100</f>
        <v>76.556776556776569</v>
      </c>
    </row>
    <row r="264" spans="1:15" x14ac:dyDescent="0.3">
      <c r="A264" t="s">
        <v>8</v>
      </c>
      <c r="B264" t="s">
        <v>13</v>
      </c>
      <c r="C264" t="s">
        <v>23</v>
      </c>
      <c r="D264" t="s">
        <v>20</v>
      </c>
      <c r="E264" t="s">
        <v>12</v>
      </c>
      <c r="F264">
        <v>44</v>
      </c>
      <c r="G264">
        <v>50</v>
      </c>
      <c r="H264">
        <v>51</v>
      </c>
      <c r="I264">
        <f>StudentsTable[[#This Row],[math score]]+StudentsTable[[#This Row],[reading score]]+StudentsTable[[#This Row],[writing score]]</f>
        <v>145</v>
      </c>
      <c r="J264">
        <f>StudentsTable[[#This Row],[TotalScore]]/3</f>
        <v>48.333333333333336</v>
      </c>
      <c r="K264" t="str" cm="1">
        <f t="array" ref="K264">_xlfn.IFS(StudentsTable[[#This Row],[AverageScore]]&gt;=90,"A",StudentsTable[[#This Row],[AverageScore]]&gt;=80,"B",StudentsTable[[#This Row],[AverageScore]]&gt;=70,"C",StudentsTable[[#This Row],[AverageScore]]&gt;=60,"D",TRUE,"F")</f>
        <v>F</v>
      </c>
      <c r="L264" t="str">
        <f>IF(StudentsTable[[#This Row],[AverageScore]]&gt;=60,"Pass","Fail")</f>
        <v>Fail</v>
      </c>
      <c r="M264" t="str" cm="1">
        <f t="array" ref="M264">_xlfn.IFS(StudentsTable[[#This Row],[AverageScore]]&gt;=85,"Advanced",StudentsTable[[#This Row],[AverageScore]]&gt;=70,"Intermediate",StudentsTable[[#This Row],[AverageScore]]&gt;=60,"Basic",TRUE,"Needs Help")</f>
        <v>Needs Help</v>
      </c>
      <c r="N264">
        <f>RANK(StudentsTable[[#This Row],[AverageScore]],StudentsTable[AverageScore])</f>
        <v>915</v>
      </c>
      <c r="O264">
        <f>(StudentsTable[[#This Row],[AverageScore]]-MIN(StudentsTable[AverageScore]))/(MAX(StudentsTable[AverageScore])-MIN(StudentsTable[AverageScore]))*100</f>
        <v>43.223443223443226</v>
      </c>
    </row>
    <row r="265" spans="1:15" x14ac:dyDescent="0.3">
      <c r="A265" t="s">
        <v>8</v>
      </c>
      <c r="B265" t="s">
        <v>24</v>
      </c>
      <c r="C265" t="s">
        <v>22</v>
      </c>
      <c r="D265" t="s">
        <v>11</v>
      </c>
      <c r="E265" t="s">
        <v>12</v>
      </c>
      <c r="F265">
        <v>99</v>
      </c>
      <c r="G265">
        <v>93</v>
      </c>
      <c r="H265">
        <v>90</v>
      </c>
      <c r="I265">
        <f>StudentsTable[[#This Row],[math score]]+StudentsTable[[#This Row],[reading score]]+StudentsTable[[#This Row],[writing score]]</f>
        <v>282</v>
      </c>
      <c r="J265">
        <f>StudentsTable[[#This Row],[TotalScore]]/3</f>
        <v>94</v>
      </c>
      <c r="K265" t="str" cm="1">
        <f t="array" ref="K265">_xlfn.IFS(StudentsTable[[#This Row],[AverageScore]]&gt;=90,"A",StudentsTable[[#This Row],[AverageScore]]&gt;=80,"B",StudentsTable[[#This Row],[AverageScore]]&gt;=70,"C",StudentsTable[[#This Row],[AverageScore]]&gt;=60,"D",TRUE,"F")</f>
        <v>A</v>
      </c>
      <c r="L265" t="str">
        <f>IF(StudentsTable[[#This Row],[AverageScore]]&gt;=60,"Pass","Fail")</f>
        <v>Pass</v>
      </c>
      <c r="M265" t="str" cm="1">
        <f t="array" ref="M265">_xlfn.IFS(StudentsTable[[#This Row],[AverageScore]]&gt;=85,"Advanced",StudentsTable[[#This Row],[AverageScore]]&gt;=70,"Intermediate",StudentsTable[[#This Row],[AverageScore]]&gt;=60,"Basic",TRUE,"Needs Help")</f>
        <v>Advanced</v>
      </c>
      <c r="N265">
        <f>RANK(StudentsTable[[#This Row],[AverageScore]],StudentsTable[AverageScore])</f>
        <v>23</v>
      </c>
      <c r="O265">
        <f>(StudentsTable[[#This Row],[AverageScore]]-MIN(StudentsTable[AverageScore]))/(MAX(StudentsTable[AverageScore])-MIN(StudentsTable[AverageScore]))*100</f>
        <v>93.406593406593402</v>
      </c>
    </row>
    <row r="266" spans="1:15" x14ac:dyDescent="0.3">
      <c r="A266" t="s">
        <v>17</v>
      </c>
      <c r="B266" t="s">
        <v>21</v>
      </c>
      <c r="C266" t="s">
        <v>22</v>
      </c>
      <c r="D266" t="s">
        <v>11</v>
      </c>
      <c r="E266" t="s">
        <v>12</v>
      </c>
      <c r="F266">
        <v>76</v>
      </c>
      <c r="G266">
        <v>73</v>
      </c>
      <c r="H266">
        <v>68</v>
      </c>
      <c r="I266">
        <f>StudentsTable[[#This Row],[math score]]+StudentsTable[[#This Row],[reading score]]+StudentsTable[[#This Row],[writing score]]</f>
        <v>217</v>
      </c>
      <c r="J266">
        <f>StudentsTable[[#This Row],[TotalScore]]/3</f>
        <v>72.333333333333329</v>
      </c>
      <c r="K266" t="str" cm="1">
        <f t="array" ref="K266">_xlfn.IFS(StudentsTable[[#This Row],[AverageScore]]&gt;=90,"A",StudentsTable[[#This Row],[AverageScore]]&gt;=80,"B",StudentsTable[[#This Row],[AverageScore]]&gt;=70,"C",StudentsTable[[#This Row],[AverageScore]]&gt;=60,"D",TRUE,"F")</f>
        <v>C</v>
      </c>
      <c r="L266" t="str">
        <f>IF(StudentsTable[[#This Row],[AverageScore]]&gt;=60,"Pass","Fail")</f>
        <v>Pass</v>
      </c>
      <c r="M266" t="str" cm="1">
        <f t="array" ref="M266">_xlfn.IFS(StudentsTable[[#This Row],[AverageScore]]&gt;=85,"Advanced",StudentsTable[[#This Row],[AverageScore]]&gt;=70,"Intermediate",StudentsTable[[#This Row],[AverageScore]]&gt;=60,"Basic",TRUE,"Needs Help")</f>
        <v>Intermediate</v>
      </c>
      <c r="N266">
        <f>RANK(StudentsTable[[#This Row],[AverageScore]],StudentsTable[AverageScore])</f>
        <v>389</v>
      </c>
      <c r="O266">
        <f>(StudentsTable[[#This Row],[AverageScore]]-MIN(StudentsTable[AverageScore]))/(MAX(StudentsTable[AverageScore])-MIN(StudentsTable[AverageScore]))*100</f>
        <v>69.597069597069591</v>
      </c>
    </row>
    <row r="267" spans="1:15" x14ac:dyDescent="0.3">
      <c r="A267" t="s">
        <v>17</v>
      </c>
      <c r="B267" t="s">
        <v>21</v>
      </c>
      <c r="C267" t="s">
        <v>23</v>
      </c>
      <c r="D267" t="s">
        <v>20</v>
      </c>
      <c r="E267" t="s">
        <v>12</v>
      </c>
      <c r="F267">
        <v>59</v>
      </c>
      <c r="G267">
        <v>42</v>
      </c>
      <c r="H267">
        <v>41</v>
      </c>
      <c r="I267">
        <f>StudentsTable[[#This Row],[math score]]+StudentsTable[[#This Row],[reading score]]+StudentsTable[[#This Row],[writing score]]</f>
        <v>142</v>
      </c>
      <c r="J267">
        <f>StudentsTable[[#This Row],[TotalScore]]/3</f>
        <v>47.333333333333336</v>
      </c>
      <c r="K267" t="str" cm="1">
        <f t="array" ref="K267">_xlfn.IFS(StudentsTable[[#This Row],[AverageScore]]&gt;=90,"A",StudentsTable[[#This Row],[AverageScore]]&gt;=80,"B",StudentsTable[[#This Row],[AverageScore]]&gt;=70,"C",StudentsTable[[#This Row],[AverageScore]]&gt;=60,"D",TRUE,"F")</f>
        <v>F</v>
      </c>
      <c r="L267" t="str">
        <f>IF(StudentsTable[[#This Row],[AverageScore]]&gt;=60,"Pass","Fail")</f>
        <v>Fail</v>
      </c>
      <c r="M267" t="str" cm="1">
        <f t="array" ref="M267">_xlfn.IFS(StudentsTable[[#This Row],[AverageScore]]&gt;=85,"Advanced",StudentsTable[[#This Row],[AverageScore]]&gt;=70,"Intermediate",StudentsTable[[#This Row],[AverageScore]]&gt;=60,"Basic",TRUE,"Needs Help")</f>
        <v>Needs Help</v>
      </c>
      <c r="N267">
        <f>RANK(StudentsTable[[#This Row],[AverageScore]],StudentsTable[AverageScore])</f>
        <v>927</v>
      </c>
      <c r="O267">
        <f>(StudentsTable[[#This Row],[AverageScore]]-MIN(StudentsTable[AverageScore]))/(MAX(StudentsTable[AverageScore])-MIN(StudentsTable[AverageScore]))*100</f>
        <v>42.124542124542124</v>
      </c>
    </row>
    <row r="268" spans="1:15" x14ac:dyDescent="0.3">
      <c r="A268" t="s">
        <v>8</v>
      </c>
      <c r="B268" t="s">
        <v>13</v>
      </c>
      <c r="C268" t="s">
        <v>10</v>
      </c>
      <c r="D268" t="s">
        <v>11</v>
      </c>
      <c r="E268" t="s">
        <v>12</v>
      </c>
      <c r="F268">
        <v>63</v>
      </c>
      <c r="G268">
        <v>75</v>
      </c>
      <c r="H268">
        <v>81</v>
      </c>
      <c r="I268">
        <f>StudentsTable[[#This Row],[math score]]+StudentsTable[[#This Row],[reading score]]+StudentsTable[[#This Row],[writing score]]</f>
        <v>219</v>
      </c>
      <c r="J268">
        <f>StudentsTable[[#This Row],[TotalScore]]/3</f>
        <v>73</v>
      </c>
      <c r="K268" t="str" cm="1">
        <f t="array" ref="K268">_xlfn.IFS(StudentsTable[[#This Row],[AverageScore]]&gt;=90,"A",StudentsTable[[#This Row],[AverageScore]]&gt;=80,"B",StudentsTable[[#This Row],[AverageScore]]&gt;=70,"C",StudentsTable[[#This Row],[AverageScore]]&gt;=60,"D",TRUE,"F")</f>
        <v>C</v>
      </c>
      <c r="L268" t="str">
        <f>IF(StudentsTable[[#This Row],[AverageScore]]&gt;=60,"Pass","Fail")</f>
        <v>Pass</v>
      </c>
      <c r="M268" t="str" cm="1">
        <f t="array" ref="M268">_xlfn.IFS(StudentsTable[[#This Row],[AverageScore]]&gt;=85,"Advanced",StudentsTable[[#This Row],[AverageScore]]&gt;=70,"Intermediate",StudentsTable[[#This Row],[AverageScore]]&gt;=60,"Basic",TRUE,"Needs Help")</f>
        <v>Intermediate</v>
      </c>
      <c r="N268">
        <f>RANK(StudentsTable[[#This Row],[AverageScore]],StudentsTable[AverageScore])</f>
        <v>367</v>
      </c>
      <c r="O268">
        <f>(StudentsTable[[#This Row],[AverageScore]]-MIN(StudentsTable[AverageScore]))/(MAX(StudentsTable[AverageScore])-MIN(StudentsTable[AverageScore]))*100</f>
        <v>70.329670329670336</v>
      </c>
    </row>
    <row r="269" spans="1:15" x14ac:dyDescent="0.3">
      <c r="A269" t="s">
        <v>8</v>
      </c>
      <c r="B269" t="s">
        <v>21</v>
      </c>
      <c r="C269" t="s">
        <v>22</v>
      </c>
      <c r="D269" t="s">
        <v>11</v>
      </c>
      <c r="E269" t="s">
        <v>12</v>
      </c>
      <c r="F269">
        <v>69</v>
      </c>
      <c r="G269">
        <v>72</v>
      </c>
      <c r="H269">
        <v>77</v>
      </c>
      <c r="I269">
        <f>StudentsTable[[#This Row],[math score]]+StudentsTable[[#This Row],[reading score]]+StudentsTable[[#This Row],[writing score]]</f>
        <v>218</v>
      </c>
      <c r="J269">
        <f>StudentsTable[[#This Row],[TotalScore]]/3</f>
        <v>72.666666666666671</v>
      </c>
      <c r="K269" t="str" cm="1">
        <f t="array" ref="K269">_xlfn.IFS(StudentsTable[[#This Row],[AverageScore]]&gt;=90,"A",StudentsTable[[#This Row],[AverageScore]]&gt;=80,"B",StudentsTable[[#This Row],[AverageScore]]&gt;=70,"C",StudentsTable[[#This Row],[AverageScore]]&gt;=60,"D",TRUE,"F")</f>
        <v>C</v>
      </c>
      <c r="L269" t="str">
        <f>IF(StudentsTable[[#This Row],[AverageScore]]&gt;=60,"Pass","Fail")</f>
        <v>Pass</v>
      </c>
      <c r="M269" t="str" cm="1">
        <f t="array" ref="M269">_xlfn.IFS(StudentsTable[[#This Row],[AverageScore]]&gt;=85,"Advanced",StudentsTable[[#This Row],[AverageScore]]&gt;=70,"Intermediate",StudentsTable[[#This Row],[AverageScore]]&gt;=60,"Basic",TRUE,"Needs Help")</f>
        <v>Intermediate</v>
      </c>
      <c r="N269">
        <f>RANK(StudentsTable[[#This Row],[AverageScore]],StudentsTable[AverageScore])</f>
        <v>379</v>
      </c>
      <c r="O269">
        <f>(StudentsTable[[#This Row],[AverageScore]]-MIN(StudentsTable[AverageScore]))/(MAX(StudentsTable[AverageScore])-MIN(StudentsTable[AverageScore]))*100</f>
        <v>69.963369963369971</v>
      </c>
    </row>
    <row r="270" spans="1:15" x14ac:dyDescent="0.3">
      <c r="A270" t="s">
        <v>8</v>
      </c>
      <c r="B270" t="s">
        <v>21</v>
      </c>
      <c r="C270" t="s">
        <v>19</v>
      </c>
      <c r="D270" t="s">
        <v>11</v>
      </c>
      <c r="E270" t="s">
        <v>15</v>
      </c>
      <c r="F270">
        <v>88</v>
      </c>
      <c r="G270">
        <v>92</v>
      </c>
      <c r="H270">
        <v>95</v>
      </c>
      <c r="I270">
        <f>StudentsTable[[#This Row],[math score]]+StudentsTable[[#This Row],[reading score]]+StudentsTable[[#This Row],[writing score]]</f>
        <v>275</v>
      </c>
      <c r="J270">
        <f>StudentsTable[[#This Row],[TotalScore]]/3</f>
        <v>91.666666666666671</v>
      </c>
      <c r="K270" t="str" cm="1">
        <f t="array" ref="K270">_xlfn.IFS(StudentsTable[[#This Row],[AverageScore]]&gt;=90,"A",StudentsTable[[#This Row],[AverageScore]]&gt;=80,"B",StudentsTable[[#This Row],[AverageScore]]&gt;=70,"C",StudentsTable[[#This Row],[AverageScore]]&gt;=60,"D",TRUE,"F")</f>
        <v>A</v>
      </c>
      <c r="L270" t="str">
        <f>IF(StudentsTable[[#This Row],[AverageScore]]&gt;=60,"Pass","Fail")</f>
        <v>Pass</v>
      </c>
      <c r="M270" t="str" cm="1">
        <f t="array" ref="M270">_xlfn.IFS(StudentsTable[[#This Row],[AverageScore]]&gt;=85,"Advanced",StudentsTable[[#This Row],[AverageScore]]&gt;=70,"Intermediate",StudentsTable[[#This Row],[AverageScore]]&gt;=60,"Basic",TRUE,"Needs Help")</f>
        <v>Advanced</v>
      </c>
      <c r="N270">
        <f>RANK(StudentsTable[[#This Row],[AverageScore]],StudentsTable[AverageScore])</f>
        <v>37</v>
      </c>
      <c r="O270">
        <f>(StudentsTable[[#This Row],[AverageScore]]-MIN(StudentsTable[AverageScore]))/(MAX(StudentsTable[AverageScore])-MIN(StudentsTable[AverageScore]))*100</f>
        <v>90.842490842490847</v>
      </c>
    </row>
    <row r="271" spans="1:15" x14ac:dyDescent="0.3">
      <c r="A271" t="s">
        <v>8</v>
      </c>
      <c r="B271" t="s">
        <v>24</v>
      </c>
      <c r="C271" t="s">
        <v>14</v>
      </c>
      <c r="D271" t="s">
        <v>20</v>
      </c>
      <c r="E271" t="s">
        <v>12</v>
      </c>
      <c r="F271">
        <v>71</v>
      </c>
      <c r="G271">
        <v>76</v>
      </c>
      <c r="H271">
        <v>70</v>
      </c>
      <c r="I271">
        <f>StudentsTable[[#This Row],[math score]]+StudentsTable[[#This Row],[reading score]]+StudentsTable[[#This Row],[writing score]]</f>
        <v>217</v>
      </c>
      <c r="J271">
        <f>StudentsTable[[#This Row],[TotalScore]]/3</f>
        <v>72.333333333333329</v>
      </c>
      <c r="K271" t="str" cm="1">
        <f t="array" ref="K271">_xlfn.IFS(StudentsTable[[#This Row],[AverageScore]]&gt;=90,"A",StudentsTable[[#This Row],[AverageScore]]&gt;=80,"B",StudentsTable[[#This Row],[AverageScore]]&gt;=70,"C",StudentsTable[[#This Row],[AverageScore]]&gt;=60,"D",TRUE,"F")</f>
        <v>C</v>
      </c>
      <c r="L271" t="str">
        <f>IF(StudentsTable[[#This Row],[AverageScore]]&gt;=60,"Pass","Fail")</f>
        <v>Pass</v>
      </c>
      <c r="M271" t="str" cm="1">
        <f t="array" ref="M271">_xlfn.IFS(StudentsTable[[#This Row],[AverageScore]]&gt;=85,"Advanced",StudentsTable[[#This Row],[AverageScore]]&gt;=70,"Intermediate",StudentsTable[[#This Row],[AverageScore]]&gt;=60,"Basic",TRUE,"Needs Help")</f>
        <v>Intermediate</v>
      </c>
      <c r="N271">
        <f>RANK(StudentsTable[[#This Row],[AverageScore]],StudentsTable[AverageScore])</f>
        <v>389</v>
      </c>
      <c r="O271">
        <f>(StudentsTable[[#This Row],[AverageScore]]-MIN(StudentsTable[AverageScore]))/(MAX(StudentsTable[AverageScore])-MIN(StudentsTable[AverageScore]))*100</f>
        <v>69.597069597069591</v>
      </c>
    </row>
    <row r="272" spans="1:15" x14ac:dyDescent="0.3">
      <c r="A272" t="s">
        <v>17</v>
      </c>
      <c r="B272" t="s">
        <v>13</v>
      </c>
      <c r="C272" t="s">
        <v>10</v>
      </c>
      <c r="D272" t="s">
        <v>11</v>
      </c>
      <c r="E272" t="s">
        <v>12</v>
      </c>
      <c r="F272">
        <v>69</v>
      </c>
      <c r="G272">
        <v>63</v>
      </c>
      <c r="H272">
        <v>61</v>
      </c>
      <c r="I272">
        <f>StudentsTable[[#This Row],[math score]]+StudentsTable[[#This Row],[reading score]]+StudentsTable[[#This Row],[writing score]]</f>
        <v>193</v>
      </c>
      <c r="J272">
        <f>StudentsTable[[#This Row],[TotalScore]]/3</f>
        <v>64.333333333333329</v>
      </c>
      <c r="K272" t="str" cm="1">
        <f t="array" ref="K272">_xlfn.IFS(StudentsTable[[#This Row],[AverageScore]]&gt;=90,"A",StudentsTable[[#This Row],[AverageScore]]&gt;=80,"B",StudentsTable[[#This Row],[AverageScore]]&gt;=70,"C",StudentsTable[[#This Row],[AverageScore]]&gt;=60,"D",TRUE,"F")</f>
        <v>D</v>
      </c>
      <c r="L272" t="str">
        <f>IF(StudentsTable[[#This Row],[AverageScore]]&gt;=60,"Pass","Fail")</f>
        <v>Pass</v>
      </c>
      <c r="M272" t="str" cm="1">
        <f t="array" ref="M272">_xlfn.IFS(StudentsTable[[#This Row],[AverageScore]]&gt;=85,"Advanced",StudentsTable[[#This Row],[AverageScore]]&gt;=70,"Intermediate",StudentsTable[[#This Row],[AverageScore]]&gt;=60,"Basic",TRUE,"Needs Help")</f>
        <v>Basic</v>
      </c>
      <c r="N272">
        <f>RANK(StudentsTable[[#This Row],[AverageScore]],StudentsTable[AverageScore])</f>
        <v>613</v>
      </c>
      <c r="O272">
        <f>(StudentsTable[[#This Row],[AverageScore]]-MIN(StudentsTable[AverageScore]))/(MAX(StudentsTable[AverageScore])-MIN(StudentsTable[AverageScore]))*100</f>
        <v>60.805860805860803</v>
      </c>
    </row>
    <row r="273" spans="1:15" x14ac:dyDescent="0.3">
      <c r="A273" t="s">
        <v>17</v>
      </c>
      <c r="B273" t="s">
        <v>13</v>
      </c>
      <c r="C273" t="s">
        <v>14</v>
      </c>
      <c r="D273" t="s">
        <v>11</v>
      </c>
      <c r="E273" t="s">
        <v>12</v>
      </c>
      <c r="F273">
        <v>58</v>
      </c>
      <c r="G273">
        <v>49</v>
      </c>
      <c r="H273">
        <v>42</v>
      </c>
      <c r="I273">
        <f>StudentsTable[[#This Row],[math score]]+StudentsTable[[#This Row],[reading score]]+StudentsTable[[#This Row],[writing score]]</f>
        <v>149</v>
      </c>
      <c r="J273">
        <f>StudentsTable[[#This Row],[TotalScore]]/3</f>
        <v>49.666666666666664</v>
      </c>
      <c r="K273" t="str" cm="1">
        <f t="array" ref="K273">_xlfn.IFS(StudentsTable[[#This Row],[AverageScore]]&gt;=90,"A",StudentsTable[[#This Row],[AverageScore]]&gt;=80,"B",StudentsTable[[#This Row],[AverageScore]]&gt;=70,"C",StudentsTable[[#This Row],[AverageScore]]&gt;=60,"D",TRUE,"F")</f>
        <v>F</v>
      </c>
      <c r="L273" t="str">
        <f>IF(StudentsTable[[#This Row],[AverageScore]]&gt;=60,"Pass","Fail")</f>
        <v>Fail</v>
      </c>
      <c r="M273" t="str" cm="1">
        <f t="array" ref="M273">_xlfn.IFS(StudentsTable[[#This Row],[AverageScore]]&gt;=85,"Advanced",StudentsTable[[#This Row],[AverageScore]]&gt;=70,"Intermediate",StudentsTable[[#This Row],[AverageScore]]&gt;=60,"Basic",TRUE,"Needs Help")</f>
        <v>Needs Help</v>
      </c>
      <c r="N273">
        <f>RANK(StudentsTable[[#This Row],[AverageScore]],StudentsTable[AverageScore])</f>
        <v>898</v>
      </c>
      <c r="O273">
        <f>(StudentsTable[[#This Row],[AverageScore]]-MIN(StudentsTable[AverageScore]))/(MAX(StudentsTable[AverageScore])-MIN(StudentsTable[AverageScore]))*100</f>
        <v>44.688644688644686</v>
      </c>
    </row>
    <row r="274" spans="1:15" x14ac:dyDescent="0.3">
      <c r="A274" t="s">
        <v>8</v>
      </c>
      <c r="B274" t="s">
        <v>21</v>
      </c>
      <c r="C274" t="s">
        <v>19</v>
      </c>
      <c r="D274" t="s">
        <v>20</v>
      </c>
      <c r="E274" t="s">
        <v>12</v>
      </c>
      <c r="F274">
        <v>47</v>
      </c>
      <c r="G274">
        <v>53</v>
      </c>
      <c r="H274">
        <v>58</v>
      </c>
      <c r="I274">
        <f>StudentsTable[[#This Row],[math score]]+StudentsTable[[#This Row],[reading score]]+StudentsTable[[#This Row],[writing score]]</f>
        <v>158</v>
      </c>
      <c r="J274">
        <f>StudentsTable[[#This Row],[TotalScore]]/3</f>
        <v>52.666666666666664</v>
      </c>
      <c r="K274" t="str" cm="1">
        <f t="array" ref="K274">_xlfn.IFS(StudentsTable[[#This Row],[AverageScore]]&gt;=90,"A",StudentsTable[[#This Row],[AverageScore]]&gt;=80,"B",StudentsTable[[#This Row],[AverageScore]]&gt;=70,"C",StudentsTable[[#This Row],[AverageScore]]&gt;=60,"D",TRUE,"F")</f>
        <v>F</v>
      </c>
      <c r="L274" t="str">
        <f>IF(StudentsTable[[#This Row],[AverageScore]]&gt;=60,"Pass","Fail")</f>
        <v>Fail</v>
      </c>
      <c r="M274" t="str" cm="1">
        <f t="array" ref="M274">_xlfn.IFS(StudentsTable[[#This Row],[AverageScore]]&gt;=85,"Advanced",StudentsTable[[#This Row],[AverageScore]]&gt;=70,"Intermediate",StudentsTable[[#This Row],[AverageScore]]&gt;=60,"Basic",TRUE,"Needs Help")</f>
        <v>Needs Help</v>
      </c>
      <c r="N274">
        <f>RANK(StudentsTable[[#This Row],[AverageScore]],StudentsTable[AverageScore])</f>
        <v>843</v>
      </c>
      <c r="O274">
        <f>(StudentsTable[[#This Row],[AverageScore]]-MIN(StudentsTable[AverageScore]))/(MAX(StudentsTable[AverageScore])-MIN(StudentsTable[AverageScore]))*100</f>
        <v>47.985347985347978</v>
      </c>
    </row>
    <row r="275" spans="1:15" x14ac:dyDescent="0.3">
      <c r="A275" t="s">
        <v>8</v>
      </c>
      <c r="B275" t="s">
        <v>21</v>
      </c>
      <c r="C275" t="s">
        <v>14</v>
      </c>
      <c r="D275" t="s">
        <v>11</v>
      </c>
      <c r="E275" t="s">
        <v>12</v>
      </c>
      <c r="F275">
        <v>65</v>
      </c>
      <c r="G275">
        <v>70</v>
      </c>
      <c r="H275">
        <v>71</v>
      </c>
      <c r="I275">
        <f>StudentsTable[[#This Row],[math score]]+StudentsTable[[#This Row],[reading score]]+StudentsTable[[#This Row],[writing score]]</f>
        <v>206</v>
      </c>
      <c r="J275">
        <f>StudentsTable[[#This Row],[TotalScore]]/3</f>
        <v>68.666666666666671</v>
      </c>
      <c r="K275" t="str" cm="1">
        <f t="array" ref="K275">_xlfn.IFS(StudentsTable[[#This Row],[AverageScore]]&gt;=90,"A",StudentsTable[[#This Row],[AverageScore]]&gt;=80,"B",StudentsTable[[#This Row],[AverageScore]]&gt;=70,"C",StudentsTable[[#This Row],[AverageScore]]&gt;=60,"D",TRUE,"F")</f>
        <v>D</v>
      </c>
      <c r="L275" t="str">
        <f>IF(StudentsTable[[#This Row],[AverageScore]]&gt;=60,"Pass","Fail")</f>
        <v>Pass</v>
      </c>
      <c r="M275" t="str" cm="1">
        <f t="array" ref="M275">_xlfn.IFS(StudentsTable[[#This Row],[AverageScore]]&gt;=85,"Advanced",StudentsTable[[#This Row],[AverageScore]]&gt;=70,"Intermediate",StudentsTable[[#This Row],[AverageScore]]&gt;=60,"Basic",TRUE,"Needs Help")</f>
        <v>Basic</v>
      </c>
      <c r="N275">
        <f>RANK(StudentsTable[[#This Row],[AverageScore]],StudentsTable[AverageScore])</f>
        <v>487</v>
      </c>
      <c r="O275">
        <f>(StudentsTable[[#This Row],[AverageScore]]-MIN(StudentsTable[AverageScore]))/(MAX(StudentsTable[AverageScore])-MIN(StudentsTable[AverageScore]))*100</f>
        <v>65.567765567765562</v>
      </c>
    </row>
    <row r="276" spans="1:15" x14ac:dyDescent="0.3">
      <c r="A276" t="s">
        <v>17</v>
      </c>
      <c r="B276" t="s">
        <v>9</v>
      </c>
      <c r="C276" t="s">
        <v>14</v>
      </c>
      <c r="D276" t="s">
        <v>11</v>
      </c>
      <c r="E276" t="s">
        <v>15</v>
      </c>
      <c r="F276">
        <v>88</v>
      </c>
      <c r="G276">
        <v>85</v>
      </c>
      <c r="H276">
        <v>76</v>
      </c>
      <c r="I276">
        <f>StudentsTable[[#This Row],[math score]]+StudentsTable[[#This Row],[reading score]]+StudentsTable[[#This Row],[writing score]]</f>
        <v>249</v>
      </c>
      <c r="J276">
        <f>StudentsTable[[#This Row],[TotalScore]]/3</f>
        <v>83</v>
      </c>
      <c r="K276" t="str" cm="1">
        <f t="array" ref="K276">_xlfn.IFS(StudentsTable[[#This Row],[AverageScore]]&gt;=90,"A",StudentsTable[[#This Row],[AverageScore]]&gt;=80,"B",StudentsTable[[#This Row],[AverageScore]]&gt;=70,"C",StudentsTable[[#This Row],[AverageScore]]&gt;=60,"D",TRUE,"F")</f>
        <v>B</v>
      </c>
      <c r="L276" t="str">
        <f>IF(StudentsTable[[#This Row],[AverageScore]]&gt;=60,"Pass","Fail")</f>
        <v>Pass</v>
      </c>
      <c r="M276" t="str" cm="1">
        <f t="array" ref="M276">_xlfn.IFS(StudentsTable[[#This Row],[AverageScore]]&gt;=85,"Advanced",StudentsTable[[#This Row],[AverageScore]]&gt;=70,"Intermediate",StudentsTable[[#This Row],[AverageScore]]&gt;=60,"Basic",TRUE,"Needs Help")</f>
        <v>Intermediate</v>
      </c>
      <c r="N276">
        <f>RANK(StudentsTable[[#This Row],[AverageScore]],StudentsTable[AverageScore])</f>
        <v>140</v>
      </c>
      <c r="O276">
        <f>(StudentsTable[[#This Row],[AverageScore]]-MIN(StudentsTable[AverageScore]))/(MAX(StudentsTable[AverageScore])-MIN(StudentsTable[AverageScore]))*100</f>
        <v>81.318681318681314</v>
      </c>
    </row>
    <row r="277" spans="1:15" x14ac:dyDescent="0.3">
      <c r="A277" t="s">
        <v>17</v>
      </c>
      <c r="B277" t="s">
        <v>13</v>
      </c>
      <c r="C277" t="s">
        <v>10</v>
      </c>
      <c r="D277" t="s">
        <v>11</v>
      </c>
      <c r="E277" t="s">
        <v>12</v>
      </c>
      <c r="F277">
        <v>83</v>
      </c>
      <c r="G277">
        <v>78</v>
      </c>
      <c r="H277">
        <v>73</v>
      </c>
      <c r="I277">
        <f>StudentsTable[[#This Row],[math score]]+StudentsTable[[#This Row],[reading score]]+StudentsTable[[#This Row],[writing score]]</f>
        <v>234</v>
      </c>
      <c r="J277">
        <f>StudentsTable[[#This Row],[TotalScore]]/3</f>
        <v>78</v>
      </c>
      <c r="K277" t="str" cm="1">
        <f t="array" ref="K277">_xlfn.IFS(StudentsTable[[#This Row],[AverageScore]]&gt;=90,"A",StudentsTable[[#This Row],[AverageScore]]&gt;=80,"B",StudentsTable[[#This Row],[AverageScore]]&gt;=70,"C",StudentsTable[[#This Row],[AverageScore]]&gt;=60,"D",TRUE,"F")</f>
        <v>C</v>
      </c>
      <c r="L277" t="str">
        <f>IF(StudentsTable[[#This Row],[AverageScore]]&gt;=60,"Pass","Fail")</f>
        <v>Pass</v>
      </c>
      <c r="M277" t="str" cm="1">
        <f t="array" ref="M277">_xlfn.IFS(StudentsTable[[#This Row],[AverageScore]]&gt;=85,"Advanced",StudentsTable[[#This Row],[AverageScore]]&gt;=70,"Intermediate",StudentsTable[[#This Row],[AverageScore]]&gt;=60,"Basic",TRUE,"Needs Help")</f>
        <v>Intermediate</v>
      </c>
      <c r="N277">
        <f>RANK(StudentsTable[[#This Row],[AverageScore]],StudentsTable[AverageScore])</f>
        <v>240</v>
      </c>
      <c r="O277">
        <f>(StudentsTable[[#This Row],[AverageScore]]-MIN(StudentsTable[AverageScore]))/(MAX(StudentsTable[AverageScore])-MIN(StudentsTable[AverageScore]))*100</f>
        <v>75.824175824175825</v>
      </c>
    </row>
    <row r="278" spans="1:15" x14ac:dyDescent="0.3">
      <c r="A278" t="s">
        <v>8</v>
      </c>
      <c r="B278" t="s">
        <v>13</v>
      </c>
      <c r="C278" t="s">
        <v>23</v>
      </c>
      <c r="D278" t="s">
        <v>11</v>
      </c>
      <c r="E278" t="s">
        <v>15</v>
      </c>
      <c r="F278">
        <v>85</v>
      </c>
      <c r="G278">
        <v>92</v>
      </c>
      <c r="H278">
        <v>93</v>
      </c>
      <c r="I278">
        <f>StudentsTable[[#This Row],[math score]]+StudentsTable[[#This Row],[reading score]]+StudentsTable[[#This Row],[writing score]]</f>
        <v>270</v>
      </c>
      <c r="J278">
        <f>StudentsTable[[#This Row],[TotalScore]]/3</f>
        <v>90</v>
      </c>
      <c r="K278" t="str" cm="1">
        <f t="array" ref="K278">_xlfn.IFS(StudentsTable[[#This Row],[AverageScore]]&gt;=90,"A",StudentsTable[[#This Row],[AverageScore]]&gt;=80,"B",StudentsTable[[#This Row],[AverageScore]]&gt;=70,"C",StudentsTable[[#This Row],[AverageScore]]&gt;=60,"D",TRUE,"F")</f>
        <v>A</v>
      </c>
      <c r="L278" t="str">
        <f>IF(StudentsTable[[#This Row],[AverageScore]]&gt;=60,"Pass","Fail")</f>
        <v>Pass</v>
      </c>
      <c r="M278" t="str" cm="1">
        <f t="array" ref="M278">_xlfn.IFS(StudentsTable[[#This Row],[AverageScore]]&gt;=85,"Advanced",StudentsTable[[#This Row],[AverageScore]]&gt;=70,"Intermediate",StudentsTable[[#This Row],[AverageScore]]&gt;=60,"Basic",TRUE,"Needs Help")</f>
        <v>Advanced</v>
      </c>
      <c r="N278">
        <f>RANK(StudentsTable[[#This Row],[AverageScore]],StudentsTable[AverageScore])</f>
        <v>51</v>
      </c>
      <c r="O278">
        <f>(StudentsTable[[#This Row],[AverageScore]]-MIN(StudentsTable[AverageScore]))/(MAX(StudentsTable[AverageScore])-MIN(StudentsTable[AverageScore]))*100</f>
        <v>89.010989010989007</v>
      </c>
    </row>
    <row r="279" spans="1:15" x14ac:dyDescent="0.3">
      <c r="A279" t="s">
        <v>8</v>
      </c>
      <c r="B279" t="s">
        <v>24</v>
      </c>
      <c r="C279" t="s">
        <v>22</v>
      </c>
      <c r="D279" t="s">
        <v>11</v>
      </c>
      <c r="E279" t="s">
        <v>15</v>
      </c>
      <c r="F279">
        <v>59</v>
      </c>
      <c r="G279">
        <v>63</v>
      </c>
      <c r="H279">
        <v>75</v>
      </c>
      <c r="I279">
        <f>StudentsTable[[#This Row],[math score]]+StudentsTable[[#This Row],[reading score]]+StudentsTable[[#This Row],[writing score]]</f>
        <v>197</v>
      </c>
      <c r="J279">
        <f>StudentsTable[[#This Row],[TotalScore]]/3</f>
        <v>65.666666666666671</v>
      </c>
      <c r="K279" t="str" cm="1">
        <f t="array" ref="K279">_xlfn.IFS(StudentsTable[[#This Row],[AverageScore]]&gt;=90,"A",StudentsTable[[#This Row],[AverageScore]]&gt;=80,"B",StudentsTable[[#This Row],[AverageScore]]&gt;=70,"C",StudentsTable[[#This Row],[AverageScore]]&gt;=60,"D",TRUE,"F")</f>
        <v>D</v>
      </c>
      <c r="L279" t="str">
        <f>IF(StudentsTable[[#This Row],[AverageScore]]&gt;=60,"Pass","Fail")</f>
        <v>Pass</v>
      </c>
      <c r="M279" t="str" cm="1">
        <f t="array" ref="M279">_xlfn.IFS(StudentsTable[[#This Row],[AverageScore]]&gt;=85,"Advanced",StudentsTable[[#This Row],[AverageScore]]&gt;=70,"Intermediate",StudentsTable[[#This Row],[AverageScore]]&gt;=60,"Basic",TRUE,"Needs Help")</f>
        <v>Basic</v>
      </c>
      <c r="N279">
        <f>RANK(StudentsTable[[#This Row],[AverageScore]],StudentsTable[AverageScore])</f>
        <v>576</v>
      </c>
      <c r="O279">
        <f>(StudentsTable[[#This Row],[AverageScore]]-MIN(StudentsTable[AverageScore]))/(MAX(StudentsTable[AverageScore])-MIN(StudentsTable[AverageScore]))*100</f>
        <v>62.27106227106227</v>
      </c>
    </row>
    <row r="280" spans="1:15" x14ac:dyDescent="0.3">
      <c r="A280" t="s">
        <v>8</v>
      </c>
      <c r="B280" t="s">
        <v>13</v>
      </c>
      <c r="C280" t="s">
        <v>23</v>
      </c>
      <c r="D280" t="s">
        <v>20</v>
      </c>
      <c r="E280" t="s">
        <v>12</v>
      </c>
      <c r="F280">
        <v>65</v>
      </c>
      <c r="G280">
        <v>86</v>
      </c>
      <c r="H280">
        <v>80</v>
      </c>
      <c r="I280">
        <f>StudentsTable[[#This Row],[math score]]+StudentsTable[[#This Row],[reading score]]+StudentsTable[[#This Row],[writing score]]</f>
        <v>231</v>
      </c>
      <c r="J280">
        <f>StudentsTable[[#This Row],[TotalScore]]/3</f>
        <v>77</v>
      </c>
      <c r="K280" t="str" cm="1">
        <f t="array" ref="K280">_xlfn.IFS(StudentsTable[[#This Row],[AverageScore]]&gt;=90,"A",StudentsTable[[#This Row],[AverageScore]]&gt;=80,"B",StudentsTable[[#This Row],[AverageScore]]&gt;=70,"C",StudentsTable[[#This Row],[AverageScore]]&gt;=60,"D",TRUE,"F")</f>
        <v>C</v>
      </c>
      <c r="L280" t="str">
        <f>IF(StudentsTable[[#This Row],[AverageScore]]&gt;=60,"Pass","Fail")</f>
        <v>Pass</v>
      </c>
      <c r="M280" t="str" cm="1">
        <f t="array" ref="M280">_xlfn.IFS(StudentsTable[[#This Row],[AverageScore]]&gt;=85,"Advanced",StudentsTable[[#This Row],[AverageScore]]&gt;=70,"Intermediate",StudentsTable[[#This Row],[AverageScore]]&gt;=60,"Basic",TRUE,"Needs Help")</f>
        <v>Intermediate</v>
      </c>
      <c r="N280">
        <f>RANK(StudentsTable[[#This Row],[AverageScore]],StudentsTable[AverageScore])</f>
        <v>269</v>
      </c>
      <c r="O280">
        <f>(StudentsTable[[#This Row],[AverageScore]]-MIN(StudentsTable[AverageScore]))/(MAX(StudentsTable[AverageScore])-MIN(StudentsTable[AverageScore]))*100</f>
        <v>74.72527472527473</v>
      </c>
    </row>
    <row r="281" spans="1:15" x14ac:dyDescent="0.3">
      <c r="A281" t="s">
        <v>17</v>
      </c>
      <c r="B281" t="s">
        <v>9</v>
      </c>
      <c r="C281" t="s">
        <v>10</v>
      </c>
      <c r="D281" t="s">
        <v>20</v>
      </c>
      <c r="E281" t="s">
        <v>12</v>
      </c>
      <c r="F281">
        <v>73</v>
      </c>
      <c r="G281">
        <v>56</v>
      </c>
      <c r="H281">
        <v>57</v>
      </c>
      <c r="I281">
        <f>StudentsTable[[#This Row],[math score]]+StudentsTable[[#This Row],[reading score]]+StudentsTable[[#This Row],[writing score]]</f>
        <v>186</v>
      </c>
      <c r="J281">
        <f>StudentsTable[[#This Row],[TotalScore]]/3</f>
        <v>62</v>
      </c>
      <c r="K281" t="str" cm="1">
        <f t="array" ref="K281">_xlfn.IFS(StudentsTable[[#This Row],[AverageScore]]&gt;=90,"A",StudentsTable[[#This Row],[AverageScore]]&gt;=80,"B",StudentsTable[[#This Row],[AverageScore]]&gt;=70,"C",StudentsTable[[#This Row],[AverageScore]]&gt;=60,"D",TRUE,"F")</f>
        <v>D</v>
      </c>
      <c r="L281" t="str">
        <f>IF(StudentsTable[[#This Row],[AverageScore]]&gt;=60,"Pass","Fail")</f>
        <v>Pass</v>
      </c>
      <c r="M281" t="str" cm="1">
        <f t="array" ref="M281">_xlfn.IFS(StudentsTable[[#This Row],[AverageScore]]&gt;=85,"Advanced",StudentsTable[[#This Row],[AverageScore]]&gt;=70,"Intermediate",StudentsTable[[#This Row],[AverageScore]]&gt;=60,"Basic",TRUE,"Needs Help")</f>
        <v>Basic</v>
      </c>
      <c r="N281">
        <f>RANK(StudentsTable[[#This Row],[AverageScore]],StudentsTable[AverageScore])</f>
        <v>665</v>
      </c>
      <c r="O281">
        <f>(StudentsTable[[#This Row],[AverageScore]]-MIN(StudentsTable[AverageScore]))/(MAX(StudentsTable[AverageScore])-MIN(StudentsTable[AverageScore]))*100</f>
        <v>58.241758241758248</v>
      </c>
    </row>
    <row r="282" spans="1:15" x14ac:dyDescent="0.3">
      <c r="A282" t="s">
        <v>17</v>
      </c>
      <c r="B282" t="s">
        <v>21</v>
      </c>
      <c r="C282" t="s">
        <v>22</v>
      </c>
      <c r="D282" t="s">
        <v>11</v>
      </c>
      <c r="E282" t="s">
        <v>12</v>
      </c>
      <c r="F282">
        <v>53</v>
      </c>
      <c r="G282">
        <v>52</v>
      </c>
      <c r="H282">
        <v>42</v>
      </c>
      <c r="I282">
        <f>StudentsTable[[#This Row],[math score]]+StudentsTable[[#This Row],[reading score]]+StudentsTable[[#This Row],[writing score]]</f>
        <v>147</v>
      </c>
      <c r="J282">
        <f>StudentsTable[[#This Row],[TotalScore]]/3</f>
        <v>49</v>
      </c>
      <c r="K282" t="str" cm="1">
        <f t="array" ref="K282">_xlfn.IFS(StudentsTable[[#This Row],[AverageScore]]&gt;=90,"A",StudentsTable[[#This Row],[AverageScore]]&gt;=80,"B",StudentsTable[[#This Row],[AverageScore]]&gt;=70,"C",StudentsTable[[#This Row],[AverageScore]]&gt;=60,"D",TRUE,"F")</f>
        <v>F</v>
      </c>
      <c r="L282" t="str">
        <f>IF(StudentsTable[[#This Row],[AverageScore]]&gt;=60,"Pass","Fail")</f>
        <v>Fail</v>
      </c>
      <c r="M282" t="str" cm="1">
        <f t="array" ref="M282">_xlfn.IFS(StudentsTable[[#This Row],[AverageScore]]&gt;=85,"Advanced",StudentsTable[[#This Row],[AverageScore]]&gt;=70,"Intermediate",StudentsTable[[#This Row],[AverageScore]]&gt;=60,"Basic",TRUE,"Needs Help")</f>
        <v>Needs Help</v>
      </c>
      <c r="N282">
        <f>RANK(StudentsTable[[#This Row],[AverageScore]],StudentsTable[AverageScore])</f>
        <v>905</v>
      </c>
      <c r="O282">
        <f>(StudentsTable[[#This Row],[AverageScore]]-MIN(StudentsTable[AverageScore]))/(MAX(StudentsTable[AverageScore])-MIN(StudentsTable[AverageScore]))*100</f>
        <v>43.956043956043956</v>
      </c>
    </row>
    <row r="283" spans="1:15" x14ac:dyDescent="0.3">
      <c r="A283" t="s">
        <v>17</v>
      </c>
      <c r="B283" t="s">
        <v>21</v>
      </c>
      <c r="C283" t="s">
        <v>22</v>
      </c>
      <c r="D283" t="s">
        <v>11</v>
      </c>
      <c r="E283" t="s">
        <v>12</v>
      </c>
      <c r="F283">
        <v>45</v>
      </c>
      <c r="G283">
        <v>48</v>
      </c>
      <c r="H283">
        <v>46</v>
      </c>
      <c r="I283">
        <f>StudentsTable[[#This Row],[math score]]+StudentsTable[[#This Row],[reading score]]+StudentsTable[[#This Row],[writing score]]</f>
        <v>139</v>
      </c>
      <c r="J283">
        <f>StudentsTable[[#This Row],[TotalScore]]/3</f>
        <v>46.333333333333336</v>
      </c>
      <c r="K283" t="str" cm="1">
        <f t="array" ref="K283">_xlfn.IFS(StudentsTable[[#This Row],[AverageScore]]&gt;=90,"A",StudentsTable[[#This Row],[AverageScore]]&gt;=80,"B",StudentsTable[[#This Row],[AverageScore]]&gt;=70,"C",StudentsTable[[#This Row],[AverageScore]]&gt;=60,"D",TRUE,"F")</f>
        <v>F</v>
      </c>
      <c r="L283" t="str">
        <f>IF(StudentsTable[[#This Row],[AverageScore]]&gt;=60,"Pass","Fail")</f>
        <v>Fail</v>
      </c>
      <c r="M283" t="str" cm="1">
        <f t="array" ref="M283">_xlfn.IFS(StudentsTable[[#This Row],[AverageScore]]&gt;=85,"Advanced",StudentsTable[[#This Row],[AverageScore]]&gt;=70,"Intermediate",StudentsTable[[#This Row],[AverageScore]]&gt;=60,"Basic",TRUE,"Needs Help")</f>
        <v>Needs Help</v>
      </c>
      <c r="N283">
        <f>RANK(StudentsTable[[#This Row],[AverageScore]],StudentsTable[AverageScore])</f>
        <v>934</v>
      </c>
      <c r="O283">
        <f>(StudentsTable[[#This Row],[AverageScore]]-MIN(StudentsTable[AverageScore]))/(MAX(StudentsTable[AverageScore])-MIN(StudentsTable[AverageScore]))*100</f>
        <v>41.025641025641029</v>
      </c>
    </row>
    <row r="284" spans="1:15" x14ac:dyDescent="0.3">
      <c r="A284" t="s">
        <v>8</v>
      </c>
      <c r="B284" t="s">
        <v>21</v>
      </c>
      <c r="C284" t="s">
        <v>10</v>
      </c>
      <c r="D284" t="s">
        <v>20</v>
      </c>
      <c r="E284" t="s">
        <v>12</v>
      </c>
      <c r="F284">
        <v>73</v>
      </c>
      <c r="G284">
        <v>79</v>
      </c>
      <c r="H284">
        <v>84</v>
      </c>
      <c r="I284">
        <f>StudentsTable[[#This Row],[math score]]+StudentsTable[[#This Row],[reading score]]+StudentsTable[[#This Row],[writing score]]</f>
        <v>236</v>
      </c>
      <c r="J284">
        <f>StudentsTable[[#This Row],[TotalScore]]/3</f>
        <v>78.666666666666671</v>
      </c>
      <c r="K284" t="str" cm="1">
        <f t="array" ref="K284">_xlfn.IFS(StudentsTable[[#This Row],[AverageScore]]&gt;=90,"A",StudentsTable[[#This Row],[AverageScore]]&gt;=80,"B",StudentsTable[[#This Row],[AverageScore]]&gt;=70,"C",StudentsTable[[#This Row],[AverageScore]]&gt;=60,"D",TRUE,"F")</f>
        <v>C</v>
      </c>
      <c r="L284" t="str">
        <f>IF(StudentsTable[[#This Row],[AverageScore]]&gt;=60,"Pass","Fail")</f>
        <v>Pass</v>
      </c>
      <c r="M284" t="str" cm="1">
        <f t="array" ref="M284">_xlfn.IFS(StudentsTable[[#This Row],[AverageScore]]&gt;=85,"Advanced",StudentsTable[[#This Row],[AverageScore]]&gt;=70,"Intermediate",StudentsTable[[#This Row],[AverageScore]]&gt;=60,"Basic",TRUE,"Needs Help")</f>
        <v>Intermediate</v>
      </c>
      <c r="N284">
        <f>RANK(StudentsTable[[#This Row],[AverageScore]],StudentsTable[AverageScore])</f>
        <v>222</v>
      </c>
      <c r="O284">
        <f>(StudentsTable[[#This Row],[AverageScore]]-MIN(StudentsTable[AverageScore]))/(MAX(StudentsTable[AverageScore])-MIN(StudentsTable[AverageScore]))*100</f>
        <v>76.556776556776569</v>
      </c>
    </row>
    <row r="285" spans="1:15" x14ac:dyDescent="0.3">
      <c r="A285" t="s">
        <v>8</v>
      </c>
      <c r="B285" t="s">
        <v>21</v>
      </c>
      <c r="C285" t="s">
        <v>14</v>
      </c>
      <c r="D285" t="s">
        <v>20</v>
      </c>
      <c r="E285" t="s">
        <v>15</v>
      </c>
      <c r="F285">
        <v>70</v>
      </c>
      <c r="G285">
        <v>78</v>
      </c>
      <c r="H285">
        <v>78</v>
      </c>
      <c r="I285">
        <f>StudentsTable[[#This Row],[math score]]+StudentsTable[[#This Row],[reading score]]+StudentsTable[[#This Row],[writing score]]</f>
        <v>226</v>
      </c>
      <c r="J285">
        <f>StudentsTable[[#This Row],[TotalScore]]/3</f>
        <v>75.333333333333329</v>
      </c>
      <c r="K285" t="str" cm="1">
        <f t="array" ref="K285">_xlfn.IFS(StudentsTable[[#This Row],[AverageScore]]&gt;=90,"A",StudentsTable[[#This Row],[AverageScore]]&gt;=80,"B",StudentsTable[[#This Row],[AverageScore]]&gt;=70,"C",StudentsTable[[#This Row],[AverageScore]]&gt;=60,"D",TRUE,"F")</f>
        <v>C</v>
      </c>
      <c r="L285" t="str">
        <f>IF(StudentsTable[[#This Row],[AverageScore]]&gt;=60,"Pass","Fail")</f>
        <v>Pass</v>
      </c>
      <c r="M285" t="str" cm="1">
        <f t="array" ref="M285">_xlfn.IFS(StudentsTable[[#This Row],[AverageScore]]&gt;=85,"Advanced",StudentsTable[[#This Row],[AverageScore]]&gt;=70,"Intermediate",StudentsTable[[#This Row],[AverageScore]]&gt;=60,"Basic",TRUE,"Needs Help")</f>
        <v>Intermediate</v>
      </c>
      <c r="N285">
        <f>RANK(StudentsTable[[#This Row],[AverageScore]],StudentsTable[AverageScore])</f>
        <v>307</v>
      </c>
      <c r="O285">
        <f>(StudentsTable[[#This Row],[AverageScore]]-MIN(StudentsTable[AverageScore]))/(MAX(StudentsTable[AverageScore])-MIN(StudentsTable[AverageScore]))*100</f>
        <v>72.893772893772891</v>
      </c>
    </row>
    <row r="286" spans="1:15" x14ac:dyDescent="0.3">
      <c r="A286" t="s">
        <v>8</v>
      </c>
      <c r="B286" t="s">
        <v>9</v>
      </c>
      <c r="C286" t="s">
        <v>23</v>
      </c>
      <c r="D286" t="s">
        <v>11</v>
      </c>
      <c r="E286" t="s">
        <v>12</v>
      </c>
      <c r="F286">
        <v>37</v>
      </c>
      <c r="G286">
        <v>46</v>
      </c>
      <c r="H286">
        <v>46</v>
      </c>
      <c r="I286">
        <f>StudentsTable[[#This Row],[math score]]+StudentsTable[[#This Row],[reading score]]+StudentsTable[[#This Row],[writing score]]</f>
        <v>129</v>
      </c>
      <c r="J286">
        <f>StudentsTable[[#This Row],[TotalScore]]/3</f>
        <v>43</v>
      </c>
      <c r="K286" t="str" cm="1">
        <f t="array" ref="K286">_xlfn.IFS(StudentsTable[[#This Row],[AverageScore]]&gt;=90,"A",StudentsTable[[#This Row],[AverageScore]]&gt;=80,"B",StudentsTable[[#This Row],[AverageScore]]&gt;=70,"C",StudentsTable[[#This Row],[AverageScore]]&gt;=60,"D",TRUE,"F")</f>
        <v>F</v>
      </c>
      <c r="L286" t="str">
        <f>IF(StudentsTable[[#This Row],[AverageScore]]&gt;=60,"Pass","Fail")</f>
        <v>Fail</v>
      </c>
      <c r="M286" t="str" cm="1">
        <f t="array" ref="M286">_xlfn.IFS(StudentsTable[[#This Row],[AverageScore]]&gt;=85,"Advanced",StudentsTable[[#This Row],[AverageScore]]&gt;=70,"Intermediate",StudentsTable[[#This Row],[AverageScore]]&gt;=60,"Basic",TRUE,"Needs Help")</f>
        <v>Needs Help</v>
      </c>
      <c r="N286">
        <f>RANK(StudentsTable[[#This Row],[AverageScore]],StudentsTable[AverageScore])</f>
        <v>960</v>
      </c>
      <c r="O286">
        <f>(StudentsTable[[#This Row],[AverageScore]]-MIN(StudentsTable[AverageScore]))/(MAX(StudentsTable[AverageScore])-MIN(StudentsTable[AverageScore]))*100</f>
        <v>37.362637362637365</v>
      </c>
    </row>
    <row r="287" spans="1:15" x14ac:dyDescent="0.3">
      <c r="A287" t="s">
        <v>17</v>
      </c>
      <c r="B287" t="s">
        <v>9</v>
      </c>
      <c r="C287" t="s">
        <v>19</v>
      </c>
      <c r="D287" t="s">
        <v>11</v>
      </c>
      <c r="E287" t="s">
        <v>15</v>
      </c>
      <c r="F287">
        <v>81</v>
      </c>
      <c r="G287">
        <v>82</v>
      </c>
      <c r="H287">
        <v>82</v>
      </c>
      <c r="I287">
        <f>StudentsTable[[#This Row],[math score]]+StudentsTable[[#This Row],[reading score]]+StudentsTable[[#This Row],[writing score]]</f>
        <v>245</v>
      </c>
      <c r="J287">
        <f>StudentsTable[[#This Row],[TotalScore]]/3</f>
        <v>81.666666666666671</v>
      </c>
      <c r="K287" t="str" cm="1">
        <f t="array" ref="K287">_xlfn.IFS(StudentsTable[[#This Row],[AverageScore]]&gt;=90,"A",StudentsTable[[#This Row],[AverageScore]]&gt;=80,"B",StudentsTable[[#This Row],[AverageScore]]&gt;=70,"C",StudentsTable[[#This Row],[AverageScore]]&gt;=60,"D",TRUE,"F")</f>
        <v>B</v>
      </c>
      <c r="L287" t="str">
        <f>IF(StudentsTable[[#This Row],[AverageScore]]&gt;=60,"Pass","Fail")</f>
        <v>Pass</v>
      </c>
      <c r="M287" t="str" cm="1">
        <f t="array" ref="M287">_xlfn.IFS(StudentsTable[[#This Row],[AverageScore]]&gt;=85,"Advanced",StudentsTable[[#This Row],[AverageScore]]&gt;=70,"Intermediate",StudentsTable[[#This Row],[AverageScore]]&gt;=60,"Basic",TRUE,"Needs Help")</f>
        <v>Intermediate</v>
      </c>
      <c r="N287">
        <f>RANK(StudentsTable[[#This Row],[AverageScore]],StudentsTable[AverageScore])</f>
        <v>169</v>
      </c>
      <c r="O287">
        <f>(StudentsTable[[#This Row],[AverageScore]]-MIN(StudentsTable[AverageScore]))/(MAX(StudentsTable[AverageScore])-MIN(StudentsTable[AverageScore]))*100</f>
        <v>79.853479853479854</v>
      </c>
    </row>
    <row r="288" spans="1:15" x14ac:dyDescent="0.3">
      <c r="A288" t="s">
        <v>17</v>
      </c>
      <c r="B288" t="s">
        <v>24</v>
      </c>
      <c r="C288" t="s">
        <v>19</v>
      </c>
      <c r="D288" t="s">
        <v>11</v>
      </c>
      <c r="E288" t="s">
        <v>15</v>
      </c>
      <c r="F288">
        <v>97</v>
      </c>
      <c r="G288">
        <v>82</v>
      </c>
      <c r="H288">
        <v>88</v>
      </c>
      <c r="I288">
        <f>StudentsTable[[#This Row],[math score]]+StudentsTable[[#This Row],[reading score]]+StudentsTable[[#This Row],[writing score]]</f>
        <v>267</v>
      </c>
      <c r="J288">
        <f>StudentsTable[[#This Row],[TotalScore]]/3</f>
        <v>89</v>
      </c>
      <c r="K288" t="str" cm="1">
        <f t="array" ref="K288">_xlfn.IFS(StudentsTable[[#This Row],[AverageScore]]&gt;=90,"A",StudentsTable[[#This Row],[AverageScore]]&gt;=80,"B",StudentsTable[[#This Row],[AverageScore]]&gt;=70,"C",StudentsTable[[#This Row],[AverageScore]]&gt;=60,"D",TRUE,"F")</f>
        <v>B</v>
      </c>
      <c r="L288" t="str">
        <f>IF(StudentsTable[[#This Row],[AverageScore]]&gt;=60,"Pass","Fail")</f>
        <v>Pass</v>
      </c>
      <c r="M288" t="str" cm="1">
        <f t="array" ref="M288">_xlfn.IFS(StudentsTable[[#This Row],[AverageScore]]&gt;=85,"Advanced",StudentsTable[[#This Row],[AverageScore]]&gt;=70,"Intermediate",StudentsTable[[#This Row],[AverageScore]]&gt;=60,"Basic",TRUE,"Needs Help")</f>
        <v>Advanced</v>
      </c>
      <c r="N288">
        <f>RANK(StudentsTable[[#This Row],[AverageScore]],StudentsTable[AverageScore])</f>
        <v>59</v>
      </c>
      <c r="O288">
        <f>(StudentsTable[[#This Row],[AverageScore]]-MIN(StudentsTable[AverageScore]))/(MAX(StudentsTable[AverageScore])-MIN(StudentsTable[AverageScore]))*100</f>
        <v>87.912087912087912</v>
      </c>
    </row>
    <row r="289" spans="1:15" x14ac:dyDescent="0.3">
      <c r="A289" t="s">
        <v>8</v>
      </c>
      <c r="B289" t="s">
        <v>9</v>
      </c>
      <c r="C289" t="s">
        <v>23</v>
      </c>
      <c r="D289" t="s">
        <v>11</v>
      </c>
      <c r="E289" t="s">
        <v>12</v>
      </c>
      <c r="F289">
        <v>67</v>
      </c>
      <c r="G289">
        <v>89</v>
      </c>
      <c r="H289">
        <v>82</v>
      </c>
      <c r="I289">
        <f>StudentsTable[[#This Row],[math score]]+StudentsTable[[#This Row],[reading score]]+StudentsTable[[#This Row],[writing score]]</f>
        <v>238</v>
      </c>
      <c r="J289">
        <f>StudentsTable[[#This Row],[TotalScore]]/3</f>
        <v>79.333333333333329</v>
      </c>
      <c r="K289" t="str" cm="1">
        <f t="array" ref="K289">_xlfn.IFS(StudentsTable[[#This Row],[AverageScore]]&gt;=90,"A",StudentsTable[[#This Row],[AverageScore]]&gt;=80,"B",StudentsTable[[#This Row],[AverageScore]]&gt;=70,"C",StudentsTable[[#This Row],[AverageScore]]&gt;=60,"D",TRUE,"F")</f>
        <v>C</v>
      </c>
      <c r="L289" t="str">
        <f>IF(StudentsTable[[#This Row],[AverageScore]]&gt;=60,"Pass","Fail")</f>
        <v>Pass</v>
      </c>
      <c r="M289" t="str" cm="1">
        <f t="array" ref="M289">_xlfn.IFS(StudentsTable[[#This Row],[AverageScore]]&gt;=85,"Advanced",StudentsTable[[#This Row],[AverageScore]]&gt;=70,"Intermediate",StudentsTable[[#This Row],[AverageScore]]&gt;=60,"Basic",TRUE,"Needs Help")</f>
        <v>Intermediate</v>
      </c>
      <c r="N289">
        <f>RANK(StudentsTable[[#This Row],[AverageScore]],StudentsTable[AverageScore])</f>
        <v>207</v>
      </c>
      <c r="O289">
        <f>(StudentsTable[[#This Row],[AverageScore]]-MIN(StudentsTable[AverageScore]))/(MAX(StudentsTable[AverageScore])-MIN(StudentsTable[AverageScore]))*100</f>
        <v>77.289377289377285</v>
      </c>
    </row>
    <row r="290" spans="1:15" x14ac:dyDescent="0.3">
      <c r="A290" t="s">
        <v>17</v>
      </c>
      <c r="B290" t="s">
        <v>9</v>
      </c>
      <c r="C290" t="s">
        <v>10</v>
      </c>
      <c r="D290" t="s">
        <v>20</v>
      </c>
      <c r="E290" t="s">
        <v>12</v>
      </c>
      <c r="F290">
        <v>88</v>
      </c>
      <c r="G290">
        <v>75</v>
      </c>
      <c r="H290">
        <v>76</v>
      </c>
      <c r="I290">
        <f>StudentsTable[[#This Row],[math score]]+StudentsTable[[#This Row],[reading score]]+StudentsTable[[#This Row],[writing score]]</f>
        <v>239</v>
      </c>
      <c r="J290">
        <f>StudentsTable[[#This Row],[TotalScore]]/3</f>
        <v>79.666666666666671</v>
      </c>
      <c r="K290" t="str" cm="1">
        <f t="array" ref="K290">_xlfn.IFS(StudentsTable[[#This Row],[AverageScore]]&gt;=90,"A",StudentsTable[[#This Row],[AverageScore]]&gt;=80,"B",StudentsTable[[#This Row],[AverageScore]]&gt;=70,"C",StudentsTable[[#This Row],[AverageScore]]&gt;=60,"D",TRUE,"F")</f>
        <v>C</v>
      </c>
      <c r="L290" t="str">
        <f>IF(StudentsTable[[#This Row],[AverageScore]]&gt;=60,"Pass","Fail")</f>
        <v>Pass</v>
      </c>
      <c r="M290" t="str" cm="1">
        <f t="array" ref="M290">_xlfn.IFS(StudentsTable[[#This Row],[AverageScore]]&gt;=85,"Advanced",StudentsTable[[#This Row],[AverageScore]]&gt;=70,"Intermediate",StudentsTable[[#This Row],[AverageScore]]&gt;=60,"Basic",TRUE,"Needs Help")</f>
        <v>Intermediate</v>
      </c>
      <c r="N290">
        <f>RANK(StudentsTable[[#This Row],[AverageScore]],StudentsTable[AverageScore])</f>
        <v>199</v>
      </c>
      <c r="O290">
        <f>(StudentsTable[[#This Row],[AverageScore]]-MIN(StudentsTable[AverageScore]))/(MAX(StudentsTable[AverageScore])-MIN(StudentsTable[AverageScore]))*100</f>
        <v>77.655677655677664</v>
      </c>
    </row>
    <row r="291" spans="1:15" x14ac:dyDescent="0.3">
      <c r="A291" t="s">
        <v>17</v>
      </c>
      <c r="B291" t="s">
        <v>24</v>
      </c>
      <c r="C291" t="s">
        <v>23</v>
      </c>
      <c r="D291" t="s">
        <v>11</v>
      </c>
      <c r="E291" t="s">
        <v>15</v>
      </c>
      <c r="F291">
        <v>77</v>
      </c>
      <c r="G291">
        <v>76</v>
      </c>
      <c r="H291">
        <v>77</v>
      </c>
      <c r="I291">
        <f>StudentsTable[[#This Row],[math score]]+StudentsTable[[#This Row],[reading score]]+StudentsTable[[#This Row],[writing score]]</f>
        <v>230</v>
      </c>
      <c r="J291">
        <f>StudentsTable[[#This Row],[TotalScore]]/3</f>
        <v>76.666666666666671</v>
      </c>
      <c r="K291" t="str" cm="1">
        <f t="array" ref="K291">_xlfn.IFS(StudentsTable[[#This Row],[AverageScore]]&gt;=90,"A",StudentsTable[[#This Row],[AverageScore]]&gt;=80,"B",StudentsTable[[#This Row],[AverageScore]]&gt;=70,"C",StudentsTable[[#This Row],[AverageScore]]&gt;=60,"D",TRUE,"F")</f>
        <v>C</v>
      </c>
      <c r="L291" t="str">
        <f>IF(StudentsTable[[#This Row],[AverageScore]]&gt;=60,"Pass","Fail")</f>
        <v>Pass</v>
      </c>
      <c r="M291" t="str" cm="1">
        <f t="array" ref="M291">_xlfn.IFS(StudentsTable[[#This Row],[AverageScore]]&gt;=85,"Advanced",StudentsTable[[#This Row],[AverageScore]]&gt;=70,"Intermediate",StudentsTable[[#This Row],[AverageScore]]&gt;=60,"Basic",TRUE,"Needs Help")</f>
        <v>Intermediate</v>
      </c>
      <c r="N291">
        <f>RANK(StudentsTable[[#This Row],[AverageScore]],StudentsTable[AverageScore])</f>
        <v>277</v>
      </c>
      <c r="O291">
        <f>(StudentsTable[[#This Row],[AverageScore]]-MIN(StudentsTable[AverageScore]))/(MAX(StudentsTable[AverageScore])-MIN(StudentsTable[AverageScore]))*100</f>
        <v>74.358974358974365</v>
      </c>
    </row>
    <row r="292" spans="1:15" x14ac:dyDescent="0.3">
      <c r="A292" t="s">
        <v>17</v>
      </c>
      <c r="B292" t="s">
        <v>13</v>
      </c>
      <c r="C292" t="s">
        <v>19</v>
      </c>
      <c r="D292" t="s">
        <v>11</v>
      </c>
      <c r="E292" t="s">
        <v>12</v>
      </c>
      <c r="F292">
        <v>76</v>
      </c>
      <c r="G292">
        <v>70</v>
      </c>
      <c r="H292">
        <v>68</v>
      </c>
      <c r="I292">
        <f>StudentsTable[[#This Row],[math score]]+StudentsTable[[#This Row],[reading score]]+StudentsTable[[#This Row],[writing score]]</f>
        <v>214</v>
      </c>
      <c r="J292">
        <f>StudentsTable[[#This Row],[TotalScore]]/3</f>
        <v>71.333333333333329</v>
      </c>
      <c r="K292" t="str" cm="1">
        <f t="array" ref="K292">_xlfn.IFS(StudentsTable[[#This Row],[AverageScore]]&gt;=90,"A",StudentsTable[[#This Row],[AverageScore]]&gt;=80,"B",StudentsTable[[#This Row],[AverageScore]]&gt;=70,"C",StudentsTable[[#This Row],[AverageScore]]&gt;=60,"D",TRUE,"F")</f>
        <v>C</v>
      </c>
      <c r="L292" t="str">
        <f>IF(StudentsTable[[#This Row],[AverageScore]]&gt;=60,"Pass","Fail")</f>
        <v>Pass</v>
      </c>
      <c r="M292" t="str" cm="1">
        <f t="array" ref="M292">_xlfn.IFS(StudentsTable[[#This Row],[AverageScore]]&gt;=85,"Advanced",StudentsTable[[#This Row],[AverageScore]]&gt;=70,"Intermediate",StudentsTable[[#This Row],[AverageScore]]&gt;=60,"Basic",TRUE,"Needs Help")</f>
        <v>Intermediate</v>
      </c>
      <c r="N292">
        <f>RANK(StudentsTable[[#This Row],[AverageScore]],StudentsTable[AverageScore])</f>
        <v>412</v>
      </c>
      <c r="O292">
        <f>(StudentsTable[[#This Row],[AverageScore]]-MIN(StudentsTable[AverageScore]))/(MAX(StudentsTable[AverageScore])-MIN(StudentsTable[AverageScore]))*100</f>
        <v>68.498168498168482</v>
      </c>
    </row>
    <row r="293" spans="1:15" x14ac:dyDescent="0.3">
      <c r="A293" t="s">
        <v>17</v>
      </c>
      <c r="B293" t="s">
        <v>21</v>
      </c>
      <c r="C293" t="s">
        <v>23</v>
      </c>
      <c r="D293" t="s">
        <v>11</v>
      </c>
      <c r="E293" t="s">
        <v>12</v>
      </c>
      <c r="F293">
        <v>86</v>
      </c>
      <c r="G293">
        <v>73</v>
      </c>
      <c r="H293">
        <v>70</v>
      </c>
      <c r="I293">
        <f>StudentsTable[[#This Row],[math score]]+StudentsTable[[#This Row],[reading score]]+StudentsTable[[#This Row],[writing score]]</f>
        <v>229</v>
      </c>
      <c r="J293">
        <f>StudentsTable[[#This Row],[TotalScore]]/3</f>
        <v>76.333333333333329</v>
      </c>
      <c r="K293" t="str" cm="1">
        <f t="array" ref="K293">_xlfn.IFS(StudentsTable[[#This Row],[AverageScore]]&gt;=90,"A",StudentsTable[[#This Row],[AverageScore]]&gt;=80,"B",StudentsTable[[#This Row],[AverageScore]]&gt;=70,"C",StudentsTable[[#This Row],[AverageScore]]&gt;=60,"D",TRUE,"F")</f>
        <v>C</v>
      </c>
      <c r="L293" t="str">
        <f>IF(StudentsTable[[#This Row],[AverageScore]]&gt;=60,"Pass","Fail")</f>
        <v>Pass</v>
      </c>
      <c r="M293" t="str" cm="1">
        <f t="array" ref="M293">_xlfn.IFS(StudentsTable[[#This Row],[AverageScore]]&gt;=85,"Advanced",StudentsTable[[#This Row],[AverageScore]]&gt;=70,"Intermediate",StudentsTable[[#This Row],[AverageScore]]&gt;=60,"Basic",TRUE,"Needs Help")</f>
        <v>Intermediate</v>
      </c>
      <c r="N293">
        <f>RANK(StudentsTable[[#This Row],[AverageScore]],StudentsTable[AverageScore])</f>
        <v>282</v>
      </c>
      <c r="O293">
        <f>(StudentsTable[[#This Row],[AverageScore]]-MIN(StudentsTable[AverageScore]))/(MAX(StudentsTable[AverageScore])-MIN(StudentsTable[AverageScore]))*100</f>
        <v>73.992673992673986</v>
      </c>
    </row>
    <row r="294" spans="1:15" x14ac:dyDescent="0.3">
      <c r="A294" t="s">
        <v>17</v>
      </c>
      <c r="B294" t="s">
        <v>13</v>
      </c>
      <c r="C294" t="s">
        <v>23</v>
      </c>
      <c r="D294" t="s">
        <v>11</v>
      </c>
      <c r="E294" t="s">
        <v>15</v>
      </c>
      <c r="F294">
        <v>63</v>
      </c>
      <c r="G294">
        <v>60</v>
      </c>
      <c r="H294">
        <v>57</v>
      </c>
      <c r="I294">
        <f>StudentsTable[[#This Row],[math score]]+StudentsTable[[#This Row],[reading score]]+StudentsTable[[#This Row],[writing score]]</f>
        <v>180</v>
      </c>
      <c r="J294">
        <f>StudentsTable[[#This Row],[TotalScore]]/3</f>
        <v>60</v>
      </c>
      <c r="K294" t="str" cm="1">
        <f t="array" ref="K294">_xlfn.IFS(StudentsTable[[#This Row],[AverageScore]]&gt;=90,"A",StudentsTable[[#This Row],[AverageScore]]&gt;=80,"B",StudentsTable[[#This Row],[AverageScore]]&gt;=70,"C",StudentsTable[[#This Row],[AverageScore]]&gt;=60,"D",TRUE,"F")</f>
        <v>D</v>
      </c>
      <c r="L294" t="str">
        <f>IF(StudentsTable[[#This Row],[AverageScore]]&gt;=60,"Pass","Fail")</f>
        <v>Pass</v>
      </c>
      <c r="M294" t="str" cm="1">
        <f t="array" ref="M294">_xlfn.IFS(StudentsTable[[#This Row],[AverageScore]]&gt;=85,"Advanced",StudentsTable[[#This Row],[AverageScore]]&gt;=70,"Intermediate",StudentsTable[[#This Row],[AverageScore]]&gt;=60,"Basic",TRUE,"Needs Help")</f>
        <v>Basic</v>
      </c>
      <c r="N294">
        <f>RANK(StudentsTable[[#This Row],[AverageScore]],StudentsTable[AverageScore])</f>
        <v>708</v>
      </c>
      <c r="O294">
        <f>(StudentsTable[[#This Row],[AverageScore]]-MIN(StudentsTable[AverageScore]))/(MAX(StudentsTable[AverageScore])-MIN(StudentsTable[AverageScore]))*100</f>
        <v>56.043956043956044</v>
      </c>
    </row>
    <row r="295" spans="1:15" x14ac:dyDescent="0.3">
      <c r="A295" t="s">
        <v>8</v>
      </c>
      <c r="B295" t="s">
        <v>24</v>
      </c>
      <c r="C295" t="s">
        <v>10</v>
      </c>
      <c r="D295" t="s">
        <v>11</v>
      </c>
      <c r="E295" t="s">
        <v>12</v>
      </c>
      <c r="F295">
        <v>65</v>
      </c>
      <c r="G295">
        <v>73</v>
      </c>
      <c r="H295">
        <v>75</v>
      </c>
      <c r="I295">
        <f>StudentsTable[[#This Row],[math score]]+StudentsTable[[#This Row],[reading score]]+StudentsTable[[#This Row],[writing score]]</f>
        <v>213</v>
      </c>
      <c r="J295">
        <f>StudentsTable[[#This Row],[TotalScore]]/3</f>
        <v>71</v>
      </c>
      <c r="K295" t="str" cm="1">
        <f t="array" ref="K295">_xlfn.IFS(StudentsTable[[#This Row],[AverageScore]]&gt;=90,"A",StudentsTable[[#This Row],[AverageScore]]&gt;=80,"B",StudentsTable[[#This Row],[AverageScore]]&gt;=70,"C",StudentsTable[[#This Row],[AverageScore]]&gt;=60,"D",TRUE,"F")</f>
        <v>C</v>
      </c>
      <c r="L295" t="str">
        <f>IF(StudentsTable[[#This Row],[AverageScore]]&gt;=60,"Pass","Fail")</f>
        <v>Pass</v>
      </c>
      <c r="M295" t="str" cm="1">
        <f t="array" ref="M295">_xlfn.IFS(StudentsTable[[#This Row],[AverageScore]]&gt;=85,"Advanced",StudentsTable[[#This Row],[AverageScore]]&gt;=70,"Intermediate",StudentsTable[[#This Row],[AverageScore]]&gt;=60,"Basic",TRUE,"Needs Help")</f>
        <v>Intermediate</v>
      </c>
      <c r="N295">
        <f>RANK(StudentsTable[[#This Row],[AverageScore]],StudentsTable[AverageScore])</f>
        <v>424</v>
      </c>
      <c r="O295">
        <f>(StudentsTable[[#This Row],[AverageScore]]-MIN(StudentsTable[AverageScore]))/(MAX(StudentsTable[AverageScore])-MIN(StudentsTable[AverageScore]))*100</f>
        <v>68.131868131868131</v>
      </c>
    </row>
    <row r="296" spans="1:15" x14ac:dyDescent="0.3">
      <c r="A296" t="s">
        <v>17</v>
      </c>
      <c r="B296" t="s">
        <v>21</v>
      </c>
      <c r="C296" t="s">
        <v>22</v>
      </c>
      <c r="D296" t="s">
        <v>20</v>
      </c>
      <c r="E296" t="s">
        <v>15</v>
      </c>
      <c r="F296">
        <v>78</v>
      </c>
      <c r="G296">
        <v>77</v>
      </c>
      <c r="H296">
        <v>80</v>
      </c>
      <c r="I296">
        <f>StudentsTable[[#This Row],[math score]]+StudentsTable[[#This Row],[reading score]]+StudentsTable[[#This Row],[writing score]]</f>
        <v>235</v>
      </c>
      <c r="J296">
        <f>StudentsTable[[#This Row],[TotalScore]]/3</f>
        <v>78.333333333333329</v>
      </c>
      <c r="K296" t="str" cm="1">
        <f t="array" ref="K296">_xlfn.IFS(StudentsTable[[#This Row],[AverageScore]]&gt;=90,"A",StudentsTable[[#This Row],[AverageScore]]&gt;=80,"B",StudentsTable[[#This Row],[AverageScore]]&gt;=70,"C",StudentsTable[[#This Row],[AverageScore]]&gt;=60,"D",TRUE,"F")</f>
        <v>C</v>
      </c>
      <c r="L296" t="str">
        <f>IF(StudentsTable[[#This Row],[AverageScore]]&gt;=60,"Pass","Fail")</f>
        <v>Pass</v>
      </c>
      <c r="M296" t="str" cm="1">
        <f t="array" ref="M296">_xlfn.IFS(StudentsTable[[#This Row],[AverageScore]]&gt;=85,"Advanced",StudentsTable[[#This Row],[AverageScore]]&gt;=70,"Intermediate",StudentsTable[[#This Row],[AverageScore]]&gt;=60,"Basic",TRUE,"Needs Help")</f>
        <v>Intermediate</v>
      </c>
      <c r="N296">
        <f>RANK(StudentsTable[[#This Row],[AverageScore]],StudentsTable[AverageScore])</f>
        <v>231</v>
      </c>
      <c r="O296">
        <f>(StudentsTable[[#This Row],[AverageScore]]-MIN(StudentsTable[AverageScore]))/(MAX(StudentsTable[AverageScore])-MIN(StudentsTable[AverageScore]))*100</f>
        <v>76.19047619047619</v>
      </c>
    </row>
    <row r="297" spans="1:15" x14ac:dyDescent="0.3">
      <c r="A297" t="s">
        <v>17</v>
      </c>
      <c r="B297" t="s">
        <v>9</v>
      </c>
      <c r="C297" t="s">
        <v>19</v>
      </c>
      <c r="D297" t="s">
        <v>20</v>
      </c>
      <c r="E297" t="s">
        <v>12</v>
      </c>
      <c r="F297">
        <v>67</v>
      </c>
      <c r="G297">
        <v>62</v>
      </c>
      <c r="H297">
        <v>60</v>
      </c>
      <c r="I297">
        <f>StudentsTable[[#This Row],[math score]]+StudentsTable[[#This Row],[reading score]]+StudentsTable[[#This Row],[writing score]]</f>
        <v>189</v>
      </c>
      <c r="J297">
        <f>StudentsTable[[#This Row],[TotalScore]]/3</f>
        <v>63</v>
      </c>
      <c r="K297" t="str" cm="1">
        <f t="array" ref="K297">_xlfn.IFS(StudentsTable[[#This Row],[AverageScore]]&gt;=90,"A",StudentsTable[[#This Row],[AverageScore]]&gt;=80,"B",StudentsTable[[#This Row],[AverageScore]]&gt;=70,"C",StudentsTable[[#This Row],[AverageScore]]&gt;=60,"D",TRUE,"F")</f>
        <v>D</v>
      </c>
      <c r="L297" t="str">
        <f>IF(StudentsTable[[#This Row],[AverageScore]]&gt;=60,"Pass","Fail")</f>
        <v>Pass</v>
      </c>
      <c r="M297" t="str" cm="1">
        <f t="array" ref="M297">_xlfn.IFS(StudentsTable[[#This Row],[AverageScore]]&gt;=85,"Advanced",StudentsTable[[#This Row],[AverageScore]]&gt;=70,"Intermediate",StudentsTable[[#This Row],[AverageScore]]&gt;=60,"Basic",TRUE,"Needs Help")</f>
        <v>Basic</v>
      </c>
      <c r="N297">
        <f>RANK(StudentsTable[[#This Row],[AverageScore]],StudentsTable[AverageScore])</f>
        <v>646</v>
      </c>
      <c r="O297">
        <f>(StudentsTable[[#This Row],[AverageScore]]-MIN(StudentsTable[AverageScore]))/(MAX(StudentsTable[AverageScore])-MIN(StudentsTable[AverageScore]))*100</f>
        <v>59.340659340659343</v>
      </c>
    </row>
    <row r="298" spans="1:15" x14ac:dyDescent="0.3">
      <c r="A298" t="s">
        <v>17</v>
      </c>
      <c r="B298" t="s">
        <v>18</v>
      </c>
      <c r="C298" t="s">
        <v>23</v>
      </c>
      <c r="D298" t="s">
        <v>11</v>
      </c>
      <c r="E298" t="s">
        <v>15</v>
      </c>
      <c r="F298">
        <v>46</v>
      </c>
      <c r="G298">
        <v>41</v>
      </c>
      <c r="H298">
        <v>43</v>
      </c>
      <c r="I298">
        <f>StudentsTable[[#This Row],[math score]]+StudentsTable[[#This Row],[reading score]]+StudentsTable[[#This Row],[writing score]]</f>
        <v>130</v>
      </c>
      <c r="J298">
        <f>StudentsTable[[#This Row],[TotalScore]]/3</f>
        <v>43.333333333333336</v>
      </c>
      <c r="K298" t="str" cm="1">
        <f t="array" ref="K298">_xlfn.IFS(StudentsTable[[#This Row],[AverageScore]]&gt;=90,"A",StudentsTable[[#This Row],[AverageScore]]&gt;=80,"B",StudentsTable[[#This Row],[AverageScore]]&gt;=70,"C",StudentsTable[[#This Row],[AverageScore]]&gt;=60,"D",TRUE,"F")</f>
        <v>F</v>
      </c>
      <c r="L298" t="str">
        <f>IF(StudentsTable[[#This Row],[AverageScore]]&gt;=60,"Pass","Fail")</f>
        <v>Fail</v>
      </c>
      <c r="M298" t="str" cm="1">
        <f t="array" ref="M298">_xlfn.IFS(StudentsTable[[#This Row],[AverageScore]]&gt;=85,"Advanced",StudentsTable[[#This Row],[AverageScore]]&gt;=70,"Intermediate",StudentsTable[[#This Row],[AverageScore]]&gt;=60,"Basic",TRUE,"Needs Help")</f>
        <v>Needs Help</v>
      </c>
      <c r="N298">
        <f>RANK(StudentsTable[[#This Row],[AverageScore]],StudentsTable[AverageScore])</f>
        <v>956</v>
      </c>
      <c r="O298">
        <f>(StudentsTable[[#This Row],[AverageScore]]-MIN(StudentsTable[AverageScore]))/(MAX(StudentsTable[AverageScore])-MIN(StudentsTable[AverageScore]))*100</f>
        <v>37.728937728937737</v>
      </c>
    </row>
    <row r="299" spans="1:15" x14ac:dyDescent="0.3">
      <c r="A299" t="s">
        <v>17</v>
      </c>
      <c r="B299" t="s">
        <v>24</v>
      </c>
      <c r="C299" t="s">
        <v>19</v>
      </c>
      <c r="D299" t="s">
        <v>11</v>
      </c>
      <c r="E299" t="s">
        <v>15</v>
      </c>
      <c r="F299">
        <v>71</v>
      </c>
      <c r="G299">
        <v>74</v>
      </c>
      <c r="H299">
        <v>68</v>
      </c>
      <c r="I299">
        <f>StudentsTable[[#This Row],[math score]]+StudentsTable[[#This Row],[reading score]]+StudentsTable[[#This Row],[writing score]]</f>
        <v>213</v>
      </c>
      <c r="J299">
        <f>StudentsTable[[#This Row],[TotalScore]]/3</f>
        <v>71</v>
      </c>
      <c r="K299" t="str" cm="1">
        <f t="array" ref="K299">_xlfn.IFS(StudentsTable[[#This Row],[AverageScore]]&gt;=90,"A",StudentsTable[[#This Row],[AverageScore]]&gt;=80,"B",StudentsTable[[#This Row],[AverageScore]]&gt;=70,"C",StudentsTable[[#This Row],[AverageScore]]&gt;=60,"D",TRUE,"F")</f>
        <v>C</v>
      </c>
      <c r="L299" t="str">
        <f>IF(StudentsTable[[#This Row],[AverageScore]]&gt;=60,"Pass","Fail")</f>
        <v>Pass</v>
      </c>
      <c r="M299" t="str" cm="1">
        <f t="array" ref="M299">_xlfn.IFS(StudentsTable[[#This Row],[AverageScore]]&gt;=85,"Advanced",StudentsTable[[#This Row],[AverageScore]]&gt;=70,"Intermediate",StudentsTable[[#This Row],[AverageScore]]&gt;=60,"Basic",TRUE,"Needs Help")</f>
        <v>Intermediate</v>
      </c>
      <c r="N299">
        <f>RANK(StudentsTable[[#This Row],[AverageScore]],StudentsTable[AverageScore])</f>
        <v>424</v>
      </c>
      <c r="O299">
        <f>(StudentsTable[[#This Row],[AverageScore]]-MIN(StudentsTable[AverageScore]))/(MAX(StudentsTable[AverageScore])-MIN(StudentsTable[AverageScore]))*100</f>
        <v>68.131868131868131</v>
      </c>
    </row>
    <row r="300" spans="1:15" x14ac:dyDescent="0.3">
      <c r="A300" t="s">
        <v>17</v>
      </c>
      <c r="B300" t="s">
        <v>13</v>
      </c>
      <c r="C300" t="s">
        <v>22</v>
      </c>
      <c r="D300" t="s">
        <v>20</v>
      </c>
      <c r="E300" t="s">
        <v>15</v>
      </c>
      <c r="F300">
        <v>40</v>
      </c>
      <c r="G300">
        <v>46</v>
      </c>
      <c r="H300">
        <v>50</v>
      </c>
      <c r="I300">
        <f>StudentsTable[[#This Row],[math score]]+StudentsTable[[#This Row],[reading score]]+StudentsTable[[#This Row],[writing score]]</f>
        <v>136</v>
      </c>
      <c r="J300">
        <f>StudentsTable[[#This Row],[TotalScore]]/3</f>
        <v>45.333333333333336</v>
      </c>
      <c r="K300" t="str" cm="1">
        <f t="array" ref="K300">_xlfn.IFS(StudentsTable[[#This Row],[AverageScore]]&gt;=90,"A",StudentsTable[[#This Row],[AverageScore]]&gt;=80,"B",StudentsTable[[#This Row],[AverageScore]]&gt;=70,"C",StudentsTable[[#This Row],[AverageScore]]&gt;=60,"D",TRUE,"F")</f>
        <v>F</v>
      </c>
      <c r="L300" t="str">
        <f>IF(StudentsTable[[#This Row],[AverageScore]]&gt;=60,"Pass","Fail")</f>
        <v>Fail</v>
      </c>
      <c r="M300" t="str" cm="1">
        <f t="array" ref="M300">_xlfn.IFS(StudentsTable[[#This Row],[AverageScore]]&gt;=85,"Advanced",StudentsTable[[#This Row],[AverageScore]]&gt;=70,"Intermediate",StudentsTable[[#This Row],[AverageScore]]&gt;=60,"Basic",TRUE,"Needs Help")</f>
        <v>Needs Help</v>
      </c>
      <c r="N300">
        <f>RANK(StudentsTable[[#This Row],[AverageScore]],StudentsTable[AverageScore])</f>
        <v>943</v>
      </c>
      <c r="O300">
        <f>(StudentsTable[[#This Row],[AverageScore]]-MIN(StudentsTable[AverageScore]))/(MAX(StudentsTable[AverageScore])-MIN(StudentsTable[AverageScore]))*100</f>
        <v>39.926739926739927</v>
      </c>
    </row>
    <row r="301" spans="1:15" x14ac:dyDescent="0.3">
      <c r="A301" t="s">
        <v>17</v>
      </c>
      <c r="B301" t="s">
        <v>21</v>
      </c>
      <c r="C301" t="s">
        <v>19</v>
      </c>
      <c r="D301" t="s">
        <v>20</v>
      </c>
      <c r="E301" t="s">
        <v>12</v>
      </c>
      <c r="F301">
        <v>90</v>
      </c>
      <c r="G301">
        <v>87</v>
      </c>
      <c r="H301">
        <v>75</v>
      </c>
      <c r="I301">
        <f>StudentsTable[[#This Row],[math score]]+StudentsTable[[#This Row],[reading score]]+StudentsTable[[#This Row],[writing score]]</f>
        <v>252</v>
      </c>
      <c r="J301">
        <f>StudentsTable[[#This Row],[TotalScore]]/3</f>
        <v>84</v>
      </c>
      <c r="K301" t="str" cm="1">
        <f t="array" ref="K301">_xlfn.IFS(StudentsTable[[#This Row],[AverageScore]]&gt;=90,"A",StudentsTable[[#This Row],[AverageScore]]&gt;=80,"B",StudentsTable[[#This Row],[AverageScore]]&gt;=70,"C",StudentsTable[[#This Row],[AverageScore]]&gt;=60,"D",TRUE,"F")</f>
        <v>B</v>
      </c>
      <c r="L301" t="str">
        <f>IF(StudentsTable[[#This Row],[AverageScore]]&gt;=60,"Pass","Fail")</f>
        <v>Pass</v>
      </c>
      <c r="M301" t="str" cm="1">
        <f t="array" ref="M301">_xlfn.IFS(StudentsTable[[#This Row],[AverageScore]]&gt;=85,"Advanced",StudentsTable[[#This Row],[AverageScore]]&gt;=70,"Intermediate",StudentsTable[[#This Row],[AverageScore]]&gt;=60,"Basic",TRUE,"Needs Help")</f>
        <v>Intermediate</v>
      </c>
      <c r="N301">
        <f>RANK(StudentsTable[[#This Row],[AverageScore]],StudentsTable[AverageScore])</f>
        <v>123</v>
      </c>
      <c r="O301">
        <f>(StudentsTable[[#This Row],[AverageScore]]-MIN(StudentsTable[AverageScore]))/(MAX(StudentsTable[AverageScore])-MIN(StudentsTable[AverageScore]))*100</f>
        <v>82.417582417582409</v>
      </c>
    </row>
    <row r="302" spans="1:15" x14ac:dyDescent="0.3">
      <c r="A302" t="s">
        <v>17</v>
      </c>
      <c r="B302" t="s">
        <v>18</v>
      </c>
      <c r="C302" t="s">
        <v>14</v>
      </c>
      <c r="D302" t="s">
        <v>20</v>
      </c>
      <c r="E302" t="s">
        <v>15</v>
      </c>
      <c r="F302">
        <v>81</v>
      </c>
      <c r="G302">
        <v>78</v>
      </c>
      <c r="H302">
        <v>81</v>
      </c>
      <c r="I302">
        <f>StudentsTable[[#This Row],[math score]]+StudentsTable[[#This Row],[reading score]]+StudentsTable[[#This Row],[writing score]]</f>
        <v>240</v>
      </c>
      <c r="J302">
        <f>StudentsTable[[#This Row],[TotalScore]]/3</f>
        <v>80</v>
      </c>
      <c r="K302" t="str" cm="1">
        <f t="array" ref="K302">_xlfn.IFS(StudentsTable[[#This Row],[AverageScore]]&gt;=90,"A",StudentsTable[[#This Row],[AverageScore]]&gt;=80,"B",StudentsTable[[#This Row],[AverageScore]]&gt;=70,"C",StudentsTable[[#This Row],[AverageScore]]&gt;=60,"D",TRUE,"F")</f>
        <v>B</v>
      </c>
      <c r="L302" t="str">
        <f>IF(StudentsTable[[#This Row],[AverageScore]]&gt;=60,"Pass","Fail")</f>
        <v>Pass</v>
      </c>
      <c r="M302" t="str" cm="1">
        <f t="array" ref="M302">_xlfn.IFS(StudentsTable[[#This Row],[AverageScore]]&gt;=85,"Advanced",StudentsTable[[#This Row],[AverageScore]]&gt;=70,"Intermediate",StudentsTable[[#This Row],[AverageScore]]&gt;=60,"Basic",TRUE,"Needs Help")</f>
        <v>Intermediate</v>
      </c>
      <c r="N302">
        <f>RANK(StudentsTable[[#This Row],[AverageScore]],StudentsTable[AverageScore])</f>
        <v>195</v>
      </c>
      <c r="O302">
        <f>(StudentsTable[[#This Row],[AverageScore]]-MIN(StudentsTable[AverageScore]))/(MAX(StudentsTable[AverageScore])-MIN(StudentsTable[AverageScore]))*100</f>
        <v>78.021978021978029</v>
      </c>
    </row>
    <row r="303" spans="1:15" x14ac:dyDescent="0.3">
      <c r="A303" t="s">
        <v>17</v>
      </c>
      <c r="B303" t="s">
        <v>21</v>
      </c>
      <c r="C303" t="s">
        <v>23</v>
      </c>
      <c r="D303" t="s">
        <v>20</v>
      </c>
      <c r="E303" t="s">
        <v>12</v>
      </c>
      <c r="F303">
        <v>56</v>
      </c>
      <c r="G303">
        <v>54</v>
      </c>
      <c r="H303">
        <v>52</v>
      </c>
      <c r="I303">
        <f>StudentsTable[[#This Row],[math score]]+StudentsTable[[#This Row],[reading score]]+StudentsTable[[#This Row],[writing score]]</f>
        <v>162</v>
      </c>
      <c r="J303">
        <f>StudentsTable[[#This Row],[TotalScore]]/3</f>
        <v>54</v>
      </c>
      <c r="K303" t="str" cm="1">
        <f t="array" ref="K303">_xlfn.IFS(StudentsTable[[#This Row],[AverageScore]]&gt;=90,"A",StudentsTable[[#This Row],[AverageScore]]&gt;=80,"B",StudentsTable[[#This Row],[AverageScore]]&gt;=70,"C",StudentsTable[[#This Row],[AverageScore]]&gt;=60,"D",TRUE,"F")</f>
        <v>F</v>
      </c>
      <c r="L303" t="str">
        <f>IF(StudentsTable[[#This Row],[AverageScore]]&gt;=60,"Pass","Fail")</f>
        <v>Fail</v>
      </c>
      <c r="M303" t="str" cm="1">
        <f t="array" ref="M303">_xlfn.IFS(StudentsTable[[#This Row],[AverageScore]]&gt;=85,"Advanced",StudentsTable[[#This Row],[AverageScore]]&gt;=70,"Intermediate",StudentsTable[[#This Row],[AverageScore]]&gt;=60,"Basic",TRUE,"Needs Help")</f>
        <v>Needs Help</v>
      </c>
      <c r="N303">
        <f>RANK(StudentsTable[[#This Row],[AverageScore]],StudentsTable[AverageScore])</f>
        <v>824</v>
      </c>
      <c r="O303">
        <f>(StudentsTable[[#This Row],[AverageScore]]-MIN(StudentsTable[AverageScore]))/(MAX(StudentsTable[AverageScore])-MIN(StudentsTable[AverageScore]))*100</f>
        <v>49.450549450549453</v>
      </c>
    </row>
    <row r="304" spans="1:15" x14ac:dyDescent="0.3">
      <c r="A304" t="s">
        <v>8</v>
      </c>
      <c r="B304" t="s">
        <v>13</v>
      </c>
      <c r="C304" t="s">
        <v>19</v>
      </c>
      <c r="D304" t="s">
        <v>11</v>
      </c>
      <c r="E304" t="s">
        <v>15</v>
      </c>
      <c r="F304">
        <v>67</v>
      </c>
      <c r="G304">
        <v>84</v>
      </c>
      <c r="H304">
        <v>81</v>
      </c>
      <c r="I304">
        <f>StudentsTable[[#This Row],[math score]]+StudentsTable[[#This Row],[reading score]]+StudentsTable[[#This Row],[writing score]]</f>
        <v>232</v>
      </c>
      <c r="J304">
        <f>StudentsTable[[#This Row],[TotalScore]]/3</f>
        <v>77.333333333333329</v>
      </c>
      <c r="K304" t="str" cm="1">
        <f t="array" ref="K304">_xlfn.IFS(StudentsTable[[#This Row],[AverageScore]]&gt;=90,"A",StudentsTable[[#This Row],[AverageScore]]&gt;=80,"B",StudentsTable[[#This Row],[AverageScore]]&gt;=70,"C",StudentsTable[[#This Row],[AverageScore]]&gt;=60,"D",TRUE,"F")</f>
        <v>C</v>
      </c>
      <c r="L304" t="str">
        <f>IF(StudentsTable[[#This Row],[AverageScore]]&gt;=60,"Pass","Fail")</f>
        <v>Pass</v>
      </c>
      <c r="M304" t="str" cm="1">
        <f t="array" ref="M304">_xlfn.IFS(StudentsTable[[#This Row],[AverageScore]]&gt;=85,"Advanced",StudentsTable[[#This Row],[AverageScore]]&gt;=70,"Intermediate",StudentsTable[[#This Row],[AverageScore]]&gt;=60,"Basic",TRUE,"Needs Help")</f>
        <v>Intermediate</v>
      </c>
      <c r="N304">
        <f>RANK(StudentsTable[[#This Row],[AverageScore]],StudentsTable[AverageScore])</f>
        <v>255</v>
      </c>
      <c r="O304">
        <f>(StudentsTable[[#This Row],[AverageScore]]-MIN(StudentsTable[AverageScore]))/(MAX(StudentsTable[AverageScore])-MIN(StudentsTable[AverageScore]))*100</f>
        <v>75.091575091575095</v>
      </c>
    </row>
    <row r="305" spans="1:15" x14ac:dyDescent="0.3">
      <c r="A305" t="s">
        <v>17</v>
      </c>
      <c r="B305" t="s">
        <v>9</v>
      </c>
      <c r="C305" t="s">
        <v>19</v>
      </c>
      <c r="D305" t="s">
        <v>11</v>
      </c>
      <c r="E305" t="s">
        <v>12</v>
      </c>
      <c r="F305">
        <v>80</v>
      </c>
      <c r="G305">
        <v>76</v>
      </c>
      <c r="H305">
        <v>64</v>
      </c>
      <c r="I305">
        <f>StudentsTable[[#This Row],[math score]]+StudentsTable[[#This Row],[reading score]]+StudentsTable[[#This Row],[writing score]]</f>
        <v>220</v>
      </c>
      <c r="J305">
        <f>StudentsTable[[#This Row],[TotalScore]]/3</f>
        <v>73.333333333333329</v>
      </c>
      <c r="K305" t="str" cm="1">
        <f t="array" ref="K305">_xlfn.IFS(StudentsTable[[#This Row],[AverageScore]]&gt;=90,"A",StudentsTable[[#This Row],[AverageScore]]&gt;=80,"B",StudentsTable[[#This Row],[AverageScore]]&gt;=70,"C",StudentsTable[[#This Row],[AverageScore]]&gt;=60,"D",TRUE,"F")</f>
        <v>C</v>
      </c>
      <c r="L305" t="str">
        <f>IF(StudentsTable[[#This Row],[AverageScore]]&gt;=60,"Pass","Fail")</f>
        <v>Pass</v>
      </c>
      <c r="M305" t="str" cm="1">
        <f t="array" ref="M305">_xlfn.IFS(StudentsTable[[#This Row],[AverageScore]]&gt;=85,"Advanced",StudentsTable[[#This Row],[AverageScore]]&gt;=70,"Intermediate",StudentsTable[[#This Row],[AverageScore]]&gt;=60,"Basic",TRUE,"Needs Help")</f>
        <v>Intermediate</v>
      </c>
      <c r="N305">
        <f>RANK(StudentsTable[[#This Row],[AverageScore]],StudentsTable[AverageScore])</f>
        <v>356</v>
      </c>
      <c r="O305">
        <f>(StudentsTable[[#This Row],[AverageScore]]-MIN(StudentsTable[AverageScore]))/(MAX(StudentsTable[AverageScore])-MIN(StudentsTable[AverageScore]))*100</f>
        <v>70.695970695970686</v>
      </c>
    </row>
    <row r="306" spans="1:15" x14ac:dyDescent="0.3">
      <c r="A306" t="s">
        <v>8</v>
      </c>
      <c r="B306" t="s">
        <v>13</v>
      </c>
      <c r="C306" t="s">
        <v>19</v>
      </c>
      <c r="D306" t="s">
        <v>11</v>
      </c>
      <c r="E306" t="s">
        <v>15</v>
      </c>
      <c r="F306">
        <v>74</v>
      </c>
      <c r="G306">
        <v>75</v>
      </c>
      <c r="H306">
        <v>83</v>
      </c>
      <c r="I306">
        <f>StudentsTable[[#This Row],[math score]]+StudentsTable[[#This Row],[reading score]]+StudentsTable[[#This Row],[writing score]]</f>
        <v>232</v>
      </c>
      <c r="J306">
        <f>StudentsTable[[#This Row],[TotalScore]]/3</f>
        <v>77.333333333333329</v>
      </c>
      <c r="K306" t="str" cm="1">
        <f t="array" ref="K306">_xlfn.IFS(StudentsTable[[#This Row],[AverageScore]]&gt;=90,"A",StudentsTable[[#This Row],[AverageScore]]&gt;=80,"B",StudentsTable[[#This Row],[AverageScore]]&gt;=70,"C",StudentsTable[[#This Row],[AverageScore]]&gt;=60,"D",TRUE,"F")</f>
        <v>C</v>
      </c>
      <c r="L306" t="str">
        <f>IF(StudentsTable[[#This Row],[AverageScore]]&gt;=60,"Pass","Fail")</f>
        <v>Pass</v>
      </c>
      <c r="M306" t="str" cm="1">
        <f t="array" ref="M306">_xlfn.IFS(StudentsTable[[#This Row],[AverageScore]]&gt;=85,"Advanced",StudentsTable[[#This Row],[AverageScore]]&gt;=70,"Intermediate",StudentsTable[[#This Row],[AverageScore]]&gt;=60,"Basic",TRUE,"Needs Help")</f>
        <v>Intermediate</v>
      </c>
      <c r="N306">
        <f>RANK(StudentsTable[[#This Row],[AverageScore]],StudentsTable[AverageScore])</f>
        <v>255</v>
      </c>
      <c r="O306">
        <f>(StudentsTable[[#This Row],[AverageScore]]-MIN(StudentsTable[AverageScore]))/(MAX(StudentsTable[AverageScore])-MIN(StudentsTable[AverageScore]))*100</f>
        <v>75.091575091575095</v>
      </c>
    </row>
    <row r="307" spans="1:15" x14ac:dyDescent="0.3">
      <c r="A307" t="s">
        <v>17</v>
      </c>
      <c r="B307" t="s">
        <v>18</v>
      </c>
      <c r="C307" t="s">
        <v>14</v>
      </c>
      <c r="D307" t="s">
        <v>11</v>
      </c>
      <c r="E307" t="s">
        <v>12</v>
      </c>
      <c r="F307">
        <v>69</v>
      </c>
      <c r="G307">
        <v>67</v>
      </c>
      <c r="H307">
        <v>69</v>
      </c>
      <c r="I307">
        <f>StudentsTable[[#This Row],[math score]]+StudentsTable[[#This Row],[reading score]]+StudentsTable[[#This Row],[writing score]]</f>
        <v>205</v>
      </c>
      <c r="J307">
        <f>StudentsTable[[#This Row],[TotalScore]]/3</f>
        <v>68.333333333333329</v>
      </c>
      <c r="K307" t="str" cm="1">
        <f t="array" ref="K307">_xlfn.IFS(StudentsTable[[#This Row],[AverageScore]]&gt;=90,"A",StudentsTable[[#This Row],[AverageScore]]&gt;=80,"B",StudentsTable[[#This Row],[AverageScore]]&gt;=70,"C",StudentsTable[[#This Row],[AverageScore]]&gt;=60,"D",TRUE,"F")</f>
        <v>D</v>
      </c>
      <c r="L307" t="str">
        <f>IF(StudentsTable[[#This Row],[AverageScore]]&gt;=60,"Pass","Fail")</f>
        <v>Pass</v>
      </c>
      <c r="M307" t="str" cm="1">
        <f t="array" ref="M307">_xlfn.IFS(StudentsTable[[#This Row],[AverageScore]]&gt;=85,"Advanced",StudentsTable[[#This Row],[AverageScore]]&gt;=70,"Intermediate",StudentsTable[[#This Row],[AverageScore]]&gt;=60,"Basic",TRUE,"Needs Help")</f>
        <v>Basic</v>
      </c>
      <c r="N307">
        <f>RANK(StudentsTable[[#This Row],[AverageScore]],StudentsTable[AverageScore])</f>
        <v>499</v>
      </c>
      <c r="O307">
        <f>(StudentsTable[[#This Row],[AverageScore]]-MIN(StudentsTable[AverageScore]))/(MAX(StudentsTable[AverageScore])-MIN(StudentsTable[AverageScore]))*100</f>
        <v>65.201465201465197</v>
      </c>
    </row>
    <row r="308" spans="1:15" x14ac:dyDescent="0.3">
      <c r="A308" t="s">
        <v>17</v>
      </c>
      <c r="B308" t="s">
        <v>24</v>
      </c>
      <c r="C308" t="s">
        <v>14</v>
      </c>
      <c r="D308" t="s">
        <v>11</v>
      </c>
      <c r="E308" t="s">
        <v>15</v>
      </c>
      <c r="F308">
        <v>99</v>
      </c>
      <c r="G308">
        <v>87</v>
      </c>
      <c r="H308">
        <v>81</v>
      </c>
      <c r="I308">
        <f>StudentsTable[[#This Row],[math score]]+StudentsTable[[#This Row],[reading score]]+StudentsTable[[#This Row],[writing score]]</f>
        <v>267</v>
      </c>
      <c r="J308">
        <f>StudentsTable[[#This Row],[TotalScore]]/3</f>
        <v>89</v>
      </c>
      <c r="K308" t="str" cm="1">
        <f t="array" ref="K308">_xlfn.IFS(StudentsTable[[#This Row],[AverageScore]]&gt;=90,"A",StudentsTable[[#This Row],[AverageScore]]&gt;=80,"B",StudentsTable[[#This Row],[AverageScore]]&gt;=70,"C",StudentsTable[[#This Row],[AverageScore]]&gt;=60,"D",TRUE,"F")</f>
        <v>B</v>
      </c>
      <c r="L308" t="str">
        <f>IF(StudentsTable[[#This Row],[AverageScore]]&gt;=60,"Pass","Fail")</f>
        <v>Pass</v>
      </c>
      <c r="M308" t="str" cm="1">
        <f t="array" ref="M308">_xlfn.IFS(StudentsTable[[#This Row],[AverageScore]]&gt;=85,"Advanced",StudentsTable[[#This Row],[AverageScore]]&gt;=70,"Intermediate",StudentsTable[[#This Row],[AverageScore]]&gt;=60,"Basic",TRUE,"Needs Help")</f>
        <v>Advanced</v>
      </c>
      <c r="N308">
        <f>RANK(StudentsTable[[#This Row],[AverageScore]],StudentsTable[AverageScore])</f>
        <v>59</v>
      </c>
      <c r="O308">
        <f>(StudentsTable[[#This Row],[AverageScore]]-MIN(StudentsTable[AverageScore]))/(MAX(StudentsTable[AverageScore])-MIN(StudentsTable[AverageScore]))*100</f>
        <v>87.912087912087912</v>
      </c>
    </row>
    <row r="309" spans="1:15" x14ac:dyDescent="0.3">
      <c r="A309" t="s">
        <v>17</v>
      </c>
      <c r="B309" t="s">
        <v>13</v>
      </c>
      <c r="C309" t="s">
        <v>23</v>
      </c>
      <c r="D309" t="s">
        <v>11</v>
      </c>
      <c r="E309" t="s">
        <v>12</v>
      </c>
      <c r="F309">
        <v>51</v>
      </c>
      <c r="G309">
        <v>52</v>
      </c>
      <c r="H309">
        <v>44</v>
      </c>
      <c r="I309">
        <f>StudentsTable[[#This Row],[math score]]+StudentsTable[[#This Row],[reading score]]+StudentsTable[[#This Row],[writing score]]</f>
        <v>147</v>
      </c>
      <c r="J309">
        <f>StudentsTable[[#This Row],[TotalScore]]/3</f>
        <v>49</v>
      </c>
      <c r="K309" t="str" cm="1">
        <f t="array" ref="K309">_xlfn.IFS(StudentsTable[[#This Row],[AverageScore]]&gt;=90,"A",StudentsTable[[#This Row],[AverageScore]]&gt;=80,"B",StudentsTable[[#This Row],[AverageScore]]&gt;=70,"C",StudentsTable[[#This Row],[AverageScore]]&gt;=60,"D",TRUE,"F")</f>
        <v>F</v>
      </c>
      <c r="L309" t="str">
        <f>IF(StudentsTable[[#This Row],[AverageScore]]&gt;=60,"Pass","Fail")</f>
        <v>Fail</v>
      </c>
      <c r="M309" t="str" cm="1">
        <f t="array" ref="M309">_xlfn.IFS(StudentsTable[[#This Row],[AverageScore]]&gt;=85,"Advanced",StudentsTable[[#This Row],[AverageScore]]&gt;=70,"Intermediate",StudentsTable[[#This Row],[AverageScore]]&gt;=60,"Basic",TRUE,"Needs Help")</f>
        <v>Needs Help</v>
      </c>
      <c r="N309">
        <f>RANK(StudentsTable[[#This Row],[AverageScore]],StudentsTable[AverageScore])</f>
        <v>905</v>
      </c>
      <c r="O309">
        <f>(StudentsTable[[#This Row],[AverageScore]]-MIN(StudentsTable[AverageScore]))/(MAX(StudentsTable[AverageScore])-MIN(StudentsTable[AverageScore]))*100</f>
        <v>43.956043956043956</v>
      </c>
    </row>
    <row r="310" spans="1:15" x14ac:dyDescent="0.3">
      <c r="A310" t="s">
        <v>8</v>
      </c>
      <c r="B310" t="s">
        <v>9</v>
      </c>
      <c r="C310" t="s">
        <v>19</v>
      </c>
      <c r="D310" t="s">
        <v>20</v>
      </c>
      <c r="E310" t="s">
        <v>12</v>
      </c>
      <c r="F310">
        <v>53</v>
      </c>
      <c r="G310">
        <v>71</v>
      </c>
      <c r="H310">
        <v>67</v>
      </c>
      <c r="I310">
        <f>StudentsTable[[#This Row],[math score]]+StudentsTable[[#This Row],[reading score]]+StudentsTable[[#This Row],[writing score]]</f>
        <v>191</v>
      </c>
      <c r="J310">
        <f>StudentsTable[[#This Row],[TotalScore]]/3</f>
        <v>63.666666666666664</v>
      </c>
      <c r="K310" t="str" cm="1">
        <f t="array" ref="K310">_xlfn.IFS(StudentsTable[[#This Row],[AverageScore]]&gt;=90,"A",StudentsTable[[#This Row],[AverageScore]]&gt;=80,"B",StudentsTable[[#This Row],[AverageScore]]&gt;=70,"C",StudentsTable[[#This Row],[AverageScore]]&gt;=60,"D",TRUE,"F")</f>
        <v>D</v>
      </c>
      <c r="L310" t="str">
        <f>IF(StudentsTable[[#This Row],[AverageScore]]&gt;=60,"Pass","Fail")</f>
        <v>Pass</v>
      </c>
      <c r="M310" t="str" cm="1">
        <f t="array" ref="M310">_xlfn.IFS(StudentsTable[[#This Row],[AverageScore]]&gt;=85,"Advanced",StudentsTable[[#This Row],[AverageScore]]&gt;=70,"Intermediate",StudentsTable[[#This Row],[AverageScore]]&gt;=60,"Basic",TRUE,"Needs Help")</f>
        <v>Basic</v>
      </c>
      <c r="N310">
        <f>RANK(StudentsTable[[#This Row],[AverageScore]],StudentsTable[AverageScore])</f>
        <v>632</v>
      </c>
      <c r="O310">
        <f>(StudentsTable[[#This Row],[AverageScore]]-MIN(StudentsTable[AverageScore]))/(MAX(StudentsTable[AverageScore])-MIN(StudentsTable[AverageScore]))*100</f>
        <v>60.073260073260073</v>
      </c>
    </row>
    <row r="311" spans="1:15" x14ac:dyDescent="0.3">
      <c r="A311" t="s">
        <v>8</v>
      </c>
      <c r="B311" t="s">
        <v>21</v>
      </c>
      <c r="C311" t="s">
        <v>22</v>
      </c>
      <c r="D311" t="s">
        <v>20</v>
      </c>
      <c r="E311" t="s">
        <v>12</v>
      </c>
      <c r="F311">
        <v>49</v>
      </c>
      <c r="G311">
        <v>57</v>
      </c>
      <c r="H311">
        <v>52</v>
      </c>
      <c r="I311">
        <f>StudentsTable[[#This Row],[math score]]+StudentsTable[[#This Row],[reading score]]+StudentsTable[[#This Row],[writing score]]</f>
        <v>158</v>
      </c>
      <c r="J311">
        <f>StudentsTable[[#This Row],[TotalScore]]/3</f>
        <v>52.666666666666664</v>
      </c>
      <c r="K311" t="str" cm="1">
        <f t="array" ref="K311">_xlfn.IFS(StudentsTable[[#This Row],[AverageScore]]&gt;=90,"A",StudentsTable[[#This Row],[AverageScore]]&gt;=80,"B",StudentsTable[[#This Row],[AverageScore]]&gt;=70,"C",StudentsTable[[#This Row],[AverageScore]]&gt;=60,"D",TRUE,"F")</f>
        <v>F</v>
      </c>
      <c r="L311" t="str">
        <f>IF(StudentsTable[[#This Row],[AverageScore]]&gt;=60,"Pass","Fail")</f>
        <v>Fail</v>
      </c>
      <c r="M311" t="str" cm="1">
        <f t="array" ref="M311">_xlfn.IFS(StudentsTable[[#This Row],[AverageScore]]&gt;=85,"Advanced",StudentsTable[[#This Row],[AverageScore]]&gt;=70,"Intermediate",StudentsTable[[#This Row],[AverageScore]]&gt;=60,"Basic",TRUE,"Needs Help")</f>
        <v>Needs Help</v>
      </c>
      <c r="N311">
        <f>RANK(StudentsTable[[#This Row],[AverageScore]],StudentsTable[AverageScore])</f>
        <v>843</v>
      </c>
      <c r="O311">
        <f>(StudentsTable[[#This Row],[AverageScore]]-MIN(StudentsTable[AverageScore]))/(MAX(StudentsTable[AverageScore])-MIN(StudentsTable[AverageScore]))*100</f>
        <v>47.985347985347978</v>
      </c>
    </row>
    <row r="312" spans="1:15" x14ac:dyDescent="0.3">
      <c r="A312" t="s">
        <v>8</v>
      </c>
      <c r="B312" t="s">
        <v>9</v>
      </c>
      <c r="C312" t="s">
        <v>19</v>
      </c>
      <c r="D312" t="s">
        <v>11</v>
      </c>
      <c r="E312" t="s">
        <v>12</v>
      </c>
      <c r="F312">
        <v>73</v>
      </c>
      <c r="G312">
        <v>76</v>
      </c>
      <c r="H312">
        <v>80</v>
      </c>
      <c r="I312">
        <f>StudentsTable[[#This Row],[math score]]+StudentsTable[[#This Row],[reading score]]+StudentsTable[[#This Row],[writing score]]</f>
        <v>229</v>
      </c>
      <c r="J312">
        <f>StudentsTable[[#This Row],[TotalScore]]/3</f>
        <v>76.333333333333329</v>
      </c>
      <c r="K312" t="str" cm="1">
        <f t="array" ref="K312">_xlfn.IFS(StudentsTable[[#This Row],[AverageScore]]&gt;=90,"A",StudentsTable[[#This Row],[AverageScore]]&gt;=80,"B",StudentsTable[[#This Row],[AverageScore]]&gt;=70,"C",StudentsTable[[#This Row],[AverageScore]]&gt;=60,"D",TRUE,"F")</f>
        <v>C</v>
      </c>
      <c r="L312" t="str">
        <f>IF(StudentsTable[[#This Row],[AverageScore]]&gt;=60,"Pass","Fail")</f>
        <v>Pass</v>
      </c>
      <c r="M312" t="str" cm="1">
        <f t="array" ref="M312">_xlfn.IFS(StudentsTable[[#This Row],[AverageScore]]&gt;=85,"Advanced",StudentsTable[[#This Row],[AverageScore]]&gt;=70,"Intermediate",StudentsTable[[#This Row],[AverageScore]]&gt;=60,"Basic",TRUE,"Needs Help")</f>
        <v>Intermediate</v>
      </c>
      <c r="N312">
        <f>RANK(StudentsTable[[#This Row],[AverageScore]],StudentsTable[AverageScore])</f>
        <v>282</v>
      </c>
      <c r="O312">
        <f>(StudentsTable[[#This Row],[AverageScore]]-MIN(StudentsTable[AverageScore]))/(MAX(StudentsTable[AverageScore])-MIN(StudentsTable[AverageScore]))*100</f>
        <v>73.992673992673986</v>
      </c>
    </row>
    <row r="313" spans="1:15" x14ac:dyDescent="0.3">
      <c r="A313" t="s">
        <v>17</v>
      </c>
      <c r="B313" t="s">
        <v>9</v>
      </c>
      <c r="C313" t="s">
        <v>10</v>
      </c>
      <c r="D313" t="s">
        <v>11</v>
      </c>
      <c r="E313" t="s">
        <v>12</v>
      </c>
      <c r="F313">
        <v>66</v>
      </c>
      <c r="G313">
        <v>60</v>
      </c>
      <c r="H313">
        <v>57</v>
      </c>
      <c r="I313">
        <f>StudentsTable[[#This Row],[math score]]+StudentsTable[[#This Row],[reading score]]+StudentsTable[[#This Row],[writing score]]</f>
        <v>183</v>
      </c>
      <c r="J313">
        <f>StudentsTable[[#This Row],[TotalScore]]/3</f>
        <v>61</v>
      </c>
      <c r="K313" t="str" cm="1">
        <f t="array" ref="K313">_xlfn.IFS(StudentsTable[[#This Row],[AverageScore]]&gt;=90,"A",StudentsTable[[#This Row],[AverageScore]]&gt;=80,"B",StudentsTable[[#This Row],[AverageScore]]&gt;=70,"C",StudentsTable[[#This Row],[AverageScore]]&gt;=60,"D",TRUE,"F")</f>
        <v>D</v>
      </c>
      <c r="L313" t="str">
        <f>IF(StudentsTable[[#This Row],[AverageScore]]&gt;=60,"Pass","Fail")</f>
        <v>Pass</v>
      </c>
      <c r="M313" t="str" cm="1">
        <f t="array" ref="M313">_xlfn.IFS(StudentsTable[[#This Row],[AverageScore]]&gt;=85,"Advanced",StudentsTable[[#This Row],[AverageScore]]&gt;=70,"Intermediate",StudentsTable[[#This Row],[AverageScore]]&gt;=60,"Basic",TRUE,"Needs Help")</f>
        <v>Basic</v>
      </c>
      <c r="N313">
        <f>RANK(StudentsTable[[#This Row],[AverageScore]],StudentsTable[AverageScore])</f>
        <v>687</v>
      </c>
      <c r="O313">
        <f>(StudentsTable[[#This Row],[AverageScore]]-MIN(StudentsTable[AverageScore]))/(MAX(StudentsTable[AverageScore])-MIN(StudentsTable[AverageScore]))*100</f>
        <v>57.142857142857139</v>
      </c>
    </row>
    <row r="314" spans="1:15" x14ac:dyDescent="0.3">
      <c r="A314" t="s">
        <v>17</v>
      </c>
      <c r="B314" t="s">
        <v>21</v>
      </c>
      <c r="C314" t="s">
        <v>10</v>
      </c>
      <c r="D314" t="s">
        <v>11</v>
      </c>
      <c r="E314" t="s">
        <v>15</v>
      </c>
      <c r="F314">
        <v>67</v>
      </c>
      <c r="G314">
        <v>61</v>
      </c>
      <c r="H314">
        <v>68</v>
      </c>
      <c r="I314">
        <f>StudentsTable[[#This Row],[math score]]+StudentsTable[[#This Row],[reading score]]+StudentsTable[[#This Row],[writing score]]</f>
        <v>196</v>
      </c>
      <c r="J314">
        <f>StudentsTable[[#This Row],[TotalScore]]/3</f>
        <v>65.333333333333329</v>
      </c>
      <c r="K314" t="str" cm="1">
        <f t="array" ref="K314">_xlfn.IFS(StudentsTable[[#This Row],[AverageScore]]&gt;=90,"A",StudentsTable[[#This Row],[AverageScore]]&gt;=80,"B",StudentsTable[[#This Row],[AverageScore]]&gt;=70,"C",StudentsTable[[#This Row],[AverageScore]]&gt;=60,"D",TRUE,"F")</f>
        <v>D</v>
      </c>
      <c r="L314" t="str">
        <f>IF(StudentsTable[[#This Row],[AverageScore]]&gt;=60,"Pass","Fail")</f>
        <v>Pass</v>
      </c>
      <c r="M314" t="str" cm="1">
        <f t="array" ref="M314">_xlfn.IFS(StudentsTable[[#This Row],[AverageScore]]&gt;=85,"Advanced",StudentsTable[[#This Row],[AverageScore]]&gt;=70,"Intermediate",StudentsTable[[#This Row],[AverageScore]]&gt;=60,"Basic",TRUE,"Needs Help")</f>
        <v>Basic</v>
      </c>
      <c r="N314">
        <f>RANK(StudentsTable[[#This Row],[AverageScore]],StudentsTable[AverageScore])</f>
        <v>584</v>
      </c>
      <c r="O314">
        <f>(StudentsTable[[#This Row],[AverageScore]]-MIN(StudentsTable[AverageScore]))/(MAX(StudentsTable[AverageScore])-MIN(StudentsTable[AverageScore]))*100</f>
        <v>61.904761904761898</v>
      </c>
    </row>
    <row r="315" spans="1:15" x14ac:dyDescent="0.3">
      <c r="A315" t="s">
        <v>8</v>
      </c>
      <c r="B315" t="s">
        <v>13</v>
      </c>
      <c r="C315" t="s">
        <v>19</v>
      </c>
      <c r="D315" t="s">
        <v>20</v>
      </c>
      <c r="E315" t="s">
        <v>15</v>
      </c>
      <c r="F315">
        <v>68</v>
      </c>
      <c r="G315">
        <v>67</v>
      </c>
      <c r="H315">
        <v>69</v>
      </c>
      <c r="I315">
        <f>StudentsTable[[#This Row],[math score]]+StudentsTable[[#This Row],[reading score]]+StudentsTable[[#This Row],[writing score]]</f>
        <v>204</v>
      </c>
      <c r="J315">
        <f>StudentsTable[[#This Row],[TotalScore]]/3</f>
        <v>68</v>
      </c>
      <c r="K315" t="str" cm="1">
        <f t="array" ref="K315">_xlfn.IFS(StudentsTable[[#This Row],[AverageScore]]&gt;=90,"A",StudentsTable[[#This Row],[AverageScore]]&gt;=80,"B",StudentsTable[[#This Row],[AverageScore]]&gt;=70,"C",StudentsTable[[#This Row],[AverageScore]]&gt;=60,"D",TRUE,"F")</f>
        <v>D</v>
      </c>
      <c r="L315" t="str">
        <f>IF(StudentsTable[[#This Row],[AverageScore]]&gt;=60,"Pass","Fail")</f>
        <v>Pass</v>
      </c>
      <c r="M315" t="str" cm="1">
        <f t="array" ref="M315">_xlfn.IFS(StudentsTable[[#This Row],[AverageScore]]&gt;=85,"Advanced",StudentsTable[[#This Row],[AverageScore]]&gt;=70,"Intermediate",StudentsTable[[#This Row],[AverageScore]]&gt;=60,"Basic",TRUE,"Needs Help")</f>
        <v>Basic</v>
      </c>
      <c r="N315">
        <f>RANK(StudentsTable[[#This Row],[AverageScore]],StudentsTable[AverageScore])</f>
        <v>512</v>
      </c>
      <c r="O315">
        <f>(StudentsTable[[#This Row],[AverageScore]]-MIN(StudentsTable[AverageScore]))/(MAX(StudentsTable[AverageScore])-MIN(StudentsTable[AverageScore]))*100</f>
        <v>64.835164835164832</v>
      </c>
    </row>
    <row r="316" spans="1:15" x14ac:dyDescent="0.3">
      <c r="A316" t="s">
        <v>8</v>
      </c>
      <c r="B316" t="s">
        <v>13</v>
      </c>
      <c r="C316" t="s">
        <v>10</v>
      </c>
      <c r="D316" t="s">
        <v>11</v>
      </c>
      <c r="E316" t="s">
        <v>15</v>
      </c>
      <c r="F316">
        <v>59</v>
      </c>
      <c r="G316">
        <v>64</v>
      </c>
      <c r="H316">
        <v>75</v>
      </c>
      <c r="I316">
        <f>StudentsTable[[#This Row],[math score]]+StudentsTable[[#This Row],[reading score]]+StudentsTable[[#This Row],[writing score]]</f>
        <v>198</v>
      </c>
      <c r="J316">
        <f>StudentsTable[[#This Row],[TotalScore]]/3</f>
        <v>66</v>
      </c>
      <c r="K316" t="str" cm="1">
        <f t="array" ref="K316">_xlfn.IFS(StudentsTable[[#This Row],[AverageScore]]&gt;=90,"A",StudentsTable[[#This Row],[AverageScore]]&gt;=80,"B",StudentsTable[[#This Row],[AverageScore]]&gt;=70,"C",StudentsTable[[#This Row],[AverageScore]]&gt;=60,"D",TRUE,"F")</f>
        <v>D</v>
      </c>
      <c r="L316" t="str">
        <f>IF(StudentsTable[[#This Row],[AverageScore]]&gt;=60,"Pass","Fail")</f>
        <v>Pass</v>
      </c>
      <c r="M316" t="str" cm="1">
        <f t="array" ref="M316">_xlfn.IFS(StudentsTable[[#This Row],[AverageScore]]&gt;=85,"Advanced",StudentsTable[[#This Row],[AverageScore]]&gt;=70,"Intermediate",StudentsTable[[#This Row],[AverageScore]]&gt;=60,"Basic",TRUE,"Needs Help")</f>
        <v>Basic</v>
      </c>
      <c r="N316">
        <f>RANK(StudentsTable[[#This Row],[AverageScore]],StudentsTable[AverageScore])</f>
        <v>562</v>
      </c>
      <c r="O316">
        <f>(StudentsTable[[#This Row],[AverageScore]]-MIN(StudentsTable[AverageScore]))/(MAX(StudentsTable[AverageScore])-MIN(StudentsTable[AverageScore]))*100</f>
        <v>62.637362637362635</v>
      </c>
    </row>
    <row r="317" spans="1:15" x14ac:dyDescent="0.3">
      <c r="A317" t="s">
        <v>17</v>
      </c>
      <c r="B317" t="s">
        <v>13</v>
      </c>
      <c r="C317" t="s">
        <v>22</v>
      </c>
      <c r="D317" t="s">
        <v>11</v>
      </c>
      <c r="E317" t="s">
        <v>12</v>
      </c>
      <c r="F317">
        <v>71</v>
      </c>
      <c r="G317">
        <v>66</v>
      </c>
      <c r="H317">
        <v>65</v>
      </c>
      <c r="I317">
        <f>StudentsTable[[#This Row],[math score]]+StudentsTable[[#This Row],[reading score]]+StudentsTable[[#This Row],[writing score]]</f>
        <v>202</v>
      </c>
      <c r="J317">
        <f>StudentsTable[[#This Row],[TotalScore]]/3</f>
        <v>67.333333333333329</v>
      </c>
      <c r="K317" t="str" cm="1">
        <f t="array" ref="K317">_xlfn.IFS(StudentsTable[[#This Row],[AverageScore]]&gt;=90,"A",StudentsTable[[#This Row],[AverageScore]]&gt;=80,"B",StudentsTable[[#This Row],[AverageScore]]&gt;=70,"C",StudentsTable[[#This Row],[AverageScore]]&gt;=60,"D",TRUE,"F")</f>
        <v>D</v>
      </c>
      <c r="L317" t="str">
        <f>IF(StudentsTable[[#This Row],[AverageScore]]&gt;=60,"Pass","Fail")</f>
        <v>Pass</v>
      </c>
      <c r="M317" t="str" cm="1">
        <f t="array" ref="M317">_xlfn.IFS(StudentsTable[[#This Row],[AverageScore]]&gt;=85,"Advanced",StudentsTable[[#This Row],[AverageScore]]&gt;=70,"Intermediate",StudentsTable[[#This Row],[AverageScore]]&gt;=60,"Basic",TRUE,"Needs Help")</f>
        <v>Basic</v>
      </c>
      <c r="N317">
        <f>RANK(StudentsTable[[#This Row],[AverageScore]],StudentsTable[AverageScore])</f>
        <v>534</v>
      </c>
      <c r="O317">
        <f>(StudentsTable[[#This Row],[AverageScore]]-MIN(StudentsTable[AverageScore]))/(MAX(StudentsTable[AverageScore])-MIN(StudentsTable[AverageScore]))*100</f>
        <v>64.102564102564102</v>
      </c>
    </row>
    <row r="318" spans="1:15" x14ac:dyDescent="0.3">
      <c r="A318" t="s">
        <v>8</v>
      </c>
      <c r="B318" t="s">
        <v>21</v>
      </c>
      <c r="C318" t="s">
        <v>16</v>
      </c>
      <c r="D318" t="s">
        <v>11</v>
      </c>
      <c r="E318" t="s">
        <v>15</v>
      </c>
      <c r="F318">
        <v>77</v>
      </c>
      <c r="G318">
        <v>82</v>
      </c>
      <c r="H318">
        <v>91</v>
      </c>
      <c r="I318">
        <f>StudentsTable[[#This Row],[math score]]+StudentsTable[[#This Row],[reading score]]+StudentsTable[[#This Row],[writing score]]</f>
        <v>250</v>
      </c>
      <c r="J318">
        <f>StudentsTable[[#This Row],[TotalScore]]/3</f>
        <v>83.333333333333329</v>
      </c>
      <c r="K318" t="str" cm="1">
        <f t="array" ref="K318">_xlfn.IFS(StudentsTable[[#This Row],[AverageScore]]&gt;=90,"A",StudentsTable[[#This Row],[AverageScore]]&gt;=80,"B",StudentsTable[[#This Row],[AverageScore]]&gt;=70,"C",StudentsTable[[#This Row],[AverageScore]]&gt;=60,"D",TRUE,"F")</f>
        <v>B</v>
      </c>
      <c r="L318" t="str">
        <f>IF(StudentsTable[[#This Row],[AverageScore]]&gt;=60,"Pass","Fail")</f>
        <v>Pass</v>
      </c>
      <c r="M318" t="str" cm="1">
        <f t="array" ref="M318">_xlfn.IFS(StudentsTable[[#This Row],[AverageScore]]&gt;=85,"Advanced",StudentsTable[[#This Row],[AverageScore]]&gt;=70,"Intermediate",StudentsTable[[#This Row],[AverageScore]]&gt;=60,"Basic",TRUE,"Needs Help")</f>
        <v>Intermediate</v>
      </c>
      <c r="N318">
        <f>RANK(StudentsTable[[#This Row],[AverageScore]],StudentsTable[AverageScore])</f>
        <v>135</v>
      </c>
      <c r="O318">
        <f>(StudentsTable[[#This Row],[AverageScore]]-MIN(StudentsTable[AverageScore]))/(MAX(StudentsTable[AverageScore])-MIN(StudentsTable[AverageScore]))*100</f>
        <v>81.684981684981679</v>
      </c>
    </row>
    <row r="319" spans="1:15" x14ac:dyDescent="0.3">
      <c r="A319" t="s">
        <v>17</v>
      </c>
      <c r="B319" t="s">
        <v>13</v>
      </c>
      <c r="C319" t="s">
        <v>19</v>
      </c>
      <c r="D319" t="s">
        <v>11</v>
      </c>
      <c r="E319" t="s">
        <v>12</v>
      </c>
      <c r="F319">
        <v>83</v>
      </c>
      <c r="G319">
        <v>72</v>
      </c>
      <c r="H319">
        <v>78</v>
      </c>
      <c r="I319">
        <f>StudentsTable[[#This Row],[math score]]+StudentsTable[[#This Row],[reading score]]+StudentsTable[[#This Row],[writing score]]</f>
        <v>233</v>
      </c>
      <c r="J319">
        <f>StudentsTable[[#This Row],[TotalScore]]/3</f>
        <v>77.666666666666671</v>
      </c>
      <c r="K319" t="str" cm="1">
        <f t="array" ref="K319">_xlfn.IFS(StudentsTable[[#This Row],[AverageScore]]&gt;=90,"A",StudentsTable[[#This Row],[AverageScore]]&gt;=80,"B",StudentsTable[[#This Row],[AverageScore]]&gt;=70,"C",StudentsTable[[#This Row],[AverageScore]]&gt;=60,"D",TRUE,"F")</f>
        <v>C</v>
      </c>
      <c r="L319" t="str">
        <f>IF(StudentsTable[[#This Row],[AverageScore]]&gt;=60,"Pass","Fail")</f>
        <v>Pass</v>
      </c>
      <c r="M319" t="str" cm="1">
        <f t="array" ref="M319">_xlfn.IFS(StudentsTable[[#This Row],[AverageScore]]&gt;=85,"Advanced",StudentsTable[[#This Row],[AverageScore]]&gt;=70,"Intermediate",StudentsTable[[#This Row],[AverageScore]]&gt;=60,"Basic",TRUE,"Needs Help")</f>
        <v>Intermediate</v>
      </c>
      <c r="N319">
        <f>RANK(StudentsTable[[#This Row],[AverageScore]],StudentsTable[AverageScore])</f>
        <v>250</v>
      </c>
      <c r="O319">
        <f>(StudentsTable[[#This Row],[AverageScore]]-MIN(StudentsTable[AverageScore]))/(MAX(StudentsTable[AverageScore])-MIN(StudentsTable[AverageScore]))*100</f>
        <v>75.457875457875474</v>
      </c>
    </row>
    <row r="320" spans="1:15" x14ac:dyDescent="0.3">
      <c r="A320" t="s">
        <v>17</v>
      </c>
      <c r="B320" t="s">
        <v>9</v>
      </c>
      <c r="C320" t="s">
        <v>10</v>
      </c>
      <c r="D320" t="s">
        <v>11</v>
      </c>
      <c r="E320" t="s">
        <v>12</v>
      </c>
      <c r="F320">
        <v>63</v>
      </c>
      <c r="G320">
        <v>71</v>
      </c>
      <c r="H320">
        <v>69</v>
      </c>
      <c r="I320">
        <f>StudentsTable[[#This Row],[math score]]+StudentsTable[[#This Row],[reading score]]+StudentsTable[[#This Row],[writing score]]</f>
        <v>203</v>
      </c>
      <c r="J320">
        <f>StudentsTable[[#This Row],[TotalScore]]/3</f>
        <v>67.666666666666671</v>
      </c>
      <c r="K320" t="str" cm="1">
        <f t="array" ref="K320">_xlfn.IFS(StudentsTable[[#This Row],[AverageScore]]&gt;=90,"A",StudentsTable[[#This Row],[AverageScore]]&gt;=80,"B",StudentsTable[[#This Row],[AverageScore]]&gt;=70,"C",StudentsTable[[#This Row],[AverageScore]]&gt;=60,"D",TRUE,"F")</f>
        <v>D</v>
      </c>
      <c r="L320" t="str">
        <f>IF(StudentsTable[[#This Row],[AverageScore]]&gt;=60,"Pass","Fail")</f>
        <v>Pass</v>
      </c>
      <c r="M320" t="str" cm="1">
        <f t="array" ref="M320">_xlfn.IFS(StudentsTable[[#This Row],[AverageScore]]&gt;=85,"Advanced",StudentsTable[[#This Row],[AverageScore]]&gt;=70,"Intermediate",StudentsTable[[#This Row],[AverageScore]]&gt;=60,"Basic",TRUE,"Needs Help")</f>
        <v>Basic</v>
      </c>
      <c r="N320">
        <f>RANK(StudentsTable[[#This Row],[AverageScore]],StudentsTable[AverageScore])</f>
        <v>527</v>
      </c>
      <c r="O320">
        <f>(StudentsTable[[#This Row],[AverageScore]]-MIN(StudentsTable[AverageScore]))/(MAX(StudentsTable[AverageScore])-MIN(StudentsTable[AverageScore]))*100</f>
        <v>64.468864468864467</v>
      </c>
    </row>
    <row r="321" spans="1:15" x14ac:dyDescent="0.3">
      <c r="A321" t="s">
        <v>8</v>
      </c>
      <c r="B321" t="s">
        <v>21</v>
      </c>
      <c r="C321" t="s">
        <v>19</v>
      </c>
      <c r="D321" t="s">
        <v>20</v>
      </c>
      <c r="E321" t="s">
        <v>12</v>
      </c>
      <c r="F321">
        <v>56</v>
      </c>
      <c r="G321">
        <v>65</v>
      </c>
      <c r="H321">
        <v>63</v>
      </c>
      <c r="I321">
        <f>StudentsTable[[#This Row],[math score]]+StudentsTable[[#This Row],[reading score]]+StudentsTable[[#This Row],[writing score]]</f>
        <v>184</v>
      </c>
      <c r="J321">
        <f>StudentsTable[[#This Row],[TotalScore]]/3</f>
        <v>61.333333333333336</v>
      </c>
      <c r="K321" t="str" cm="1">
        <f t="array" ref="K321">_xlfn.IFS(StudentsTable[[#This Row],[AverageScore]]&gt;=90,"A",StudentsTable[[#This Row],[AverageScore]]&gt;=80,"B",StudentsTable[[#This Row],[AverageScore]]&gt;=70,"C",StudentsTable[[#This Row],[AverageScore]]&gt;=60,"D",TRUE,"F")</f>
        <v>D</v>
      </c>
      <c r="L321" t="str">
        <f>IF(StudentsTable[[#This Row],[AverageScore]]&gt;=60,"Pass","Fail")</f>
        <v>Pass</v>
      </c>
      <c r="M321" t="str" cm="1">
        <f t="array" ref="M321">_xlfn.IFS(StudentsTable[[#This Row],[AverageScore]]&gt;=85,"Advanced",StudentsTable[[#This Row],[AverageScore]]&gt;=70,"Intermediate",StudentsTable[[#This Row],[AverageScore]]&gt;=60,"Basic",TRUE,"Needs Help")</f>
        <v>Basic</v>
      </c>
      <c r="N321">
        <f>RANK(StudentsTable[[#This Row],[AverageScore]],StudentsTable[AverageScore])</f>
        <v>678</v>
      </c>
      <c r="O321">
        <f>(StudentsTable[[#This Row],[AverageScore]]-MIN(StudentsTable[AverageScore]))/(MAX(StudentsTable[AverageScore])-MIN(StudentsTable[AverageScore]))*100</f>
        <v>57.509157509157518</v>
      </c>
    </row>
    <row r="322" spans="1:15" x14ac:dyDescent="0.3">
      <c r="A322" t="s">
        <v>8</v>
      </c>
      <c r="B322" t="s">
        <v>13</v>
      </c>
      <c r="C322" t="s">
        <v>22</v>
      </c>
      <c r="D322" t="s">
        <v>20</v>
      </c>
      <c r="E322" t="s">
        <v>15</v>
      </c>
      <c r="F322">
        <v>67</v>
      </c>
      <c r="G322">
        <v>79</v>
      </c>
      <c r="H322">
        <v>84</v>
      </c>
      <c r="I322">
        <f>StudentsTable[[#This Row],[math score]]+StudentsTable[[#This Row],[reading score]]+StudentsTable[[#This Row],[writing score]]</f>
        <v>230</v>
      </c>
      <c r="J322">
        <f>StudentsTable[[#This Row],[TotalScore]]/3</f>
        <v>76.666666666666671</v>
      </c>
      <c r="K322" t="str" cm="1">
        <f t="array" ref="K322">_xlfn.IFS(StudentsTable[[#This Row],[AverageScore]]&gt;=90,"A",StudentsTable[[#This Row],[AverageScore]]&gt;=80,"B",StudentsTable[[#This Row],[AverageScore]]&gt;=70,"C",StudentsTable[[#This Row],[AverageScore]]&gt;=60,"D",TRUE,"F")</f>
        <v>C</v>
      </c>
      <c r="L322" t="str">
        <f>IF(StudentsTable[[#This Row],[AverageScore]]&gt;=60,"Pass","Fail")</f>
        <v>Pass</v>
      </c>
      <c r="M322" t="str" cm="1">
        <f t="array" ref="M322">_xlfn.IFS(StudentsTable[[#This Row],[AverageScore]]&gt;=85,"Advanced",StudentsTable[[#This Row],[AverageScore]]&gt;=70,"Intermediate",StudentsTable[[#This Row],[AverageScore]]&gt;=60,"Basic",TRUE,"Needs Help")</f>
        <v>Intermediate</v>
      </c>
      <c r="N322">
        <f>RANK(StudentsTable[[#This Row],[AverageScore]],StudentsTable[AverageScore])</f>
        <v>277</v>
      </c>
      <c r="O322">
        <f>(StudentsTable[[#This Row],[AverageScore]]-MIN(StudentsTable[AverageScore]))/(MAX(StudentsTable[AverageScore])-MIN(StudentsTable[AverageScore]))*100</f>
        <v>74.358974358974365</v>
      </c>
    </row>
    <row r="323" spans="1:15" x14ac:dyDescent="0.3">
      <c r="A323" t="s">
        <v>8</v>
      </c>
      <c r="B323" t="s">
        <v>24</v>
      </c>
      <c r="C323" t="s">
        <v>22</v>
      </c>
      <c r="D323" t="s">
        <v>11</v>
      </c>
      <c r="E323" t="s">
        <v>12</v>
      </c>
      <c r="F323">
        <v>75</v>
      </c>
      <c r="G323">
        <v>86</v>
      </c>
      <c r="H323">
        <v>79</v>
      </c>
      <c r="I323">
        <f>StudentsTable[[#This Row],[math score]]+StudentsTable[[#This Row],[reading score]]+StudentsTable[[#This Row],[writing score]]</f>
        <v>240</v>
      </c>
      <c r="J323">
        <f>StudentsTable[[#This Row],[TotalScore]]/3</f>
        <v>80</v>
      </c>
      <c r="K323" t="str" cm="1">
        <f t="array" ref="K323">_xlfn.IFS(StudentsTable[[#This Row],[AverageScore]]&gt;=90,"A",StudentsTable[[#This Row],[AverageScore]]&gt;=80,"B",StudentsTable[[#This Row],[AverageScore]]&gt;=70,"C",StudentsTable[[#This Row],[AverageScore]]&gt;=60,"D",TRUE,"F")</f>
        <v>B</v>
      </c>
      <c r="L323" t="str">
        <f>IF(StudentsTable[[#This Row],[AverageScore]]&gt;=60,"Pass","Fail")</f>
        <v>Pass</v>
      </c>
      <c r="M323" t="str" cm="1">
        <f t="array" ref="M323">_xlfn.IFS(StudentsTable[[#This Row],[AverageScore]]&gt;=85,"Advanced",StudentsTable[[#This Row],[AverageScore]]&gt;=70,"Intermediate",StudentsTable[[#This Row],[AverageScore]]&gt;=60,"Basic",TRUE,"Needs Help")</f>
        <v>Intermediate</v>
      </c>
      <c r="N323">
        <f>RANK(StudentsTable[[#This Row],[AverageScore]],StudentsTable[AverageScore])</f>
        <v>195</v>
      </c>
      <c r="O323">
        <f>(StudentsTable[[#This Row],[AverageScore]]-MIN(StudentsTable[AverageScore]))/(MAX(StudentsTable[AverageScore])-MIN(StudentsTable[AverageScore]))*100</f>
        <v>78.021978021978029</v>
      </c>
    </row>
    <row r="324" spans="1:15" x14ac:dyDescent="0.3">
      <c r="A324" t="s">
        <v>8</v>
      </c>
      <c r="B324" t="s">
        <v>13</v>
      </c>
      <c r="C324" t="s">
        <v>14</v>
      </c>
      <c r="D324" t="s">
        <v>11</v>
      </c>
      <c r="E324" t="s">
        <v>12</v>
      </c>
      <c r="F324">
        <v>71</v>
      </c>
      <c r="G324">
        <v>81</v>
      </c>
      <c r="H324">
        <v>80</v>
      </c>
      <c r="I324">
        <f>StudentsTable[[#This Row],[math score]]+StudentsTable[[#This Row],[reading score]]+StudentsTable[[#This Row],[writing score]]</f>
        <v>232</v>
      </c>
      <c r="J324">
        <f>StudentsTable[[#This Row],[TotalScore]]/3</f>
        <v>77.333333333333329</v>
      </c>
      <c r="K324" t="str" cm="1">
        <f t="array" ref="K324">_xlfn.IFS(StudentsTable[[#This Row],[AverageScore]]&gt;=90,"A",StudentsTable[[#This Row],[AverageScore]]&gt;=80,"B",StudentsTable[[#This Row],[AverageScore]]&gt;=70,"C",StudentsTable[[#This Row],[AverageScore]]&gt;=60,"D",TRUE,"F")</f>
        <v>C</v>
      </c>
      <c r="L324" t="str">
        <f>IF(StudentsTable[[#This Row],[AverageScore]]&gt;=60,"Pass","Fail")</f>
        <v>Pass</v>
      </c>
      <c r="M324" t="str" cm="1">
        <f t="array" ref="M324">_xlfn.IFS(StudentsTable[[#This Row],[AverageScore]]&gt;=85,"Advanced",StudentsTable[[#This Row],[AverageScore]]&gt;=70,"Intermediate",StudentsTable[[#This Row],[AverageScore]]&gt;=60,"Basic",TRUE,"Needs Help")</f>
        <v>Intermediate</v>
      </c>
      <c r="N324">
        <f>RANK(StudentsTable[[#This Row],[AverageScore]],StudentsTable[AverageScore])</f>
        <v>255</v>
      </c>
      <c r="O324">
        <f>(StudentsTable[[#This Row],[AverageScore]]-MIN(StudentsTable[AverageScore]))/(MAX(StudentsTable[AverageScore])-MIN(StudentsTable[AverageScore]))*100</f>
        <v>75.091575091575095</v>
      </c>
    </row>
    <row r="325" spans="1:15" x14ac:dyDescent="0.3">
      <c r="A325" t="s">
        <v>8</v>
      </c>
      <c r="B325" t="s">
        <v>13</v>
      </c>
      <c r="C325" t="s">
        <v>23</v>
      </c>
      <c r="D325" t="s">
        <v>20</v>
      </c>
      <c r="E325" t="s">
        <v>12</v>
      </c>
      <c r="F325">
        <v>43</v>
      </c>
      <c r="G325">
        <v>53</v>
      </c>
      <c r="H325">
        <v>53</v>
      </c>
      <c r="I325">
        <f>StudentsTable[[#This Row],[math score]]+StudentsTable[[#This Row],[reading score]]+StudentsTable[[#This Row],[writing score]]</f>
        <v>149</v>
      </c>
      <c r="J325">
        <f>StudentsTable[[#This Row],[TotalScore]]/3</f>
        <v>49.666666666666664</v>
      </c>
      <c r="K325" t="str" cm="1">
        <f t="array" ref="K325">_xlfn.IFS(StudentsTable[[#This Row],[AverageScore]]&gt;=90,"A",StudentsTable[[#This Row],[AverageScore]]&gt;=80,"B",StudentsTable[[#This Row],[AverageScore]]&gt;=70,"C",StudentsTable[[#This Row],[AverageScore]]&gt;=60,"D",TRUE,"F")</f>
        <v>F</v>
      </c>
      <c r="L325" t="str">
        <f>IF(StudentsTable[[#This Row],[AverageScore]]&gt;=60,"Pass","Fail")</f>
        <v>Fail</v>
      </c>
      <c r="M325" t="str" cm="1">
        <f t="array" ref="M325">_xlfn.IFS(StudentsTable[[#This Row],[AverageScore]]&gt;=85,"Advanced",StudentsTable[[#This Row],[AverageScore]]&gt;=70,"Intermediate",StudentsTable[[#This Row],[AverageScore]]&gt;=60,"Basic",TRUE,"Needs Help")</f>
        <v>Needs Help</v>
      </c>
      <c r="N325">
        <f>RANK(StudentsTable[[#This Row],[AverageScore]],StudentsTable[AverageScore])</f>
        <v>898</v>
      </c>
      <c r="O325">
        <f>(StudentsTable[[#This Row],[AverageScore]]-MIN(StudentsTable[AverageScore]))/(MAX(StudentsTable[AverageScore])-MIN(StudentsTable[AverageScore]))*100</f>
        <v>44.688644688644686</v>
      </c>
    </row>
    <row r="326" spans="1:15" x14ac:dyDescent="0.3">
      <c r="A326" t="s">
        <v>8</v>
      </c>
      <c r="B326" t="s">
        <v>13</v>
      </c>
      <c r="C326" t="s">
        <v>22</v>
      </c>
      <c r="D326" t="s">
        <v>20</v>
      </c>
      <c r="E326" t="s">
        <v>12</v>
      </c>
      <c r="F326">
        <v>41</v>
      </c>
      <c r="G326">
        <v>46</v>
      </c>
      <c r="H326">
        <v>43</v>
      </c>
      <c r="I326">
        <f>StudentsTable[[#This Row],[math score]]+StudentsTable[[#This Row],[reading score]]+StudentsTable[[#This Row],[writing score]]</f>
        <v>130</v>
      </c>
      <c r="J326">
        <f>StudentsTable[[#This Row],[TotalScore]]/3</f>
        <v>43.333333333333336</v>
      </c>
      <c r="K326" t="str" cm="1">
        <f t="array" ref="K326">_xlfn.IFS(StudentsTable[[#This Row],[AverageScore]]&gt;=90,"A",StudentsTable[[#This Row],[AverageScore]]&gt;=80,"B",StudentsTable[[#This Row],[AverageScore]]&gt;=70,"C",StudentsTable[[#This Row],[AverageScore]]&gt;=60,"D",TRUE,"F")</f>
        <v>F</v>
      </c>
      <c r="L326" t="str">
        <f>IF(StudentsTable[[#This Row],[AverageScore]]&gt;=60,"Pass","Fail")</f>
        <v>Fail</v>
      </c>
      <c r="M326" t="str" cm="1">
        <f t="array" ref="M326">_xlfn.IFS(StudentsTable[[#This Row],[AverageScore]]&gt;=85,"Advanced",StudentsTable[[#This Row],[AverageScore]]&gt;=70,"Intermediate",StudentsTable[[#This Row],[AverageScore]]&gt;=60,"Basic",TRUE,"Needs Help")</f>
        <v>Needs Help</v>
      </c>
      <c r="N326">
        <f>RANK(StudentsTable[[#This Row],[AverageScore]],StudentsTable[AverageScore])</f>
        <v>956</v>
      </c>
      <c r="O326">
        <f>(StudentsTable[[#This Row],[AverageScore]]-MIN(StudentsTable[AverageScore]))/(MAX(StudentsTable[AverageScore])-MIN(StudentsTable[AverageScore]))*100</f>
        <v>37.728937728937737</v>
      </c>
    </row>
    <row r="327" spans="1:15" x14ac:dyDescent="0.3">
      <c r="A327" t="s">
        <v>8</v>
      </c>
      <c r="B327" t="s">
        <v>13</v>
      </c>
      <c r="C327" t="s">
        <v>14</v>
      </c>
      <c r="D327" t="s">
        <v>11</v>
      </c>
      <c r="E327" t="s">
        <v>12</v>
      </c>
      <c r="F327">
        <v>82</v>
      </c>
      <c r="G327">
        <v>90</v>
      </c>
      <c r="H327">
        <v>94</v>
      </c>
      <c r="I327">
        <f>StudentsTable[[#This Row],[math score]]+StudentsTable[[#This Row],[reading score]]+StudentsTable[[#This Row],[writing score]]</f>
        <v>266</v>
      </c>
      <c r="J327">
        <f>StudentsTable[[#This Row],[TotalScore]]/3</f>
        <v>88.666666666666671</v>
      </c>
      <c r="K327" t="str" cm="1">
        <f t="array" ref="K327">_xlfn.IFS(StudentsTable[[#This Row],[AverageScore]]&gt;=90,"A",StudentsTable[[#This Row],[AverageScore]]&gt;=80,"B",StudentsTable[[#This Row],[AverageScore]]&gt;=70,"C",StudentsTable[[#This Row],[AverageScore]]&gt;=60,"D",TRUE,"F")</f>
        <v>B</v>
      </c>
      <c r="L327" t="str">
        <f>IF(StudentsTable[[#This Row],[AverageScore]]&gt;=60,"Pass","Fail")</f>
        <v>Pass</v>
      </c>
      <c r="M327" t="str" cm="1">
        <f t="array" ref="M327">_xlfn.IFS(StudentsTable[[#This Row],[AverageScore]]&gt;=85,"Advanced",StudentsTable[[#This Row],[AverageScore]]&gt;=70,"Intermediate",StudentsTable[[#This Row],[AverageScore]]&gt;=60,"Basic",TRUE,"Needs Help")</f>
        <v>Advanced</v>
      </c>
      <c r="N327">
        <f>RANK(StudentsTable[[#This Row],[AverageScore]],StudentsTable[AverageScore])</f>
        <v>64</v>
      </c>
      <c r="O327">
        <f>(StudentsTable[[#This Row],[AverageScore]]-MIN(StudentsTable[AverageScore]))/(MAX(StudentsTable[AverageScore])-MIN(StudentsTable[AverageScore]))*100</f>
        <v>87.545787545787547</v>
      </c>
    </row>
    <row r="328" spans="1:15" x14ac:dyDescent="0.3">
      <c r="A328" t="s">
        <v>17</v>
      </c>
      <c r="B328" t="s">
        <v>13</v>
      </c>
      <c r="C328" t="s">
        <v>14</v>
      </c>
      <c r="D328" t="s">
        <v>11</v>
      </c>
      <c r="E328" t="s">
        <v>12</v>
      </c>
      <c r="F328">
        <v>61</v>
      </c>
      <c r="G328">
        <v>61</v>
      </c>
      <c r="H328">
        <v>62</v>
      </c>
      <c r="I328">
        <f>StudentsTable[[#This Row],[math score]]+StudentsTable[[#This Row],[reading score]]+StudentsTable[[#This Row],[writing score]]</f>
        <v>184</v>
      </c>
      <c r="J328">
        <f>StudentsTable[[#This Row],[TotalScore]]/3</f>
        <v>61.333333333333336</v>
      </c>
      <c r="K328" t="str" cm="1">
        <f t="array" ref="K328">_xlfn.IFS(StudentsTable[[#This Row],[AverageScore]]&gt;=90,"A",StudentsTable[[#This Row],[AverageScore]]&gt;=80,"B",StudentsTable[[#This Row],[AverageScore]]&gt;=70,"C",StudentsTable[[#This Row],[AverageScore]]&gt;=60,"D",TRUE,"F")</f>
        <v>D</v>
      </c>
      <c r="L328" t="str">
        <f>IF(StudentsTable[[#This Row],[AverageScore]]&gt;=60,"Pass","Fail")</f>
        <v>Pass</v>
      </c>
      <c r="M328" t="str" cm="1">
        <f t="array" ref="M328">_xlfn.IFS(StudentsTable[[#This Row],[AverageScore]]&gt;=85,"Advanced",StudentsTable[[#This Row],[AverageScore]]&gt;=70,"Intermediate",StudentsTable[[#This Row],[AverageScore]]&gt;=60,"Basic",TRUE,"Needs Help")</f>
        <v>Basic</v>
      </c>
      <c r="N328">
        <f>RANK(StudentsTable[[#This Row],[AverageScore]],StudentsTable[AverageScore])</f>
        <v>678</v>
      </c>
      <c r="O328">
        <f>(StudentsTable[[#This Row],[AverageScore]]-MIN(StudentsTable[AverageScore]))/(MAX(StudentsTable[AverageScore])-MIN(StudentsTable[AverageScore]))*100</f>
        <v>57.509157509157518</v>
      </c>
    </row>
    <row r="329" spans="1:15" x14ac:dyDescent="0.3">
      <c r="A329" t="s">
        <v>17</v>
      </c>
      <c r="B329" t="s">
        <v>18</v>
      </c>
      <c r="C329" t="s">
        <v>14</v>
      </c>
      <c r="D329" t="s">
        <v>20</v>
      </c>
      <c r="E329" t="s">
        <v>12</v>
      </c>
      <c r="F329">
        <v>28</v>
      </c>
      <c r="G329">
        <v>23</v>
      </c>
      <c r="H329">
        <v>19</v>
      </c>
      <c r="I329">
        <f>StudentsTable[[#This Row],[math score]]+StudentsTable[[#This Row],[reading score]]+StudentsTable[[#This Row],[writing score]]</f>
        <v>70</v>
      </c>
      <c r="J329">
        <f>StudentsTable[[#This Row],[TotalScore]]/3</f>
        <v>23.333333333333332</v>
      </c>
      <c r="K329" t="str" cm="1">
        <f t="array" ref="K329">_xlfn.IFS(StudentsTable[[#This Row],[AverageScore]]&gt;=90,"A",StudentsTable[[#This Row],[AverageScore]]&gt;=80,"B",StudentsTable[[#This Row],[AverageScore]]&gt;=70,"C",StudentsTable[[#This Row],[AverageScore]]&gt;=60,"D",TRUE,"F")</f>
        <v>F</v>
      </c>
      <c r="L329" t="str">
        <f>IF(StudentsTable[[#This Row],[AverageScore]]&gt;=60,"Pass","Fail")</f>
        <v>Fail</v>
      </c>
      <c r="M329" t="str" cm="1">
        <f t="array" ref="M329">_xlfn.IFS(StudentsTable[[#This Row],[AverageScore]]&gt;=85,"Advanced",StudentsTable[[#This Row],[AverageScore]]&gt;=70,"Intermediate",StudentsTable[[#This Row],[AverageScore]]&gt;=60,"Basic",TRUE,"Needs Help")</f>
        <v>Needs Help</v>
      </c>
      <c r="N329">
        <f>RANK(StudentsTable[[#This Row],[AverageScore]],StudentsTable[AverageScore])</f>
        <v>997</v>
      </c>
      <c r="O329">
        <f>(StudentsTable[[#This Row],[AverageScore]]-MIN(StudentsTable[AverageScore]))/(MAX(StudentsTable[AverageScore])-MIN(StudentsTable[AverageScore]))*100</f>
        <v>15.75091575091575</v>
      </c>
    </row>
    <row r="330" spans="1:15" x14ac:dyDescent="0.3">
      <c r="A330" t="s">
        <v>17</v>
      </c>
      <c r="B330" t="s">
        <v>13</v>
      </c>
      <c r="C330" t="s">
        <v>19</v>
      </c>
      <c r="D330" t="s">
        <v>11</v>
      </c>
      <c r="E330" t="s">
        <v>15</v>
      </c>
      <c r="F330">
        <v>82</v>
      </c>
      <c r="G330">
        <v>75</v>
      </c>
      <c r="H330">
        <v>77</v>
      </c>
      <c r="I330">
        <f>StudentsTable[[#This Row],[math score]]+StudentsTable[[#This Row],[reading score]]+StudentsTable[[#This Row],[writing score]]</f>
        <v>234</v>
      </c>
      <c r="J330">
        <f>StudentsTable[[#This Row],[TotalScore]]/3</f>
        <v>78</v>
      </c>
      <c r="K330" t="str" cm="1">
        <f t="array" ref="K330">_xlfn.IFS(StudentsTable[[#This Row],[AverageScore]]&gt;=90,"A",StudentsTable[[#This Row],[AverageScore]]&gt;=80,"B",StudentsTable[[#This Row],[AverageScore]]&gt;=70,"C",StudentsTable[[#This Row],[AverageScore]]&gt;=60,"D",TRUE,"F")</f>
        <v>C</v>
      </c>
      <c r="L330" t="str">
        <f>IF(StudentsTable[[#This Row],[AverageScore]]&gt;=60,"Pass","Fail")</f>
        <v>Pass</v>
      </c>
      <c r="M330" t="str" cm="1">
        <f t="array" ref="M330">_xlfn.IFS(StudentsTable[[#This Row],[AverageScore]]&gt;=85,"Advanced",StudentsTable[[#This Row],[AverageScore]]&gt;=70,"Intermediate",StudentsTable[[#This Row],[AverageScore]]&gt;=60,"Basic",TRUE,"Needs Help")</f>
        <v>Intermediate</v>
      </c>
      <c r="N330">
        <f>RANK(StudentsTable[[#This Row],[AverageScore]],StudentsTable[AverageScore])</f>
        <v>240</v>
      </c>
      <c r="O330">
        <f>(StudentsTable[[#This Row],[AverageScore]]-MIN(StudentsTable[AverageScore]))/(MAX(StudentsTable[AverageScore])-MIN(StudentsTable[AverageScore]))*100</f>
        <v>75.824175824175825</v>
      </c>
    </row>
    <row r="331" spans="1:15" x14ac:dyDescent="0.3">
      <c r="A331" t="s">
        <v>8</v>
      </c>
      <c r="B331" t="s">
        <v>9</v>
      </c>
      <c r="C331" t="s">
        <v>23</v>
      </c>
      <c r="D331" t="s">
        <v>11</v>
      </c>
      <c r="E331" t="s">
        <v>12</v>
      </c>
      <c r="F331">
        <v>41</v>
      </c>
      <c r="G331">
        <v>55</v>
      </c>
      <c r="H331">
        <v>51</v>
      </c>
      <c r="I331">
        <f>StudentsTable[[#This Row],[math score]]+StudentsTable[[#This Row],[reading score]]+StudentsTable[[#This Row],[writing score]]</f>
        <v>147</v>
      </c>
      <c r="J331">
        <f>StudentsTable[[#This Row],[TotalScore]]/3</f>
        <v>49</v>
      </c>
      <c r="K331" t="str" cm="1">
        <f t="array" ref="K331">_xlfn.IFS(StudentsTable[[#This Row],[AverageScore]]&gt;=90,"A",StudentsTable[[#This Row],[AverageScore]]&gt;=80,"B",StudentsTable[[#This Row],[AverageScore]]&gt;=70,"C",StudentsTable[[#This Row],[AverageScore]]&gt;=60,"D",TRUE,"F")</f>
        <v>F</v>
      </c>
      <c r="L331" t="str">
        <f>IF(StudentsTable[[#This Row],[AverageScore]]&gt;=60,"Pass","Fail")</f>
        <v>Fail</v>
      </c>
      <c r="M331" t="str" cm="1">
        <f t="array" ref="M331">_xlfn.IFS(StudentsTable[[#This Row],[AverageScore]]&gt;=85,"Advanced",StudentsTable[[#This Row],[AverageScore]]&gt;=70,"Intermediate",StudentsTable[[#This Row],[AverageScore]]&gt;=60,"Basic",TRUE,"Needs Help")</f>
        <v>Needs Help</v>
      </c>
      <c r="N331">
        <f>RANK(StudentsTable[[#This Row],[AverageScore]],StudentsTable[AverageScore])</f>
        <v>905</v>
      </c>
      <c r="O331">
        <f>(StudentsTable[[#This Row],[AverageScore]]-MIN(StudentsTable[AverageScore]))/(MAX(StudentsTable[AverageScore])-MIN(StudentsTable[AverageScore]))*100</f>
        <v>43.956043956043956</v>
      </c>
    </row>
    <row r="332" spans="1:15" x14ac:dyDescent="0.3">
      <c r="A332" t="s">
        <v>17</v>
      </c>
      <c r="B332" t="s">
        <v>13</v>
      </c>
      <c r="C332" t="s">
        <v>22</v>
      </c>
      <c r="D332" t="s">
        <v>11</v>
      </c>
      <c r="E332" t="s">
        <v>12</v>
      </c>
      <c r="F332">
        <v>71</v>
      </c>
      <c r="G332">
        <v>60</v>
      </c>
      <c r="H332">
        <v>61</v>
      </c>
      <c r="I332">
        <f>StudentsTable[[#This Row],[math score]]+StudentsTable[[#This Row],[reading score]]+StudentsTable[[#This Row],[writing score]]</f>
        <v>192</v>
      </c>
      <c r="J332">
        <f>StudentsTable[[#This Row],[TotalScore]]/3</f>
        <v>64</v>
      </c>
      <c r="K332" t="str" cm="1">
        <f t="array" ref="K332">_xlfn.IFS(StudentsTable[[#This Row],[AverageScore]]&gt;=90,"A",StudentsTable[[#This Row],[AverageScore]]&gt;=80,"B",StudentsTable[[#This Row],[AverageScore]]&gt;=70,"C",StudentsTable[[#This Row],[AverageScore]]&gt;=60,"D",TRUE,"F")</f>
        <v>D</v>
      </c>
      <c r="L332" t="str">
        <f>IF(StudentsTable[[#This Row],[AverageScore]]&gt;=60,"Pass","Fail")</f>
        <v>Pass</v>
      </c>
      <c r="M332" t="str" cm="1">
        <f t="array" ref="M332">_xlfn.IFS(StudentsTable[[#This Row],[AverageScore]]&gt;=85,"Advanced",StudentsTable[[#This Row],[AverageScore]]&gt;=70,"Intermediate",StudentsTable[[#This Row],[AverageScore]]&gt;=60,"Basic",TRUE,"Needs Help")</f>
        <v>Basic</v>
      </c>
      <c r="N332">
        <f>RANK(StudentsTable[[#This Row],[AverageScore]],StudentsTable[AverageScore])</f>
        <v>623</v>
      </c>
      <c r="O332">
        <f>(StudentsTable[[#This Row],[AverageScore]]-MIN(StudentsTable[AverageScore]))/(MAX(StudentsTable[AverageScore])-MIN(StudentsTable[AverageScore]))*100</f>
        <v>60.439560439560438</v>
      </c>
    </row>
    <row r="333" spans="1:15" x14ac:dyDescent="0.3">
      <c r="A333" t="s">
        <v>17</v>
      </c>
      <c r="B333" t="s">
        <v>13</v>
      </c>
      <c r="C333" t="s">
        <v>19</v>
      </c>
      <c r="D333" t="s">
        <v>11</v>
      </c>
      <c r="E333" t="s">
        <v>12</v>
      </c>
      <c r="F333">
        <v>47</v>
      </c>
      <c r="G333">
        <v>37</v>
      </c>
      <c r="H333">
        <v>35</v>
      </c>
      <c r="I333">
        <f>StudentsTable[[#This Row],[math score]]+StudentsTable[[#This Row],[reading score]]+StudentsTable[[#This Row],[writing score]]</f>
        <v>119</v>
      </c>
      <c r="J333">
        <f>StudentsTable[[#This Row],[TotalScore]]/3</f>
        <v>39.666666666666664</v>
      </c>
      <c r="K333" t="str" cm="1">
        <f t="array" ref="K333">_xlfn.IFS(StudentsTable[[#This Row],[AverageScore]]&gt;=90,"A",StudentsTable[[#This Row],[AverageScore]]&gt;=80,"B",StudentsTable[[#This Row],[AverageScore]]&gt;=70,"C",StudentsTable[[#This Row],[AverageScore]]&gt;=60,"D",TRUE,"F")</f>
        <v>F</v>
      </c>
      <c r="L333" t="str">
        <f>IF(StudentsTable[[#This Row],[AverageScore]]&gt;=60,"Pass","Fail")</f>
        <v>Fail</v>
      </c>
      <c r="M333" t="str" cm="1">
        <f t="array" ref="M333">_xlfn.IFS(StudentsTable[[#This Row],[AverageScore]]&gt;=85,"Advanced",StudentsTable[[#This Row],[AverageScore]]&gt;=70,"Intermediate",StudentsTable[[#This Row],[AverageScore]]&gt;=60,"Basic",TRUE,"Needs Help")</f>
        <v>Needs Help</v>
      </c>
      <c r="N333">
        <f>RANK(StudentsTable[[#This Row],[AverageScore]],StudentsTable[AverageScore])</f>
        <v>971</v>
      </c>
      <c r="O333">
        <f>(StudentsTable[[#This Row],[AverageScore]]-MIN(StudentsTable[AverageScore]))/(MAX(StudentsTable[AverageScore])-MIN(StudentsTable[AverageScore]))*100</f>
        <v>33.699633699633694</v>
      </c>
    </row>
    <row r="334" spans="1:15" x14ac:dyDescent="0.3">
      <c r="A334" t="s">
        <v>17</v>
      </c>
      <c r="B334" t="s">
        <v>24</v>
      </c>
      <c r="C334" t="s">
        <v>19</v>
      </c>
      <c r="D334" t="s">
        <v>11</v>
      </c>
      <c r="E334" t="s">
        <v>15</v>
      </c>
      <c r="F334">
        <v>62</v>
      </c>
      <c r="G334">
        <v>56</v>
      </c>
      <c r="H334">
        <v>53</v>
      </c>
      <c r="I334">
        <f>StudentsTable[[#This Row],[math score]]+StudentsTable[[#This Row],[reading score]]+StudentsTable[[#This Row],[writing score]]</f>
        <v>171</v>
      </c>
      <c r="J334">
        <f>StudentsTable[[#This Row],[TotalScore]]/3</f>
        <v>57</v>
      </c>
      <c r="K334" t="str" cm="1">
        <f t="array" ref="K334">_xlfn.IFS(StudentsTable[[#This Row],[AverageScore]]&gt;=90,"A",StudentsTable[[#This Row],[AverageScore]]&gt;=80,"B",StudentsTable[[#This Row],[AverageScore]]&gt;=70,"C",StudentsTable[[#This Row],[AverageScore]]&gt;=60,"D",TRUE,"F")</f>
        <v>F</v>
      </c>
      <c r="L334" t="str">
        <f>IF(StudentsTable[[#This Row],[AverageScore]]&gt;=60,"Pass","Fail")</f>
        <v>Fail</v>
      </c>
      <c r="M334" t="str" cm="1">
        <f t="array" ref="M334">_xlfn.IFS(StudentsTable[[#This Row],[AverageScore]]&gt;=85,"Advanced",StudentsTable[[#This Row],[AverageScore]]&gt;=70,"Intermediate",StudentsTable[[#This Row],[AverageScore]]&gt;=60,"Basic",TRUE,"Needs Help")</f>
        <v>Needs Help</v>
      </c>
      <c r="N334">
        <f>RANK(StudentsTable[[#This Row],[AverageScore]],StudentsTable[AverageScore])</f>
        <v>772</v>
      </c>
      <c r="O334">
        <f>(StudentsTable[[#This Row],[AverageScore]]-MIN(StudentsTable[AverageScore]))/(MAX(StudentsTable[AverageScore])-MIN(StudentsTable[AverageScore]))*100</f>
        <v>52.747252747252752</v>
      </c>
    </row>
    <row r="335" spans="1:15" x14ac:dyDescent="0.3">
      <c r="A335" t="s">
        <v>17</v>
      </c>
      <c r="B335" t="s">
        <v>9</v>
      </c>
      <c r="C335" t="s">
        <v>19</v>
      </c>
      <c r="D335" t="s">
        <v>11</v>
      </c>
      <c r="E335" t="s">
        <v>12</v>
      </c>
      <c r="F335">
        <v>90</v>
      </c>
      <c r="G335">
        <v>78</v>
      </c>
      <c r="H335">
        <v>81</v>
      </c>
      <c r="I335">
        <f>StudentsTable[[#This Row],[math score]]+StudentsTable[[#This Row],[reading score]]+StudentsTable[[#This Row],[writing score]]</f>
        <v>249</v>
      </c>
      <c r="J335">
        <f>StudentsTable[[#This Row],[TotalScore]]/3</f>
        <v>83</v>
      </c>
      <c r="K335" t="str" cm="1">
        <f t="array" ref="K335">_xlfn.IFS(StudentsTable[[#This Row],[AverageScore]]&gt;=90,"A",StudentsTable[[#This Row],[AverageScore]]&gt;=80,"B",StudentsTable[[#This Row],[AverageScore]]&gt;=70,"C",StudentsTable[[#This Row],[AverageScore]]&gt;=60,"D",TRUE,"F")</f>
        <v>B</v>
      </c>
      <c r="L335" t="str">
        <f>IF(StudentsTable[[#This Row],[AverageScore]]&gt;=60,"Pass","Fail")</f>
        <v>Pass</v>
      </c>
      <c r="M335" t="str" cm="1">
        <f t="array" ref="M335">_xlfn.IFS(StudentsTable[[#This Row],[AverageScore]]&gt;=85,"Advanced",StudentsTable[[#This Row],[AverageScore]]&gt;=70,"Intermediate",StudentsTable[[#This Row],[AverageScore]]&gt;=60,"Basic",TRUE,"Needs Help")</f>
        <v>Intermediate</v>
      </c>
      <c r="N335">
        <f>RANK(StudentsTable[[#This Row],[AverageScore]],StudentsTable[AverageScore])</f>
        <v>140</v>
      </c>
      <c r="O335">
        <f>(StudentsTable[[#This Row],[AverageScore]]-MIN(StudentsTable[AverageScore]))/(MAX(StudentsTable[AverageScore])-MIN(StudentsTable[AverageScore]))*100</f>
        <v>81.318681318681314</v>
      </c>
    </row>
    <row r="336" spans="1:15" x14ac:dyDescent="0.3">
      <c r="A336" t="s">
        <v>8</v>
      </c>
      <c r="B336" t="s">
        <v>13</v>
      </c>
      <c r="C336" t="s">
        <v>10</v>
      </c>
      <c r="D336" t="s">
        <v>11</v>
      </c>
      <c r="E336" t="s">
        <v>12</v>
      </c>
      <c r="F336">
        <v>83</v>
      </c>
      <c r="G336">
        <v>93</v>
      </c>
      <c r="H336">
        <v>95</v>
      </c>
      <c r="I336">
        <f>StudentsTable[[#This Row],[math score]]+StudentsTable[[#This Row],[reading score]]+StudentsTable[[#This Row],[writing score]]</f>
        <v>271</v>
      </c>
      <c r="J336">
        <f>StudentsTable[[#This Row],[TotalScore]]/3</f>
        <v>90.333333333333329</v>
      </c>
      <c r="K336" t="str" cm="1">
        <f t="array" ref="K336">_xlfn.IFS(StudentsTable[[#This Row],[AverageScore]]&gt;=90,"A",StudentsTable[[#This Row],[AverageScore]]&gt;=80,"B",StudentsTable[[#This Row],[AverageScore]]&gt;=70,"C",StudentsTable[[#This Row],[AverageScore]]&gt;=60,"D",TRUE,"F")</f>
        <v>A</v>
      </c>
      <c r="L336" t="str">
        <f>IF(StudentsTable[[#This Row],[AverageScore]]&gt;=60,"Pass","Fail")</f>
        <v>Pass</v>
      </c>
      <c r="M336" t="str" cm="1">
        <f t="array" ref="M336">_xlfn.IFS(StudentsTable[[#This Row],[AverageScore]]&gt;=85,"Advanced",StudentsTable[[#This Row],[AverageScore]]&gt;=70,"Intermediate",StudentsTable[[#This Row],[AverageScore]]&gt;=60,"Basic",TRUE,"Needs Help")</f>
        <v>Advanced</v>
      </c>
      <c r="N336">
        <f>RANK(StudentsTable[[#This Row],[AverageScore]],StudentsTable[AverageScore])</f>
        <v>48</v>
      </c>
      <c r="O336">
        <f>(StudentsTable[[#This Row],[AverageScore]]-MIN(StudentsTable[AverageScore]))/(MAX(StudentsTable[AverageScore])-MIN(StudentsTable[AverageScore]))*100</f>
        <v>89.377289377289372</v>
      </c>
    </row>
    <row r="337" spans="1:15" x14ac:dyDescent="0.3">
      <c r="A337" t="s">
        <v>8</v>
      </c>
      <c r="B337" t="s">
        <v>9</v>
      </c>
      <c r="C337" t="s">
        <v>14</v>
      </c>
      <c r="D337" t="s">
        <v>20</v>
      </c>
      <c r="E337" t="s">
        <v>12</v>
      </c>
      <c r="F337">
        <v>61</v>
      </c>
      <c r="G337">
        <v>68</v>
      </c>
      <c r="H337">
        <v>66</v>
      </c>
      <c r="I337">
        <f>StudentsTable[[#This Row],[math score]]+StudentsTable[[#This Row],[reading score]]+StudentsTable[[#This Row],[writing score]]</f>
        <v>195</v>
      </c>
      <c r="J337">
        <f>StudentsTable[[#This Row],[TotalScore]]/3</f>
        <v>65</v>
      </c>
      <c r="K337" t="str" cm="1">
        <f t="array" ref="K337">_xlfn.IFS(StudentsTable[[#This Row],[AverageScore]]&gt;=90,"A",StudentsTable[[#This Row],[AverageScore]]&gt;=80,"B",StudentsTable[[#This Row],[AverageScore]]&gt;=70,"C",StudentsTable[[#This Row],[AverageScore]]&gt;=60,"D",TRUE,"F")</f>
        <v>D</v>
      </c>
      <c r="L337" t="str">
        <f>IF(StudentsTable[[#This Row],[AverageScore]]&gt;=60,"Pass","Fail")</f>
        <v>Pass</v>
      </c>
      <c r="M337" t="str" cm="1">
        <f t="array" ref="M337">_xlfn.IFS(StudentsTable[[#This Row],[AverageScore]]&gt;=85,"Advanced",StudentsTable[[#This Row],[AverageScore]]&gt;=70,"Intermediate",StudentsTable[[#This Row],[AverageScore]]&gt;=60,"Basic",TRUE,"Needs Help")</f>
        <v>Basic</v>
      </c>
      <c r="N337">
        <f>RANK(StudentsTable[[#This Row],[AverageScore]],StudentsTable[AverageScore])</f>
        <v>593</v>
      </c>
      <c r="O337">
        <f>(StudentsTable[[#This Row],[AverageScore]]-MIN(StudentsTable[AverageScore]))/(MAX(StudentsTable[AverageScore])-MIN(StudentsTable[AverageScore]))*100</f>
        <v>61.53846153846154</v>
      </c>
    </row>
    <row r="338" spans="1:15" x14ac:dyDescent="0.3">
      <c r="A338" t="s">
        <v>17</v>
      </c>
      <c r="B338" t="s">
        <v>21</v>
      </c>
      <c r="C338" t="s">
        <v>23</v>
      </c>
      <c r="D338" t="s">
        <v>11</v>
      </c>
      <c r="E338" t="s">
        <v>15</v>
      </c>
      <c r="F338">
        <v>76</v>
      </c>
      <c r="G338">
        <v>70</v>
      </c>
      <c r="H338">
        <v>69</v>
      </c>
      <c r="I338">
        <f>StudentsTable[[#This Row],[math score]]+StudentsTable[[#This Row],[reading score]]+StudentsTable[[#This Row],[writing score]]</f>
        <v>215</v>
      </c>
      <c r="J338">
        <f>StudentsTable[[#This Row],[TotalScore]]/3</f>
        <v>71.666666666666671</v>
      </c>
      <c r="K338" t="str" cm="1">
        <f t="array" ref="K338">_xlfn.IFS(StudentsTable[[#This Row],[AverageScore]]&gt;=90,"A",StudentsTable[[#This Row],[AverageScore]]&gt;=80,"B",StudentsTable[[#This Row],[AverageScore]]&gt;=70,"C",StudentsTable[[#This Row],[AverageScore]]&gt;=60,"D",TRUE,"F")</f>
        <v>C</v>
      </c>
      <c r="L338" t="str">
        <f>IF(StudentsTable[[#This Row],[AverageScore]]&gt;=60,"Pass","Fail")</f>
        <v>Pass</v>
      </c>
      <c r="M338" t="str" cm="1">
        <f t="array" ref="M338">_xlfn.IFS(StudentsTable[[#This Row],[AverageScore]]&gt;=85,"Advanced",StudentsTable[[#This Row],[AverageScore]]&gt;=70,"Intermediate",StudentsTable[[#This Row],[AverageScore]]&gt;=60,"Basic",TRUE,"Needs Help")</f>
        <v>Intermediate</v>
      </c>
      <c r="N338">
        <f>RANK(StudentsTable[[#This Row],[AverageScore]],StudentsTable[AverageScore])</f>
        <v>404</v>
      </c>
      <c r="O338">
        <f>(StudentsTable[[#This Row],[AverageScore]]-MIN(StudentsTable[AverageScore]))/(MAX(StudentsTable[AverageScore])-MIN(StudentsTable[AverageScore]))*100</f>
        <v>68.864468864468876</v>
      </c>
    </row>
    <row r="339" spans="1:15" x14ac:dyDescent="0.3">
      <c r="A339" t="s">
        <v>17</v>
      </c>
      <c r="B339" t="s">
        <v>13</v>
      </c>
      <c r="C339" t="s">
        <v>19</v>
      </c>
      <c r="D339" t="s">
        <v>11</v>
      </c>
      <c r="E339" t="s">
        <v>12</v>
      </c>
      <c r="F339">
        <v>49</v>
      </c>
      <c r="G339">
        <v>51</v>
      </c>
      <c r="H339">
        <v>43</v>
      </c>
      <c r="I339">
        <f>StudentsTable[[#This Row],[math score]]+StudentsTable[[#This Row],[reading score]]+StudentsTable[[#This Row],[writing score]]</f>
        <v>143</v>
      </c>
      <c r="J339">
        <f>StudentsTable[[#This Row],[TotalScore]]/3</f>
        <v>47.666666666666664</v>
      </c>
      <c r="K339" t="str" cm="1">
        <f t="array" ref="K339">_xlfn.IFS(StudentsTable[[#This Row],[AverageScore]]&gt;=90,"A",StudentsTable[[#This Row],[AverageScore]]&gt;=80,"B",StudentsTable[[#This Row],[AverageScore]]&gt;=70,"C",StudentsTable[[#This Row],[AverageScore]]&gt;=60,"D",TRUE,"F")</f>
        <v>F</v>
      </c>
      <c r="L339" t="str">
        <f>IF(StudentsTable[[#This Row],[AverageScore]]&gt;=60,"Pass","Fail")</f>
        <v>Fail</v>
      </c>
      <c r="M339" t="str" cm="1">
        <f t="array" ref="M339">_xlfn.IFS(StudentsTable[[#This Row],[AverageScore]]&gt;=85,"Advanced",StudentsTable[[#This Row],[AverageScore]]&gt;=70,"Intermediate",StudentsTable[[#This Row],[AverageScore]]&gt;=60,"Basic",TRUE,"Needs Help")</f>
        <v>Needs Help</v>
      </c>
      <c r="N339">
        <f>RANK(StudentsTable[[#This Row],[AverageScore]],StudentsTable[AverageScore])</f>
        <v>925</v>
      </c>
      <c r="O339">
        <f>(StudentsTable[[#This Row],[AverageScore]]-MIN(StudentsTable[AverageScore]))/(MAX(StudentsTable[AverageScore])-MIN(StudentsTable[AverageScore]))*100</f>
        <v>42.490842490842489</v>
      </c>
    </row>
    <row r="340" spans="1:15" x14ac:dyDescent="0.3">
      <c r="A340" t="s">
        <v>8</v>
      </c>
      <c r="B340" t="s">
        <v>9</v>
      </c>
      <c r="C340" t="s">
        <v>23</v>
      </c>
      <c r="D340" t="s">
        <v>20</v>
      </c>
      <c r="E340" t="s">
        <v>12</v>
      </c>
      <c r="F340">
        <v>24</v>
      </c>
      <c r="G340">
        <v>38</v>
      </c>
      <c r="H340">
        <v>27</v>
      </c>
      <c r="I340">
        <f>StudentsTable[[#This Row],[math score]]+StudentsTable[[#This Row],[reading score]]+StudentsTable[[#This Row],[writing score]]</f>
        <v>89</v>
      </c>
      <c r="J340">
        <f>StudentsTable[[#This Row],[TotalScore]]/3</f>
        <v>29.666666666666668</v>
      </c>
      <c r="K340" t="str" cm="1">
        <f t="array" ref="K340">_xlfn.IFS(StudentsTable[[#This Row],[AverageScore]]&gt;=90,"A",StudentsTable[[#This Row],[AverageScore]]&gt;=80,"B",StudentsTable[[#This Row],[AverageScore]]&gt;=70,"C",StudentsTable[[#This Row],[AverageScore]]&gt;=60,"D",TRUE,"F")</f>
        <v>F</v>
      </c>
      <c r="L340" t="str">
        <f>IF(StudentsTable[[#This Row],[AverageScore]]&gt;=60,"Pass","Fail")</f>
        <v>Fail</v>
      </c>
      <c r="M340" t="str" cm="1">
        <f t="array" ref="M340">_xlfn.IFS(StudentsTable[[#This Row],[AverageScore]]&gt;=85,"Advanced",StudentsTable[[#This Row],[AverageScore]]&gt;=70,"Intermediate",StudentsTable[[#This Row],[AverageScore]]&gt;=60,"Basic",TRUE,"Needs Help")</f>
        <v>Needs Help</v>
      </c>
      <c r="N340">
        <f>RANK(StudentsTable[[#This Row],[AverageScore]],StudentsTable[AverageScore])</f>
        <v>992</v>
      </c>
      <c r="O340">
        <f>(StudentsTable[[#This Row],[AverageScore]]-MIN(StudentsTable[AverageScore]))/(MAX(StudentsTable[AverageScore])-MIN(StudentsTable[AverageScore]))*100</f>
        <v>22.710622710622712</v>
      </c>
    </row>
    <row r="341" spans="1:15" x14ac:dyDescent="0.3">
      <c r="A341" t="s">
        <v>8</v>
      </c>
      <c r="B341" t="s">
        <v>21</v>
      </c>
      <c r="C341" t="s">
        <v>23</v>
      </c>
      <c r="D341" t="s">
        <v>20</v>
      </c>
      <c r="E341" t="s">
        <v>15</v>
      </c>
      <c r="F341">
        <v>35</v>
      </c>
      <c r="G341">
        <v>55</v>
      </c>
      <c r="H341">
        <v>60</v>
      </c>
      <c r="I341">
        <f>StudentsTable[[#This Row],[math score]]+StudentsTable[[#This Row],[reading score]]+StudentsTable[[#This Row],[writing score]]</f>
        <v>150</v>
      </c>
      <c r="J341">
        <f>StudentsTable[[#This Row],[TotalScore]]/3</f>
        <v>50</v>
      </c>
      <c r="K341" t="str" cm="1">
        <f t="array" ref="K341">_xlfn.IFS(StudentsTable[[#This Row],[AverageScore]]&gt;=90,"A",StudentsTable[[#This Row],[AverageScore]]&gt;=80,"B",StudentsTable[[#This Row],[AverageScore]]&gt;=70,"C",StudentsTable[[#This Row],[AverageScore]]&gt;=60,"D",TRUE,"F")</f>
        <v>F</v>
      </c>
      <c r="L341" t="str">
        <f>IF(StudentsTable[[#This Row],[AverageScore]]&gt;=60,"Pass","Fail")</f>
        <v>Fail</v>
      </c>
      <c r="M341" t="str" cm="1">
        <f t="array" ref="M341">_xlfn.IFS(StudentsTable[[#This Row],[AverageScore]]&gt;=85,"Advanced",StudentsTable[[#This Row],[AverageScore]]&gt;=70,"Intermediate",StudentsTable[[#This Row],[AverageScore]]&gt;=60,"Basic",TRUE,"Needs Help")</f>
        <v>Needs Help</v>
      </c>
      <c r="N341">
        <f>RANK(StudentsTable[[#This Row],[AverageScore]],StudentsTable[AverageScore])</f>
        <v>892</v>
      </c>
      <c r="O341">
        <f>(StudentsTable[[#This Row],[AverageScore]]-MIN(StudentsTable[AverageScore]))/(MAX(StudentsTable[AverageScore])-MIN(StudentsTable[AverageScore]))*100</f>
        <v>45.054945054945058</v>
      </c>
    </row>
    <row r="342" spans="1:15" x14ac:dyDescent="0.3">
      <c r="A342" t="s">
        <v>17</v>
      </c>
      <c r="B342" t="s">
        <v>13</v>
      </c>
      <c r="C342" t="s">
        <v>22</v>
      </c>
      <c r="D342" t="s">
        <v>20</v>
      </c>
      <c r="E342" t="s">
        <v>12</v>
      </c>
      <c r="F342">
        <v>58</v>
      </c>
      <c r="G342">
        <v>61</v>
      </c>
      <c r="H342">
        <v>52</v>
      </c>
      <c r="I342">
        <f>StudentsTable[[#This Row],[math score]]+StudentsTable[[#This Row],[reading score]]+StudentsTable[[#This Row],[writing score]]</f>
        <v>171</v>
      </c>
      <c r="J342">
        <f>StudentsTable[[#This Row],[TotalScore]]/3</f>
        <v>57</v>
      </c>
      <c r="K342" t="str" cm="1">
        <f t="array" ref="K342">_xlfn.IFS(StudentsTable[[#This Row],[AverageScore]]&gt;=90,"A",StudentsTable[[#This Row],[AverageScore]]&gt;=80,"B",StudentsTable[[#This Row],[AverageScore]]&gt;=70,"C",StudentsTable[[#This Row],[AverageScore]]&gt;=60,"D",TRUE,"F")</f>
        <v>F</v>
      </c>
      <c r="L342" t="str">
        <f>IF(StudentsTable[[#This Row],[AverageScore]]&gt;=60,"Pass","Fail")</f>
        <v>Fail</v>
      </c>
      <c r="M342" t="str" cm="1">
        <f t="array" ref="M342">_xlfn.IFS(StudentsTable[[#This Row],[AverageScore]]&gt;=85,"Advanced",StudentsTable[[#This Row],[AverageScore]]&gt;=70,"Intermediate",StudentsTable[[#This Row],[AverageScore]]&gt;=60,"Basic",TRUE,"Needs Help")</f>
        <v>Needs Help</v>
      </c>
      <c r="N342">
        <f>RANK(StudentsTable[[#This Row],[AverageScore]],StudentsTable[AverageScore])</f>
        <v>772</v>
      </c>
      <c r="O342">
        <f>(StudentsTable[[#This Row],[AverageScore]]-MIN(StudentsTable[AverageScore]))/(MAX(StudentsTable[AverageScore])-MIN(StudentsTable[AverageScore]))*100</f>
        <v>52.747252747252752</v>
      </c>
    </row>
    <row r="343" spans="1:15" x14ac:dyDescent="0.3">
      <c r="A343" t="s">
        <v>8</v>
      </c>
      <c r="B343" t="s">
        <v>13</v>
      </c>
      <c r="C343" t="s">
        <v>22</v>
      </c>
      <c r="D343" t="s">
        <v>11</v>
      </c>
      <c r="E343" t="s">
        <v>12</v>
      </c>
      <c r="F343">
        <v>61</v>
      </c>
      <c r="G343">
        <v>73</v>
      </c>
      <c r="H343">
        <v>63</v>
      </c>
      <c r="I343">
        <f>StudentsTable[[#This Row],[math score]]+StudentsTable[[#This Row],[reading score]]+StudentsTable[[#This Row],[writing score]]</f>
        <v>197</v>
      </c>
      <c r="J343">
        <f>StudentsTable[[#This Row],[TotalScore]]/3</f>
        <v>65.666666666666671</v>
      </c>
      <c r="K343" t="str" cm="1">
        <f t="array" ref="K343">_xlfn.IFS(StudentsTable[[#This Row],[AverageScore]]&gt;=90,"A",StudentsTable[[#This Row],[AverageScore]]&gt;=80,"B",StudentsTable[[#This Row],[AverageScore]]&gt;=70,"C",StudentsTable[[#This Row],[AverageScore]]&gt;=60,"D",TRUE,"F")</f>
        <v>D</v>
      </c>
      <c r="L343" t="str">
        <f>IF(StudentsTable[[#This Row],[AverageScore]]&gt;=60,"Pass","Fail")</f>
        <v>Pass</v>
      </c>
      <c r="M343" t="str" cm="1">
        <f t="array" ref="M343">_xlfn.IFS(StudentsTable[[#This Row],[AverageScore]]&gt;=85,"Advanced",StudentsTable[[#This Row],[AverageScore]]&gt;=70,"Intermediate",StudentsTable[[#This Row],[AverageScore]]&gt;=60,"Basic",TRUE,"Needs Help")</f>
        <v>Basic</v>
      </c>
      <c r="N343">
        <f>RANK(StudentsTable[[#This Row],[AverageScore]],StudentsTable[AverageScore])</f>
        <v>576</v>
      </c>
      <c r="O343">
        <f>(StudentsTable[[#This Row],[AverageScore]]-MIN(StudentsTable[AverageScore]))/(MAX(StudentsTable[AverageScore])-MIN(StudentsTable[AverageScore]))*100</f>
        <v>62.27106227106227</v>
      </c>
    </row>
    <row r="344" spans="1:15" x14ac:dyDescent="0.3">
      <c r="A344" t="s">
        <v>8</v>
      </c>
      <c r="B344" t="s">
        <v>9</v>
      </c>
      <c r="C344" t="s">
        <v>22</v>
      </c>
      <c r="D344" t="s">
        <v>11</v>
      </c>
      <c r="E344" t="s">
        <v>15</v>
      </c>
      <c r="F344">
        <v>69</v>
      </c>
      <c r="G344">
        <v>76</v>
      </c>
      <c r="H344">
        <v>74</v>
      </c>
      <c r="I344">
        <f>StudentsTable[[#This Row],[math score]]+StudentsTable[[#This Row],[reading score]]+StudentsTable[[#This Row],[writing score]]</f>
        <v>219</v>
      </c>
      <c r="J344">
        <f>StudentsTable[[#This Row],[TotalScore]]/3</f>
        <v>73</v>
      </c>
      <c r="K344" t="str" cm="1">
        <f t="array" ref="K344">_xlfn.IFS(StudentsTable[[#This Row],[AverageScore]]&gt;=90,"A",StudentsTable[[#This Row],[AverageScore]]&gt;=80,"B",StudentsTable[[#This Row],[AverageScore]]&gt;=70,"C",StudentsTable[[#This Row],[AverageScore]]&gt;=60,"D",TRUE,"F")</f>
        <v>C</v>
      </c>
      <c r="L344" t="str">
        <f>IF(StudentsTable[[#This Row],[AverageScore]]&gt;=60,"Pass","Fail")</f>
        <v>Pass</v>
      </c>
      <c r="M344" t="str" cm="1">
        <f t="array" ref="M344">_xlfn.IFS(StudentsTable[[#This Row],[AverageScore]]&gt;=85,"Advanced",StudentsTable[[#This Row],[AverageScore]]&gt;=70,"Intermediate",StudentsTable[[#This Row],[AverageScore]]&gt;=60,"Basic",TRUE,"Needs Help")</f>
        <v>Intermediate</v>
      </c>
      <c r="N344">
        <f>RANK(StudentsTable[[#This Row],[AverageScore]],StudentsTable[AverageScore])</f>
        <v>367</v>
      </c>
      <c r="O344">
        <f>(StudentsTable[[#This Row],[AverageScore]]-MIN(StudentsTable[AverageScore]))/(MAX(StudentsTable[AverageScore])-MIN(StudentsTable[AverageScore]))*100</f>
        <v>70.329670329670336</v>
      </c>
    </row>
    <row r="345" spans="1:15" x14ac:dyDescent="0.3">
      <c r="A345" t="s">
        <v>17</v>
      </c>
      <c r="B345" t="s">
        <v>21</v>
      </c>
      <c r="C345" t="s">
        <v>19</v>
      </c>
      <c r="D345" t="s">
        <v>11</v>
      </c>
      <c r="E345" t="s">
        <v>15</v>
      </c>
      <c r="F345">
        <v>67</v>
      </c>
      <c r="G345">
        <v>72</v>
      </c>
      <c r="H345">
        <v>67</v>
      </c>
      <c r="I345">
        <f>StudentsTable[[#This Row],[math score]]+StudentsTable[[#This Row],[reading score]]+StudentsTable[[#This Row],[writing score]]</f>
        <v>206</v>
      </c>
      <c r="J345">
        <f>StudentsTable[[#This Row],[TotalScore]]/3</f>
        <v>68.666666666666671</v>
      </c>
      <c r="K345" t="str" cm="1">
        <f t="array" ref="K345">_xlfn.IFS(StudentsTable[[#This Row],[AverageScore]]&gt;=90,"A",StudentsTable[[#This Row],[AverageScore]]&gt;=80,"B",StudentsTable[[#This Row],[AverageScore]]&gt;=70,"C",StudentsTable[[#This Row],[AverageScore]]&gt;=60,"D",TRUE,"F")</f>
        <v>D</v>
      </c>
      <c r="L345" t="str">
        <f>IF(StudentsTable[[#This Row],[AverageScore]]&gt;=60,"Pass","Fail")</f>
        <v>Pass</v>
      </c>
      <c r="M345" t="str" cm="1">
        <f t="array" ref="M345">_xlfn.IFS(StudentsTable[[#This Row],[AverageScore]]&gt;=85,"Advanced",StudentsTable[[#This Row],[AverageScore]]&gt;=70,"Intermediate",StudentsTable[[#This Row],[AverageScore]]&gt;=60,"Basic",TRUE,"Needs Help")</f>
        <v>Basic</v>
      </c>
      <c r="N345">
        <f>RANK(StudentsTable[[#This Row],[AverageScore]],StudentsTable[AverageScore])</f>
        <v>487</v>
      </c>
      <c r="O345">
        <f>(StudentsTable[[#This Row],[AverageScore]]-MIN(StudentsTable[AverageScore]))/(MAX(StudentsTable[AverageScore])-MIN(StudentsTable[AverageScore]))*100</f>
        <v>65.567765567765562</v>
      </c>
    </row>
    <row r="346" spans="1:15" x14ac:dyDescent="0.3">
      <c r="A346" t="s">
        <v>17</v>
      </c>
      <c r="B346" t="s">
        <v>21</v>
      </c>
      <c r="C346" t="s">
        <v>14</v>
      </c>
      <c r="D346" t="s">
        <v>11</v>
      </c>
      <c r="E346" t="s">
        <v>12</v>
      </c>
      <c r="F346">
        <v>79</v>
      </c>
      <c r="G346">
        <v>73</v>
      </c>
      <c r="H346">
        <v>67</v>
      </c>
      <c r="I346">
        <f>StudentsTable[[#This Row],[math score]]+StudentsTable[[#This Row],[reading score]]+StudentsTable[[#This Row],[writing score]]</f>
        <v>219</v>
      </c>
      <c r="J346">
        <f>StudentsTable[[#This Row],[TotalScore]]/3</f>
        <v>73</v>
      </c>
      <c r="K346" t="str" cm="1">
        <f t="array" ref="K346">_xlfn.IFS(StudentsTable[[#This Row],[AverageScore]]&gt;=90,"A",StudentsTable[[#This Row],[AverageScore]]&gt;=80,"B",StudentsTable[[#This Row],[AverageScore]]&gt;=70,"C",StudentsTable[[#This Row],[AverageScore]]&gt;=60,"D",TRUE,"F")</f>
        <v>C</v>
      </c>
      <c r="L346" t="str">
        <f>IF(StudentsTable[[#This Row],[AverageScore]]&gt;=60,"Pass","Fail")</f>
        <v>Pass</v>
      </c>
      <c r="M346" t="str" cm="1">
        <f t="array" ref="M346">_xlfn.IFS(StudentsTable[[#This Row],[AverageScore]]&gt;=85,"Advanced",StudentsTable[[#This Row],[AverageScore]]&gt;=70,"Intermediate",StudentsTable[[#This Row],[AverageScore]]&gt;=60,"Basic",TRUE,"Needs Help")</f>
        <v>Intermediate</v>
      </c>
      <c r="N346">
        <f>RANK(StudentsTable[[#This Row],[AverageScore]],StudentsTable[AverageScore])</f>
        <v>367</v>
      </c>
      <c r="O346">
        <f>(StudentsTable[[#This Row],[AverageScore]]-MIN(StudentsTable[AverageScore]))/(MAX(StudentsTable[AverageScore])-MIN(StudentsTable[AverageScore]))*100</f>
        <v>70.329670329670336</v>
      </c>
    </row>
    <row r="347" spans="1:15" x14ac:dyDescent="0.3">
      <c r="A347" t="s">
        <v>8</v>
      </c>
      <c r="B347" t="s">
        <v>13</v>
      </c>
      <c r="C347" t="s">
        <v>22</v>
      </c>
      <c r="D347" t="s">
        <v>11</v>
      </c>
      <c r="E347" t="s">
        <v>12</v>
      </c>
      <c r="F347">
        <v>72</v>
      </c>
      <c r="G347">
        <v>80</v>
      </c>
      <c r="H347">
        <v>75</v>
      </c>
      <c r="I347">
        <f>StudentsTable[[#This Row],[math score]]+StudentsTable[[#This Row],[reading score]]+StudentsTable[[#This Row],[writing score]]</f>
        <v>227</v>
      </c>
      <c r="J347">
        <f>StudentsTable[[#This Row],[TotalScore]]/3</f>
        <v>75.666666666666671</v>
      </c>
      <c r="K347" t="str" cm="1">
        <f t="array" ref="K347">_xlfn.IFS(StudentsTable[[#This Row],[AverageScore]]&gt;=90,"A",StudentsTable[[#This Row],[AverageScore]]&gt;=80,"B",StudentsTable[[#This Row],[AverageScore]]&gt;=70,"C",StudentsTable[[#This Row],[AverageScore]]&gt;=60,"D",TRUE,"F")</f>
        <v>C</v>
      </c>
      <c r="L347" t="str">
        <f>IF(StudentsTable[[#This Row],[AverageScore]]&gt;=60,"Pass","Fail")</f>
        <v>Pass</v>
      </c>
      <c r="M347" t="str" cm="1">
        <f t="array" ref="M347">_xlfn.IFS(StudentsTable[[#This Row],[AverageScore]]&gt;=85,"Advanced",StudentsTable[[#This Row],[AverageScore]]&gt;=70,"Intermediate",StudentsTable[[#This Row],[AverageScore]]&gt;=60,"Basic",TRUE,"Needs Help")</f>
        <v>Intermediate</v>
      </c>
      <c r="N347">
        <f>RANK(StudentsTable[[#This Row],[AverageScore]],StudentsTable[AverageScore])</f>
        <v>297</v>
      </c>
      <c r="O347">
        <f>(StudentsTable[[#This Row],[AverageScore]]-MIN(StudentsTable[AverageScore]))/(MAX(StudentsTable[AverageScore])-MIN(StudentsTable[AverageScore]))*100</f>
        <v>73.26007326007327</v>
      </c>
    </row>
    <row r="348" spans="1:15" x14ac:dyDescent="0.3">
      <c r="A348" t="s">
        <v>17</v>
      </c>
      <c r="B348" t="s">
        <v>9</v>
      </c>
      <c r="C348" t="s">
        <v>14</v>
      </c>
      <c r="D348" t="s">
        <v>11</v>
      </c>
      <c r="E348" t="s">
        <v>12</v>
      </c>
      <c r="F348">
        <v>62</v>
      </c>
      <c r="G348">
        <v>61</v>
      </c>
      <c r="H348">
        <v>57</v>
      </c>
      <c r="I348">
        <f>StudentsTable[[#This Row],[math score]]+StudentsTable[[#This Row],[reading score]]+StudentsTable[[#This Row],[writing score]]</f>
        <v>180</v>
      </c>
      <c r="J348">
        <f>StudentsTable[[#This Row],[TotalScore]]/3</f>
        <v>60</v>
      </c>
      <c r="K348" t="str" cm="1">
        <f t="array" ref="K348">_xlfn.IFS(StudentsTable[[#This Row],[AverageScore]]&gt;=90,"A",StudentsTable[[#This Row],[AverageScore]]&gt;=80,"B",StudentsTable[[#This Row],[AverageScore]]&gt;=70,"C",StudentsTable[[#This Row],[AverageScore]]&gt;=60,"D",TRUE,"F")</f>
        <v>D</v>
      </c>
      <c r="L348" t="str">
        <f>IF(StudentsTable[[#This Row],[AverageScore]]&gt;=60,"Pass","Fail")</f>
        <v>Pass</v>
      </c>
      <c r="M348" t="str" cm="1">
        <f t="array" ref="M348">_xlfn.IFS(StudentsTable[[#This Row],[AverageScore]]&gt;=85,"Advanced",StudentsTable[[#This Row],[AverageScore]]&gt;=70,"Intermediate",StudentsTable[[#This Row],[AverageScore]]&gt;=60,"Basic",TRUE,"Needs Help")</f>
        <v>Basic</v>
      </c>
      <c r="N348">
        <f>RANK(StudentsTable[[#This Row],[AverageScore]],StudentsTable[AverageScore])</f>
        <v>708</v>
      </c>
      <c r="O348">
        <f>(StudentsTable[[#This Row],[AverageScore]]-MIN(StudentsTable[AverageScore]))/(MAX(StudentsTable[AverageScore])-MIN(StudentsTable[AverageScore]))*100</f>
        <v>56.043956043956044</v>
      </c>
    </row>
    <row r="349" spans="1:15" x14ac:dyDescent="0.3">
      <c r="A349" t="s">
        <v>8</v>
      </c>
      <c r="B349" t="s">
        <v>13</v>
      </c>
      <c r="C349" t="s">
        <v>10</v>
      </c>
      <c r="D349" t="s">
        <v>11</v>
      </c>
      <c r="E349" t="s">
        <v>15</v>
      </c>
      <c r="F349">
        <v>77</v>
      </c>
      <c r="G349">
        <v>94</v>
      </c>
      <c r="H349">
        <v>95</v>
      </c>
      <c r="I349">
        <f>StudentsTable[[#This Row],[math score]]+StudentsTable[[#This Row],[reading score]]+StudentsTable[[#This Row],[writing score]]</f>
        <v>266</v>
      </c>
      <c r="J349">
        <f>StudentsTable[[#This Row],[TotalScore]]/3</f>
        <v>88.666666666666671</v>
      </c>
      <c r="K349" t="str" cm="1">
        <f t="array" ref="K349">_xlfn.IFS(StudentsTable[[#This Row],[AverageScore]]&gt;=90,"A",StudentsTable[[#This Row],[AverageScore]]&gt;=80,"B",StudentsTable[[#This Row],[AverageScore]]&gt;=70,"C",StudentsTable[[#This Row],[AverageScore]]&gt;=60,"D",TRUE,"F")</f>
        <v>B</v>
      </c>
      <c r="L349" t="str">
        <f>IF(StudentsTable[[#This Row],[AverageScore]]&gt;=60,"Pass","Fail")</f>
        <v>Pass</v>
      </c>
      <c r="M349" t="str" cm="1">
        <f t="array" ref="M349">_xlfn.IFS(StudentsTable[[#This Row],[AverageScore]]&gt;=85,"Advanced",StudentsTable[[#This Row],[AverageScore]]&gt;=70,"Intermediate",StudentsTable[[#This Row],[AverageScore]]&gt;=60,"Basic",TRUE,"Needs Help")</f>
        <v>Advanced</v>
      </c>
      <c r="N349">
        <f>RANK(StudentsTable[[#This Row],[AverageScore]],StudentsTable[AverageScore])</f>
        <v>64</v>
      </c>
      <c r="O349">
        <f>(StudentsTable[[#This Row],[AverageScore]]-MIN(StudentsTable[AverageScore]))/(MAX(StudentsTable[AverageScore])-MIN(StudentsTable[AverageScore]))*100</f>
        <v>87.545787545787547</v>
      </c>
    </row>
    <row r="350" spans="1:15" x14ac:dyDescent="0.3">
      <c r="A350" t="s">
        <v>17</v>
      </c>
      <c r="B350" t="s">
        <v>21</v>
      </c>
      <c r="C350" t="s">
        <v>22</v>
      </c>
      <c r="D350" t="s">
        <v>20</v>
      </c>
      <c r="E350" t="s">
        <v>12</v>
      </c>
      <c r="F350">
        <v>75</v>
      </c>
      <c r="G350">
        <v>74</v>
      </c>
      <c r="H350">
        <v>66</v>
      </c>
      <c r="I350">
        <f>StudentsTable[[#This Row],[math score]]+StudentsTable[[#This Row],[reading score]]+StudentsTable[[#This Row],[writing score]]</f>
        <v>215</v>
      </c>
      <c r="J350">
        <f>StudentsTable[[#This Row],[TotalScore]]/3</f>
        <v>71.666666666666671</v>
      </c>
      <c r="K350" t="str" cm="1">
        <f t="array" ref="K350">_xlfn.IFS(StudentsTable[[#This Row],[AverageScore]]&gt;=90,"A",StudentsTable[[#This Row],[AverageScore]]&gt;=80,"B",StudentsTable[[#This Row],[AverageScore]]&gt;=70,"C",StudentsTable[[#This Row],[AverageScore]]&gt;=60,"D",TRUE,"F")</f>
        <v>C</v>
      </c>
      <c r="L350" t="str">
        <f>IF(StudentsTable[[#This Row],[AverageScore]]&gt;=60,"Pass","Fail")</f>
        <v>Pass</v>
      </c>
      <c r="M350" t="str" cm="1">
        <f t="array" ref="M350">_xlfn.IFS(StudentsTable[[#This Row],[AverageScore]]&gt;=85,"Advanced",StudentsTable[[#This Row],[AverageScore]]&gt;=70,"Intermediate",StudentsTable[[#This Row],[AverageScore]]&gt;=60,"Basic",TRUE,"Needs Help")</f>
        <v>Intermediate</v>
      </c>
      <c r="N350">
        <f>RANK(StudentsTable[[#This Row],[AverageScore]],StudentsTable[AverageScore])</f>
        <v>404</v>
      </c>
      <c r="O350">
        <f>(StudentsTable[[#This Row],[AverageScore]]-MIN(StudentsTable[AverageScore]))/(MAX(StudentsTable[AverageScore])-MIN(StudentsTable[AverageScore]))*100</f>
        <v>68.864468864468876</v>
      </c>
    </row>
    <row r="351" spans="1:15" x14ac:dyDescent="0.3">
      <c r="A351" t="s">
        <v>17</v>
      </c>
      <c r="B351" t="s">
        <v>24</v>
      </c>
      <c r="C351" t="s">
        <v>19</v>
      </c>
      <c r="D351" t="s">
        <v>11</v>
      </c>
      <c r="E351" t="s">
        <v>12</v>
      </c>
      <c r="F351">
        <v>87</v>
      </c>
      <c r="G351">
        <v>74</v>
      </c>
      <c r="H351">
        <v>76</v>
      </c>
      <c r="I351">
        <f>StudentsTable[[#This Row],[math score]]+StudentsTable[[#This Row],[reading score]]+StudentsTable[[#This Row],[writing score]]</f>
        <v>237</v>
      </c>
      <c r="J351">
        <f>StudentsTable[[#This Row],[TotalScore]]/3</f>
        <v>79</v>
      </c>
      <c r="K351" t="str" cm="1">
        <f t="array" ref="K351">_xlfn.IFS(StudentsTable[[#This Row],[AverageScore]]&gt;=90,"A",StudentsTable[[#This Row],[AverageScore]]&gt;=80,"B",StudentsTable[[#This Row],[AverageScore]]&gt;=70,"C",StudentsTable[[#This Row],[AverageScore]]&gt;=60,"D",TRUE,"F")</f>
        <v>C</v>
      </c>
      <c r="L351" t="str">
        <f>IF(StudentsTable[[#This Row],[AverageScore]]&gt;=60,"Pass","Fail")</f>
        <v>Pass</v>
      </c>
      <c r="M351" t="str" cm="1">
        <f t="array" ref="M351">_xlfn.IFS(StudentsTable[[#This Row],[AverageScore]]&gt;=85,"Advanced",StudentsTable[[#This Row],[AverageScore]]&gt;=70,"Intermediate",StudentsTable[[#This Row],[AverageScore]]&gt;=60,"Basic",TRUE,"Needs Help")</f>
        <v>Intermediate</v>
      </c>
      <c r="N351">
        <f>RANK(StudentsTable[[#This Row],[AverageScore]],StudentsTable[AverageScore])</f>
        <v>215</v>
      </c>
      <c r="O351">
        <f>(StudentsTable[[#This Row],[AverageScore]]-MIN(StudentsTable[AverageScore]))/(MAX(StudentsTable[AverageScore])-MIN(StudentsTable[AverageScore]))*100</f>
        <v>76.923076923076934</v>
      </c>
    </row>
    <row r="352" spans="1:15" x14ac:dyDescent="0.3">
      <c r="A352" t="s">
        <v>8</v>
      </c>
      <c r="B352" t="s">
        <v>9</v>
      </c>
      <c r="C352" t="s">
        <v>10</v>
      </c>
      <c r="D352" t="s">
        <v>11</v>
      </c>
      <c r="E352" t="s">
        <v>12</v>
      </c>
      <c r="F352">
        <v>52</v>
      </c>
      <c r="G352">
        <v>65</v>
      </c>
      <c r="H352">
        <v>69</v>
      </c>
      <c r="I352">
        <f>StudentsTable[[#This Row],[math score]]+StudentsTable[[#This Row],[reading score]]+StudentsTable[[#This Row],[writing score]]</f>
        <v>186</v>
      </c>
      <c r="J352">
        <f>StudentsTable[[#This Row],[TotalScore]]/3</f>
        <v>62</v>
      </c>
      <c r="K352" t="str" cm="1">
        <f t="array" ref="K352">_xlfn.IFS(StudentsTable[[#This Row],[AverageScore]]&gt;=90,"A",StudentsTable[[#This Row],[AverageScore]]&gt;=80,"B",StudentsTable[[#This Row],[AverageScore]]&gt;=70,"C",StudentsTable[[#This Row],[AverageScore]]&gt;=60,"D",TRUE,"F")</f>
        <v>D</v>
      </c>
      <c r="L352" t="str">
        <f>IF(StudentsTable[[#This Row],[AverageScore]]&gt;=60,"Pass","Fail")</f>
        <v>Pass</v>
      </c>
      <c r="M352" t="str" cm="1">
        <f t="array" ref="M352">_xlfn.IFS(StudentsTable[[#This Row],[AverageScore]]&gt;=85,"Advanced",StudentsTable[[#This Row],[AverageScore]]&gt;=70,"Intermediate",StudentsTable[[#This Row],[AverageScore]]&gt;=60,"Basic",TRUE,"Needs Help")</f>
        <v>Basic</v>
      </c>
      <c r="N352">
        <f>RANK(StudentsTable[[#This Row],[AverageScore]],StudentsTable[AverageScore])</f>
        <v>665</v>
      </c>
      <c r="O352">
        <f>(StudentsTable[[#This Row],[AverageScore]]-MIN(StudentsTable[AverageScore]))/(MAX(StudentsTable[AverageScore])-MIN(StudentsTable[AverageScore]))*100</f>
        <v>58.241758241758248</v>
      </c>
    </row>
    <row r="353" spans="1:15" x14ac:dyDescent="0.3">
      <c r="A353" t="s">
        <v>17</v>
      </c>
      <c r="B353" t="s">
        <v>24</v>
      </c>
      <c r="C353" t="s">
        <v>14</v>
      </c>
      <c r="D353" t="s">
        <v>11</v>
      </c>
      <c r="E353" t="s">
        <v>12</v>
      </c>
      <c r="F353">
        <v>66</v>
      </c>
      <c r="G353">
        <v>57</v>
      </c>
      <c r="H353">
        <v>52</v>
      </c>
      <c r="I353">
        <f>StudentsTable[[#This Row],[math score]]+StudentsTable[[#This Row],[reading score]]+StudentsTable[[#This Row],[writing score]]</f>
        <v>175</v>
      </c>
      <c r="J353">
        <f>StudentsTable[[#This Row],[TotalScore]]/3</f>
        <v>58.333333333333336</v>
      </c>
      <c r="K353" t="str" cm="1">
        <f t="array" ref="K353">_xlfn.IFS(StudentsTable[[#This Row],[AverageScore]]&gt;=90,"A",StudentsTable[[#This Row],[AverageScore]]&gt;=80,"B",StudentsTable[[#This Row],[AverageScore]]&gt;=70,"C",StudentsTable[[#This Row],[AverageScore]]&gt;=60,"D",TRUE,"F")</f>
        <v>F</v>
      </c>
      <c r="L353" t="str">
        <f>IF(StudentsTable[[#This Row],[AverageScore]]&gt;=60,"Pass","Fail")</f>
        <v>Fail</v>
      </c>
      <c r="M353" t="str" cm="1">
        <f t="array" ref="M353">_xlfn.IFS(StudentsTable[[#This Row],[AverageScore]]&gt;=85,"Advanced",StudentsTable[[#This Row],[AverageScore]]&gt;=70,"Intermediate",StudentsTable[[#This Row],[AverageScore]]&gt;=60,"Basic",TRUE,"Needs Help")</f>
        <v>Needs Help</v>
      </c>
      <c r="N353">
        <f>RANK(StudentsTable[[#This Row],[AverageScore]],StudentsTable[AverageScore])</f>
        <v>745</v>
      </c>
      <c r="O353">
        <f>(StudentsTable[[#This Row],[AverageScore]]-MIN(StudentsTable[AverageScore]))/(MAX(StudentsTable[AverageScore])-MIN(StudentsTable[AverageScore]))*100</f>
        <v>54.212454212454219</v>
      </c>
    </row>
    <row r="354" spans="1:15" x14ac:dyDescent="0.3">
      <c r="A354" t="s">
        <v>8</v>
      </c>
      <c r="B354" t="s">
        <v>13</v>
      </c>
      <c r="C354" t="s">
        <v>14</v>
      </c>
      <c r="D354" t="s">
        <v>11</v>
      </c>
      <c r="E354" t="s">
        <v>15</v>
      </c>
      <c r="F354">
        <v>63</v>
      </c>
      <c r="G354">
        <v>78</v>
      </c>
      <c r="H354">
        <v>80</v>
      </c>
      <c r="I354">
        <f>StudentsTable[[#This Row],[math score]]+StudentsTable[[#This Row],[reading score]]+StudentsTable[[#This Row],[writing score]]</f>
        <v>221</v>
      </c>
      <c r="J354">
        <f>StudentsTable[[#This Row],[TotalScore]]/3</f>
        <v>73.666666666666671</v>
      </c>
      <c r="K354" t="str" cm="1">
        <f t="array" ref="K354">_xlfn.IFS(StudentsTable[[#This Row],[AverageScore]]&gt;=90,"A",StudentsTable[[#This Row],[AverageScore]]&gt;=80,"B",StudentsTable[[#This Row],[AverageScore]]&gt;=70,"C",StudentsTable[[#This Row],[AverageScore]]&gt;=60,"D",TRUE,"F")</f>
        <v>C</v>
      </c>
      <c r="L354" t="str">
        <f>IF(StudentsTable[[#This Row],[AverageScore]]&gt;=60,"Pass","Fail")</f>
        <v>Pass</v>
      </c>
      <c r="M354" t="str" cm="1">
        <f t="array" ref="M354">_xlfn.IFS(StudentsTable[[#This Row],[AverageScore]]&gt;=85,"Advanced",StudentsTable[[#This Row],[AverageScore]]&gt;=70,"Intermediate",StudentsTable[[#This Row],[AverageScore]]&gt;=60,"Basic",TRUE,"Needs Help")</f>
        <v>Intermediate</v>
      </c>
      <c r="N354">
        <f>RANK(StudentsTable[[#This Row],[AverageScore]],StudentsTable[AverageScore])</f>
        <v>351</v>
      </c>
      <c r="O354">
        <f>(StudentsTable[[#This Row],[AverageScore]]-MIN(StudentsTable[AverageScore]))/(MAX(StudentsTable[AverageScore])-MIN(StudentsTable[AverageScore]))*100</f>
        <v>71.062271062271066</v>
      </c>
    </row>
    <row r="355" spans="1:15" x14ac:dyDescent="0.3">
      <c r="A355" t="s">
        <v>8</v>
      </c>
      <c r="B355" t="s">
        <v>13</v>
      </c>
      <c r="C355" t="s">
        <v>19</v>
      </c>
      <c r="D355" t="s">
        <v>11</v>
      </c>
      <c r="E355" t="s">
        <v>12</v>
      </c>
      <c r="F355">
        <v>46</v>
      </c>
      <c r="G355">
        <v>58</v>
      </c>
      <c r="H355">
        <v>57</v>
      </c>
      <c r="I355">
        <f>StudentsTable[[#This Row],[math score]]+StudentsTable[[#This Row],[reading score]]+StudentsTable[[#This Row],[writing score]]</f>
        <v>161</v>
      </c>
      <c r="J355">
        <f>StudentsTable[[#This Row],[TotalScore]]/3</f>
        <v>53.666666666666664</v>
      </c>
      <c r="K355" t="str" cm="1">
        <f t="array" ref="K355">_xlfn.IFS(StudentsTable[[#This Row],[AverageScore]]&gt;=90,"A",StudentsTable[[#This Row],[AverageScore]]&gt;=80,"B",StudentsTable[[#This Row],[AverageScore]]&gt;=70,"C",StudentsTable[[#This Row],[AverageScore]]&gt;=60,"D",TRUE,"F")</f>
        <v>F</v>
      </c>
      <c r="L355" t="str">
        <f>IF(StudentsTable[[#This Row],[AverageScore]]&gt;=60,"Pass","Fail")</f>
        <v>Fail</v>
      </c>
      <c r="M355" t="str" cm="1">
        <f t="array" ref="M355">_xlfn.IFS(StudentsTable[[#This Row],[AverageScore]]&gt;=85,"Advanced",StudentsTable[[#This Row],[AverageScore]]&gt;=70,"Intermediate",StudentsTable[[#This Row],[AverageScore]]&gt;=60,"Basic",TRUE,"Needs Help")</f>
        <v>Needs Help</v>
      </c>
      <c r="N355">
        <f>RANK(StudentsTable[[#This Row],[AverageScore]],StudentsTable[AverageScore])</f>
        <v>830</v>
      </c>
      <c r="O355">
        <f>(StudentsTable[[#This Row],[AverageScore]]-MIN(StudentsTable[AverageScore]))/(MAX(StudentsTable[AverageScore])-MIN(StudentsTable[AverageScore]))*100</f>
        <v>49.08424908424908</v>
      </c>
    </row>
    <row r="356" spans="1:15" x14ac:dyDescent="0.3">
      <c r="A356" t="s">
        <v>8</v>
      </c>
      <c r="B356" t="s">
        <v>13</v>
      </c>
      <c r="C356" t="s">
        <v>14</v>
      </c>
      <c r="D356" t="s">
        <v>11</v>
      </c>
      <c r="E356" t="s">
        <v>12</v>
      </c>
      <c r="F356">
        <v>59</v>
      </c>
      <c r="G356">
        <v>71</v>
      </c>
      <c r="H356">
        <v>70</v>
      </c>
      <c r="I356">
        <f>StudentsTable[[#This Row],[math score]]+StudentsTable[[#This Row],[reading score]]+StudentsTable[[#This Row],[writing score]]</f>
        <v>200</v>
      </c>
      <c r="J356">
        <f>StudentsTable[[#This Row],[TotalScore]]/3</f>
        <v>66.666666666666671</v>
      </c>
      <c r="K356" t="str" cm="1">
        <f t="array" ref="K356">_xlfn.IFS(StudentsTable[[#This Row],[AverageScore]]&gt;=90,"A",StudentsTable[[#This Row],[AverageScore]]&gt;=80,"B",StudentsTable[[#This Row],[AverageScore]]&gt;=70,"C",StudentsTable[[#This Row],[AverageScore]]&gt;=60,"D",TRUE,"F")</f>
        <v>D</v>
      </c>
      <c r="L356" t="str">
        <f>IF(StudentsTable[[#This Row],[AverageScore]]&gt;=60,"Pass","Fail")</f>
        <v>Pass</v>
      </c>
      <c r="M356" t="str" cm="1">
        <f t="array" ref="M356">_xlfn.IFS(StudentsTable[[#This Row],[AverageScore]]&gt;=85,"Advanced",StudentsTable[[#This Row],[AverageScore]]&gt;=70,"Intermediate",StudentsTable[[#This Row],[AverageScore]]&gt;=60,"Basic",TRUE,"Needs Help")</f>
        <v>Basic</v>
      </c>
      <c r="N356">
        <f>RANK(StudentsTable[[#This Row],[AverageScore]],StudentsTable[AverageScore])</f>
        <v>549</v>
      </c>
      <c r="O356">
        <f>(StudentsTable[[#This Row],[AverageScore]]-MIN(StudentsTable[AverageScore]))/(MAX(StudentsTable[AverageScore])-MIN(StudentsTable[AverageScore]))*100</f>
        <v>63.369963369963379</v>
      </c>
    </row>
    <row r="357" spans="1:15" x14ac:dyDescent="0.3">
      <c r="A357" t="s">
        <v>8</v>
      </c>
      <c r="B357" t="s">
        <v>9</v>
      </c>
      <c r="C357" t="s">
        <v>10</v>
      </c>
      <c r="D357" t="s">
        <v>11</v>
      </c>
      <c r="E357" t="s">
        <v>12</v>
      </c>
      <c r="F357">
        <v>61</v>
      </c>
      <c r="G357">
        <v>72</v>
      </c>
      <c r="H357">
        <v>70</v>
      </c>
      <c r="I357">
        <f>StudentsTable[[#This Row],[math score]]+StudentsTable[[#This Row],[reading score]]+StudentsTable[[#This Row],[writing score]]</f>
        <v>203</v>
      </c>
      <c r="J357">
        <f>StudentsTable[[#This Row],[TotalScore]]/3</f>
        <v>67.666666666666671</v>
      </c>
      <c r="K357" t="str" cm="1">
        <f t="array" ref="K357">_xlfn.IFS(StudentsTable[[#This Row],[AverageScore]]&gt;=90,"A",StudentsTable[[#This Row],[AverageScore]]&gt;=80,"B",StudentsTable[[#This Row],[AverageScore]]&gt;=70,"C",StudentsTable[[#This Row],[AverageScore]]&gt;=60,"D",TRUE,"F")</f>
        <v>D</v>
      </c>
      <c r="L357" t="str">
        <f>IF(StudentsTable[[#This Row],[AverageScore]]&gt;=60,"Pass","Fail")</f>
        <v>Pass</v>
      </c>
      <c r="M357" t="str" cm="1">
        <f t="array" ref="M357">_xlfn.IFS(StudentsTable[[#This Row],[AverageScore]]&gt;=85,"Advanced",StudentsTable[[#This Row],[AverageScore]]&gt;=70,"Intermediate",StudentsTable[[#This Row],[AverageScore]]&gt;=60,"Basic",TRUE,"Needs Help")</f>
        <v>Basic</v>
      </c>
      <c r="N357">
        <f>RANK(StudentsTable[[#This Row],[AverageScore]],StudentsTable[AverageScore])</f>
        <v>527</v>
      </c>
      <c r="O357">
        <f>(StudentsTable[[#This Row],[AverageScore]]-MIN(StudentsTable[AverageScore]))/(MAX(StudentsTable[AverageScore])-MIN(StudentsTable[AverageScore]))*100</f>
        <v>64.468864468864467</v>
      </c>
    </row>
    <row r="358" spans="1:15" x14ac:dyDescent="0.3">
      <c r="A358" t="s">
        <v>17</v>
      </c>
      <c r="B358" t="s">
        <v>18</v>
      </c>
      <c r="C358" t="s">
        <v>19</v>
      </c>
      <c r="D358" t="s">
        <v>11</v>
      </c>
      <c r="E358" t="s">
        <v>12</v>
      </c>
      <c r="F358">
        <v>63</v>
      </c>
      <c r="G358">
        <v>61</v>
      </c>
      <c r="H358">
        <v>61</v>
      </c>
      <c r="I358">
        <f>StudentsTable[[#This Row],[math score]]+StudentsTable[[#This Row],[reading score]]+StudentsTable[[#This Row],[writing score]]</f>
        <v>185</v>
      </c>
      <c r="J358">
        <f>StudentsTable[[#This Row],[TotalScore]]/3</f>
        <v>61.666666666666664</v>
      </c>
      <c r="K358" t="str" cm="1">
        <f t="array" ref="K358">_xlfn.IFS(StudentsTable[[#This Row],[AverageScore]]&gt;=90,"A",StudentsTable[[#This Row],[AverageScore]]&gt;=80,"B",StudentsTable[[#This Row],[AverageScore]]&gt;=70,"C",StudentsTable[[#This Row],[AverageScore]]&gt;=60,"D",TRUE,"F")</f>
        <v>D</v>
      </c>
      <c r="L358" t="str">
        <f>IF(StudentsTable[[#This Row],[AverageScore]]&gt;=60,"Pass","Fail")</f>
        <v>Pass</v>
      </c>
      <c r="M358" t="str" cm="1">
        <f t="array" ref="M358">_xlfn.IFS(StudentsTable[[#This Row],[AverageScore]]&gt;=85,"Advanced",StudentsTable[[#This Row],[AverageScore]]&gt;=70,"Intermediate",StudentsTable[[#This Row],[AverageScore]]&gt;=60,"Basic",TRUE,"Needs Help")</f>
        <v>Basic</v>
      </c>
      <c r="N358">
        <f>RANK(StudentsTable[[#This Row],[AverageScore]],StudentsTable[AverageScore])</f>
        <v>671</v>
      </c>
      <c r="O358">
        <f>(StudentsTable[[#This Row],[AverageScore]]-MIN(StudentsTable[AverageScore]))/(MAX(StudentsTable[AverageScore])-MIN(StudentsTable[AverageScore]))*100</f>
        <v>57.875457875457869</v>
      </c>
    </row>
    <row r="359" spans="1:15" x14ac:dyDescent="0.3">
      <c r="A359" t="s">
        <v>8</v>
      </c>
      <c r="B359" t="s">
        <v>13</v>
      </c>
      <c r="C359" t="s">
        <v>14</v>
      </c>
      <c r="D359" t="s">
        <v>20</v>
      </c>
      <c r="E359" t="s">
        <v>15</v>
      </c>
      <c r="F359">
        <v>42</v>
      </c>
      <c r="G359">
        <v>66</v>
      </c>
      <c r="H359">
        <v>69</v>
      </c>
      <c r="I359">
        <f>StudentsTable[[#This Row],[math score]]+StudentsTable[[#This Row],[reading score]]+StudentsTable[[#This Row],[writing score]]</f>
        <v>177</v>
      </c>
      <c r="J359">
        <f>StudentsTable[[#This Row],[TotalScore]]/3</f>
        <v>59</v>
      </c>
      <c r="K359" t="str" cm="1">
        <f t="array" ref="K359">_xlfn.IFS(StudentsTable[[#This Row],[AverageScore]]&gt;=90,"A",StudentsTable[[#This Row],[AverageScore]]&gt;=80,"B",StudentsTable[[#This Row],[AverageScore]]&gt;=70,"C",StudentsTable[[#This Row],[AverageScore]]&gt;=60,"D",TRUE,"F")</f>
        <v>F</v>
      </c>
      <c r="L359" t="str">
        <f>IF(StudentsTable[[#This Row],[AverageScore]]&gt;=60,"Pass","Fail")</f>
        <v>Fail</v>
      </c>
      <c r="M359" t="str" cm="1">
        <f t="array" ref="M359">_xlfn.IFS(StudentsTable[[#This Row],[AverageScore]]&gt;=85,"Advanced",StudentsTable[[#This Row],[AverageScore]]&gt;=70,"Intermediate",StudentsTable[[#This Row],[AverageScore]]&gt;=60,"Basic",TRUE,"Needs Help")</f>
        <v>Needs Help</v>
      </c>
      <c r="N359">
        <f>RANK(StudentsTable[[#This Row],[AverageScore]],StudentsTable[AverageScore])</f>
        <v>727</v>
      </c>
      <c r="O359">
        <f>(StudentsTable[[#This Row],[AverageScore]]-MIN(StudentsTable[AverageScore]))/(MAX(StudentsTable[AverageScore])-MIN(StudentsTable[AverageScore]))*100</f>
        <v>54.945054945054949</v>
      </c>
    </row>
    <row r="360" spans="1:15" x14ac:dyDescent="0.3">
      <c r="A360" t="s">
        <v>17</v>
      </c>
      <c r="B360" t="s">
        <v>21</v>
      </c>
      <c r="C360" t="s">
        <v>14</v>
      </c>
      <c r="D360" t="s">
        <v>20</v>
      </c>
      <c r="E360" t="s">
        <v>12</v>
      </c>
      <c r="F360">
        <v>59</v>
      </c>
      <c r="G360">
        <v>62</v>
      </c>
      <c r="H360">
        <v>61</v>
      </c>
      <c r="I360">
        <f>StudentsTable[[#This Row],[math score]]+StudentsTable[[#This Row],[reading score]]+StudentsTable[[#This Row],[writing score]]</f>
        <v>182</v>
      </c>
      <c r="J360">
        <f>StudentsTable[[#This Row],[TotalScore]]/3</f>
        <v>60.666666666666664</v>
      </c>
      <c r="K360" t="str" cm="1">
        <f t="array" ref="K360">_xlfn.IFS(StudentsTable[[#This Row],[AverageScore]]&gt;=90,"A",StudentsTable[[#This Row],[AverageScore]]&gt;=80,"B",StudentsTable[[#This Row],[AverageScore]]&gt;=70,"C",StudentsTable[[#This Row],[AverageScore]]&gt;=60,"D",TRUE,"F")</f>
        <v>D</v>
      </c>
      <c r="L360" t="str">
        <f>IF(StudentsTable[[#This Row],[AverageScore]]&gt;=60,"Pass","Fail")</f>
        <v>Pass</v>
      </c>
      <c r="M360" t="str" cm="1">
        <f t="array" ref="M360">_xlfn.IFS(StudentsTable[[#This Row],[AverageScore]]&gt;=85,"Advanced",StudentsTable[[#This Row],[AverageScore]]&gt;=70,"Intermediate",StudentsTable[[#This Row],[AverageScore]]&gt;=60,"Basic",TRUE,"Needs Help")</f>
        <v>Basic</v>
      </c>
      <c r="N360">
        <f>RANK(StudentsTable[[#This Row],[AverageScore]],StudentsTable[AverageScore])</f>
        <v>693</v>
      </c>
      <c r="O360">
        <f>(StudentsTable[[#This Row],[AverageScore]]-MIN(StudentsTable[AverageScore]))/(MAX(StudentsTable[AverageScore])-MIN(StudentsTable[AverageScore]))*100</f>
        <v>56.776556776556774</v>
      </c>
    </row>
    <row r="361" spans="1:15" x14ac:dyDescent="0.3">
      <c r="A361" t="s">
        <v>8</v>
      </c>
      <c r="B361" t="s">
        <v>21</v>
      </c>
      <c r="C361" t="s">
        <v>14</v>
      </c>
      <c r="D361" t="s">
        <v>11</v>
      </c>
      <c r="E361" t="s">
        <v>12</v>
      </c>
      <c r="F361">
        <v>80</v>
      </c>
      <c r="G361">
        <v>90</v>
      </c>
      <c r="H361">
        <v>89</v>
      </c>
      <c r="I361">
        <f>StudentsTable[[#This Row],[math score]]+StudentsTable[[#This Row],[reading score]]+StudentsTable[[#This Row],[writing score]]</f>
        <v>259</v>
      </c>
      <c r="J361">
        <f>StudentsTable[[#This Row],[TotalScore]]/3</f>
        <v>86.333333333333329</v>
      </c>
      <c r="K361" t="str" cm="1">
        <f t="array" ref="K361">_xlfn.IFS(StudentsTable[[#This Row],[AverageScore]]&gt;=90,"A",StudentsTable[[#This Row],[AverageScore]]&gt;=80,"B",StudentsTable[[#This Row],[AverageScore]]&gt;=70,"C",StudentsTable[[#This Row],[AverageScore]]&gt;=60,"D",TRUE,"F")</f>
        <v>B</v>
      </c>
      <c r="L361" t="str">
        <f>IF(StudentsTable[[#This Row],[AverageScore]]&gt;=60,"Pass","Fail")</f>
        <v>Pass</v>
      </c>
      <c r="M361" t="str" cm="1">
        <f t="array" ref="M361">_xlfn.IFS(StudentsTable[[#This Row],[AverageScore]]&gt;=85,"Advanced",StudentsTable[[#This Row],[AverageScore]]&gt;=70,"Intermediate",StudentsTable[[#This Row],[AverageScore]]&gt;=60,"Basic",TRUE,"Needs Help")</f>
        <v>Advanced</v>
      </c>
      <c r="N361">
        <f>RANK(StudentsTable[[#This Row],[AverageScore]],StudentsTable[AverageScore])</f>
        <v>93</v>
      </c>
      <c r="O361">
        <f>(StudentsTable[[#This Row],[AverageScore]]-MIN(StudentsTable[AverageScore]))/(MAX(StudentsTable[AverageScore])-MIN(StudentsTable[AverageScore]))*100</f>
        <v>84.981684981684978</v>
      </c>
    </row>
    <row r="362" spans="1:15" x14ac:dyDescent="0.3">
      <c r="A362" t="s">
        <v>8</v>
      </c>
      <c r="B362" t="s">
        <v>9</v>
      </c>
      <c r="C362" t="s">
        <v>22</v>
      </c>
      <c r="D362" t="s">
        <v>11</v>
      </c>
      <c r="E362" t="s">
        <v>12</v>
      </c>
      <c r="F362">
        <v>58</v>
      </c>
      <c r="G362">
        <v>62</v>
      </c>
      <c r="H362">
        <v>59</v>
      </c>
      <c r="I362">
        <f>StudentsTable[[#This Row],[math score]]+StudentsTable[[#This Row],[reading score]]+StudentsTable[[#This Row],[writing score]]</f>
        <v>179</v>
      </c>
      <c r="J362">
        <f>StudentsTable[[#This Row],[TotalScore]]/3</f>
        <v>59.666666666666664</v>
      </c>
      <c r="K362" t="str" cm="1">
        <f t="array" ref="K362">_xlfn.IFS(StudentsTable[[#This Row],[AverageScore]]&gt;=90,"A",StudentsTable[[#This Row],[AverageScore]]&gt;=80,"B",StudentsTable[[#This Row],[AverageScore]]&gt;=70,"C",StudentsTable[[#This Row],[AverageScore]]&gt;=60,"D",TRUE,"F")</f>
        <v>F</v>
      </c>
      <c r="L362" t="str">
        <f>IF(StudentsTable[[#This Row],[AverageScore]]&gt;=60,"Pass","Fail")</f>
        <v>Fail</v>
      </c>
      <c r="M362" t="str" cm="1">
        <f t="array" ref="M362">_xlfn.IFS(StudentsTable[[#This Row],[AverageScore]]&gt;=85,"Advanced",StudentsTable[[#This Row],[AverageScore]]&gt;=70,"Intermediate",StudentsTable[[#This Row],[AverageScore]]&gt;=60,"Basic",TRUE,"Needs Help")</f>
        <v>Needs Help</v>
      </c>
      <c r="N362">
        <f>RANK(StudentsTable[[#This Row],[AverageScore]],StudentsTable[AverageScore])</f>
        <v>716</v>
      </c>
      <c r="O362">
        <f>(StudentsTable[[#This Row],[AverageScore]]-MIN(StudentsTable[AverageScore]))/(MAX(StudentsTable[AverageScore])-MIN(StudentsTable[AverageScore]))*100</f>
        <v>55.677655677655679</v>
      </c>
    </row>
    <row r="363" spans="1:15" x14ac:dyDescent="0.3">
      <c r="A363" t="s">
        <v>17</v>
      </c>
      <c r="B363" t="s">
        <v>9</v>
      </c>
      <c r="C363" t="s">
        <v>23</v>
      </c>
      <c r="D363" t="s">
        <v>11</v>
      </c>
      <c r="E363" t="s">
        <v>15</v>
      </c>
      <c r="F363">
        <v>85</v>
      </c>
      <c r="G363">
        <v>84</v>
      </c>
      <c r="H363">
        <v>78</v>
      </c>
      <c r="I363">
        <f>StudentsTable[[#This Row],[math score]]+StudentsTable[[#This Row],[reading score]]+StudentsTable[[#This Row],[writing score]]</f>
        <v>247</v>
      </c>
      <c r="J363">
        <f>StudentsTable[[#This Row],[TotalScore]]/3</f>
        <v>82.333333333333329</v>
      </c>
      <c r="K363" t="str" cm="1">
        <f t="array" ref="K363">_xlfn.IFS(StudentsTable[[#This Row],[AverageScore]]&gt;=90,"A",StudentsTable[[#This Row],[AverageScore]]&gt;=80,"B",StudentsTable[[#This Row],[AverageScore]]&gt;=70,"C",StudentsTable[[#This Row],[AverageScore]]&gt;=60,"D",TRUE,"F")</f>
        <v>B</v>
      </c>
      <c r="L363" t="str">
        <f>IF(StudentsTable[[#This Row],[AverageScore]]&gt;=60,"Pass","Fail")</f>
        <v>Pass</v>
      </c>
      <c r="M363" t="str" cm="1">
        <f t="array" ref="M363">_xlfn.IFS(StudentsTable[[#This Row],[AverageScore]]&gt;=85,"Advanced",StudentsTable[[#This Row],[AverageScore]]&gt;=70,"Intermediate",StudentsTable[[#This Row],[AverageScore]]&gt;=60,"Basic",TRUE,"Needs Help")</f>
        <v>Intermediate</v>
      </c>
      <c r="N363">
        <f>RANK(StudentsTable[[#This Row],[AverageScore]],StudentsTable[AverageScore])</f>
        <v>155</v>
      </c>
      <c r="O363">
        <f>(StudentsTable[[#This Row],[AverageScore]]-MIN(StudentsTable[AverageScore]))/(MAX(StudentsTable[AverageScore])-MIN(StudentsTable[AverageScore]))*100</f>
        <v>80.586080586080584</v>
      </c>
    </row>
    <row r="364" spans="1:15" x14ac:dyDescent="0.3">
      <c r="A364" t="s">
        <v>8</v>
      </c>
      <c r="B364" t="s">
        <v>13</v>
      </c>
      <c r="C364" t="s">
        <v>14</v>
      </c>
      <c r="D364" t="s">
        <v>11</v>
      </c>
      <c r="E364" t="s">
        <v>12</v>
      </c>
      <c r="F364">
        <v>52</v>
      </c>
      <c r="G364">
        <v>58</v>
      </c>
      <c r="H364">
        <v>58</v>
      </c>
      <c r="I364">
        <f>StudentsTable[[#This Row],[math score]]+StudentsTable[[#This Row],[reading score]]+StudentsTable[[#This Row],[writing score]]</f>
        <v>168</v>
      </c>
      <c r="J364">
        <f>StudentsTable[[#This Row],[TotalScore]]/3</f>
        <v>56</v>
      </c>
      <c r="K364" t="str" cm="1">
        <f t="array" ref="K364">_xlfn.IFS(StudentsTable[[#This Row],[AverageScore]]&gt;=90,"A",StudentsTable[[#This Row],[AverageScore]]&gt;=80,"B",StudentsTable[[#This Row],[AverageScore]]&gt;=70,"C",StudentsTable[[#This Row],[AverageScore]]&gt;=60,"D",TRUE,"F")</f>
        <v>F</v>
      </c>
      <c r="L364" t="str">
        <f>IF(StudentsTable[[#This Row],[AverageScore]]&gt;=60,"Pass","Fail")</f>
        <v>Fail</v>
      </c>
      <c r="M364" t="str" cm="1">
        <f t="array" ref="M364">_xlfn.IFS(StudentsTable[[#This Row],[AverageScore]]&gt;=85,"Advanced",StudentsTable[[#This Row],[AverageScore]]&gt;=70,"Intermediate",StudentsTable[[#This Row],[AverageScore]]&gt;=60,"Basic",TRUE,"Needs Help")</f>
        <v>Needs Help</v>
      </c>
      <c r="N364">
        <f>RANK(StudentsTable[[#This Row],[AverageScore]],StudentsTable[AverageScore])</f>
        <v>786</v>
      </c>
      <c r="O364">
        <f>(StudentsTable[[#This Row],[AverageScore]]-MIN(StudentsTable[AverageScore]))/(MAX(StudentsTable[AverageScore])-MIN(StudentsTable[AverageScore]))*100</f>
        <v>51.648351648351657</v>
      </c>
    </row>
    <row r="365" spans="1:15" x14ac:dyDescent="0.3">
      <c r="A365" t="s">
        <v>8</v>
      </c>
      <c r="B365" t="s">
        <v>21</v>
      </c>
      <c r="C365" t="s">
        <v>23</v>
      </c>
      <c r="D365" t="s">
        <v>20</v>
      </c>
      <c r="E365" t="s">
        <v>12</v>
      </c>
      <c r="F365">
        <v>27</v>
      </c>
      <c r="G365">
        <v>34</v>
      </c>
      <c r="H365">
        <v>32</v>
      </c>
      <c r="I365">
        <f>StudentsTable[[#This Row],[math score]]+StudentsTable[[#This Row],[reading score]]+StudentsTable[[#This Row],[writing score]]</f>
        <v>93</v>
      </c>
      <c r="J365">
        <f>StudentsTable[[#This Row],[TotalScore]]/3</f>
        <v>31</v>
      </c>
      <c r="K365" t="str" cm="1">
        <f t="array" ref="K365">_xlfn.IFS(StudentsTable[[#This Row],[AverageScore]]&gt;=90,"A",StudentsTable[[#This Row],[AverageScore]]&gt;=80,"B",StudentsTable[[#This Row],[AverageScore]]&gt;=70,"C",StudentsTable[[#This Row],[AverageScore]]&gt;=60,"D",TRUE,"F")</f>
        <v>F</v>
      </c>
      <c r="L365" t="str">
        <f>IF(StudentsTable[[#This Row],[AverageScore]]&gt;=60,"Pass","Fail")</f>
        <v>Fail</v>
      </c>
      <c r="M365" t="str" cm="1">
        <f t="array" ref="M365">_xlfn.IFS(StudentsTable[[#This Row],[AverageScore]]&gt;=85,"Advanced",StudentsTable[[#This Row],[AverageScore]]&gt;=70,"Intermediate",StudentsTable[[#This Row],[AverageScore]]&gt;=60,"Basic",TRUE,"Needs Help")</f>
        <v>Needs Help</v>
      </c>
      <c r="N365">
        <f>RANK(StudentsTable[[#This Row],[AverageScore]],StudentsTable[AverageScore])</f>
        <v>989</v>
      </c>
      <c r="O365">
        <f>(StudentsTable[[#This Row],[AverageScore]]-MIN(StudentsTable[AverageScore]))/(MAX(StudentsTable[AverageScore])-MIN(StudentsTable[AverageScore]))*100</f>
        <v>24.175824175824175</v>
      </c>
    </row>
    <row r="366" spans="1:15" x14ac:dyDescent="0.3">
      <c r="A366" t="s">
        <v>17</v>
      </c>
      <c r="B366" t="s">
        <v>13</v>
      </c>
      <c r="C366" t="s">
        <v>14</v>
      </c>
      <c r="D366" t="s">
        <v>11</v>
      </c>
      <c r="E366" t="s">
        <v>12</v>
      </c>
      <c r="F366">
        <v>59</v>
      </c>
      <c r="G366">
        <v>60</v>
      </c>
      <c r="H366">
        <v>58</v>
      </c>
      <c r="I366">
        <f>StudentsTable[[#This Row],[math score]]+StudentsTable[[#This Row],[reading score]]+StudentsTable[[#This Row],[writing score]]</f>
        <v>177</v>
      </c>
      <c r="J366">
        <f>StudentsTable[[#This Row],[TotalScore]]/3</f>
        <v>59</v>
      </c>
      <c r="K366" t="str" cm="1">
        <f t="array" ref="K366">_xlfn.IFS(StudentsTable[[#This Row],[AverageScore]]&gt;=90,"A",StudentsTable[[#This Row],[AverageScore]]&gt;=80,"B",StudentsTable[[#This Row],[AverageScore]]&gt;=70,"C",StudentsTable[[#This Row],[AverageScore]]&gt;=60,"D",TRUE,"F")</f>
        <v>F</v>
      </c>
      <c r="L366" t="str">
        <f>IF(StudentsTable[[#This Row],[AverageScore]]&gt;=60,"Pass","Fail")</f>
        <v>Fail</v>
      </c>
      <c r="M366" t="str" cm="1">
        <f t="array" ref="M366">_xlfn.IFS(StudentsTable[[#This Row],[AverageScore]]&gt;=85,"Advanced",StudentsTable[[#This Row],[AverageScore]]&gt;=70,"Intermediate",StudentsTable[[#This Row],[AverageScore]]&gt;=60,"Basic",TRUE,"Needs Help")</f>
        <v>Needs Help</v>
      </c>
      <c r="N366">
        <f>RANK(StudentsTable[[#This Row],[AverageScore]],StudentsTable[AverageScore])</f>
        <v>727</v>
      </c>
      <c r="O366">
        <f>(StudentsTable[[#This Row],[AverageScore]]-MIN(StudentsTable[AverageScore]))/(MAX(StudentsTable[AverageScore])-MIN(StudentsTable[AverageScore]))*100</f>
        <v>54.945054945054949</v>
      </c>
    </row>
    <row r="367" spans="1:15" x14ac:dyDescent="0.3">
      <c r="A367" t="s">
        <v>17</v>
      </c>
      <c r="B367" t="s">
        <v>18</v>
      </c>
      <c r="C367" t="s">
        <v>10</v>
      </c>
      <c r="D367" t="s">
        <v>20</v>
      </c>
      <c r="E367" t="s">
        <v>15</v>
      </c>
      <c r="F367">
        <v>49</v>
      </c>
      <c r="G367">
        <v>58</v>
      </c>
      <c r="H367">
        <v>60</v>
      </c>
      <c r="I367">
        <f>StudentsTable[[#This Row],[math score]]+StudentsTable[[#This Row],[reading score]]+StudentsTable[[#This Row],[writing score]]</f>
        <v>167</v>
      </c>
      <c r="J367">
        <f>StudentsTable[[#This Row],[TotalScore]]/3</f>
        <v>55.666666666666664</v>
      </c>
      <c r="K367" t="str" cm="1">
        <f t="array" ref="K367">_xlfn.IFS(StudentsTable[[#This Row],[AverageScore]]&gt;=90,"A",StudentsTable[[#This Row],[AverageScore]]&gt;=80,"B",StudentsTable[[#This Row],[AverageScore]]&gt;=70,"C",StudentsTable[[#This Row],[AverageScore]]&gt;=60,"D",TRUE,"F")</f>
        <v>F</v>
      </c>
      <c r="L367" t="str">
        <f>IF(StudentsTable[[#This Row],[AverageScore]]&gt;=60,"Pass","Fail")</f>
        <v>Fail</v>
      </c>
      <c r="M367" t="str" cm="1">
        <f t="array" ref="M367">_xlfn.IFS(StudentsTable[[#This Row],[AverageScore]]&gt;=85,"Advanced",StudentsTable[[#This Row],[AverageScore]]&gt;=70,"Intermediate",StudentsTable[[#This Row],[AverageScore]]&gt;=60,"Basic",TRUE,"Needs Help")</f>
        <v>Needs Help</v>
      </c>
      <c r="N367">
        <f>RANK(StudentsTable[[#This Row],[AverageScore]],StudentsTable[AverageScore])</f>
        <v>796</v>
      </c>
      <c r="O367">
        <f>(StudentsTable[[#This Row],[AverageScore]]-MIN(StudentsTable[AverageScore]))/(MAX(StudentsTable[AverageScore])-MIN(StudentsTable[AverageScore]))*100</f>
        <v>51.282051282051277</v>
      </c>
    </row>
    <row r="368" spans="1:15" x14ac:dyDescent="0.3">
      <c r="A368" t="s">
        <v>17</v>
      </c>
      <c r="B368" t="s">
        <v>13</v>
      </c>
      <c r="C368" t="s">
        <v>22</v>
      </c>
      <c r="D368" t="s">
        <v>11</v>
      </c>
      <c r="E368" t="s">
        <v>15</v>
      </c>
      <c r="F368">
        <v>69</v>
      </c>
      <c r="G368">
        <v>58</v>
      </c>
      <c r="H368">
        <v>53</v>
      </c>
      <c r="I368">
        <f>StudentsTable[[#This Row],[math score]]+StudentsTable[[#This Row],[reading score]]+StudentsTable[[#This Row],[writing score]]</f>
        <v>180</v>
      </c>
      <c r="J368">
        <f>StudentsTable[[#This Row],[TotalScore]]/3</f>
        <v>60</v>
      </c>
      <c r="K368" t="str" cm="1">
        <f t="array" ref="K368">_xlfn.IFS(StudentsTable[[#This Row],[AverageScore]]&gt;=90,"A",StudentsTable[[#This Row],[AverageScore]]&gt;=80,"B",StudentsTable[[#This Row],[AverageScore]]&gt;=70,"C",StudentsTable[[#This Row],[AverageScore]]&gt;=60,"D",TRUE,"F")</f>
        <v>D</v>
      </c>
      <c r="L368" t="str">
        <f>IF(StudentsTable[[#This Row],[AverageScore]]&gt;=60,"Pass","Fail")</f>
        <v>Pass</v>
      </c>
      <c r="M368" t="str" cm="1">
        <f t="array" ref="M368">_xlfn.IFS(StudentsTable[[#This Row],[AverageScore]]&gt;=85,"Advanced",StudentsTable[[#This Row],[AverageScore]]&gt;=70,"Intermediate",StudentsTable[[#This Row],[AverageScore]]&gt;=60,"Basic",TRUE,"Needs Help")</f>
        <v>Basic</v>
      </c>
      <c r="N368">
        <f>RANK(StudentsTable[[#This Row],[AverageScore]],StudentsTable[AverageScore])</f>
        <v>708</v>
      </c>
      <c r="O368">
        <f>(StudentsTable[[#This Row],[AverageScore]]-MIN(StudentsTable[AverageScore]))/(MAX(StudentsTable[AverageScore])-MIN(StudentsTable[AverageScore]))*100</f>
        <v>56.043956043956044</v>
      </c>
    </row>
    <row r="369" spans="1:15" x14ac:dyDescent="0.3">
      <c r="A369" t="s">
        <v>17</v>
      </c>
      <c r="B369" t="s">
        <v>13</v>
      </c>
      <c r="C369" t="s">
        <v>10</v>
      </c>
      <c r="D369" t="s">
        <v>20</v>
      </c>
      <c r="E369" t="s">
        <v>12</v>
      </c>
      <c r="F369">
        <v>61</v>
      </c>
      <c r="G369">
        <v>66</v>
      </c>
      <c r="H369">
        <v>61</v>
      </c>
      <c r="I369">
        <f>StudentsTable[[#This Row],[math score]]+StudentsTable[[#This Row],[reading score]]+StudentsTable[[#This Row],[writing score]]</f>
        <v>188</v>
      </c>
      <c r="J369">
        <f>StudentsTable[[#This Row],[TotalScore]]/3</f>
        <v>62.666666666666664</v>
      </c>
      <c r="K369" t="str" cm="1">
        <f t="array" ref="K369">_xlfn.IFS(StudentsTable[[#This Row],[AverageScore]]&gt;=90,"A",StudentsTable[[#This Row],[AverageScore]]&gt;=80,"B",StudentsTable[[#This Row],[AverageScore]]&gt;=70,"C",StudentsTable[[#This Row],[AverageScore]]&gt;=60,"D",TRUE,"F")</f>
        <v>D</v>
      </c>
      <c r="L369" t="str">
        <f>IF(StudentsTable[[#This Row],[AverageScore]]&gt;=60,"Pass","Fail")</f>
        <v>Pass</v>
      </c>
      <c r="M369" t="str" cm="1">
        <f t="array" ref="M369">_xlfn.IFS(StudentsTable[[#This Row],[AverageScore]]&gt;=85,"Advanced",StudentsTable[[#This Row],[AverageScore]]&gt;=70,"Intermediate",StudentsTable[[#This Row],[AverageScore]]&gt;=60,"Basic",TRUE,"Needs Help")</f>
        <v>Basic</v>
      </c>
      <c r="N369">
        <f>RANK(StudentsTable[[#This Row],[AverageScore]],StudentsTable[AverageScore])</f>
        <v>653</v>
      </c>
      <c r="O369">
        <f>(StudentsTable[[#This Row],[AverageScore]]-MIN(StudentsTable[AverageScore]))/(MAX(StudentsTable[AverageScore])-MIN(StudentsTable[AverageScore]))*100</f>
        <v>58.974358974358978</v>
      </c>
    </row>
    <row r="370" spans="1:15" x14ac:dyDescent="0.3">
      <c r="A370" t="s">
        <v>8</v>
      </c>
      <c r="B370" t="s">
        <v>18</v>
      </c>
      <c r="C370" t="s">
        <v>23</v>
      </c>
      <c r="D370" t="s">
        <v>20</v>
      </c>
      <c r="E370" t="s">
        <v>12</v>
      </c>
      <c r="F370">
        <v>44</v>
      </c>
      <c r="G370">
        <v>64</v>
      </c>
      <c r="H370">
        <v>58</v>
      </c>
      <c r="I370">
        <f>StudentsTable[[#This Row],[math score]]+StudentsTable[[#This Row],[reading score]]+StudentsTable[[#This Row],[writing score]]</f>
        <v>166</v>
      </c>
      <c r="J370">
        <f>StudentsTable[[#This Row],[TotalScore]]/3</f>
        <v>55.333333333333336</v>
      </c>
      <c r="K370" t="str" cm="1">
        <f t="array" ref="K370">_xlfn.IFS(StudentsTable[[#This Row],[AverageScore]]&gt;=90,"A",StudentsTable[[#This Row],[AverageScore]]&gt;=80,"B",StudentsTable[[#This Row],[AverageScore]]&gt;=70,"C",StudentsTable[[#This Row],[AverageScore]]&gt;=60,"D",TRUE,"F")</f>
        <v>F</v>
      </c>
      <c r="L370" t="str">
        <f>IF(StudentsTable[[#This Row],[AverageScore]]&gt;=60,"Pass","Fail")</f>
        <v>Fail</v>
      </c>
      <c r="M370" t="str" cm="1">
        <f t="array" ref="M370">_xlfn.IFS(StudentsTable[[#This Row],[AverageScore]]&gt;=85,"Advanced",StudentsTable[[#This Row],[AverageScore]]&gt;=70,"Intermediate",StudentsTable[[#This Row],[AverageScore]]&gt;=60,"Basic",TRUE,"Needs Help")</f>
        <v>Needs Help</v>
      </c>
      <c r="N370">
        <f>RANK(StudentsTable[[#This Row],[AverageScore]],StudentsTable[AverageScore])</f>
        <v>803</v>
      </c>
      <c r="O370">
        <f>(StudentsTable[[#This Row],[AverageScore]]-MIN(StudentsTable[AverageScore]))/(MAX(StudentsTable[AverageScore])-MIN(StudentsTable[AverageScore]))*100</f>
        <v>50.915750915750927</v>
      </c>
    </row>
    <row r="371" spans="1:15" x14ac:dyDescent="0.3">
      <c r="A371" t="s">
        <v>8</v>
      </c>
      <c r="B371" t="s">
        <v>21</v>
      </c>
      <c r="C371" t="s">
        <v>23</v>
      </c>
      <c r="D371" t="s">
        <v>11</v>
      </c>
      <c r="E371" t="s">
        <v>12</v>
      </c>
      <c r="F371">
        <v>73</v>
      </c>
      <c r="G371">
        <v>84</v>
      </c>
      <c r="H371">
        <v>85</v>
      </c>
      <c r="I371">
        <f>StudentsTable[[#This Row],[math score]]+StudentsTable[[#This Row],[reading score]]+StudentsTable[[#This Row],[writing score]]</f>
        <v>242</v>
      </c>
      <c r="J371">
        <f>StudentsTable[[#This Row],[TotalScore]]/3</f>
        <v>80.666666666666671</v>
      </c>
      <c r="K371" t="str" cm="1">
        <f t="array" ref="K371">_xlfn.IFS(StudentsTable[[#This Row],[AverageScore]]&gt;=90,"A",StudentsTable[[#This Row],[AverageScore]]&gt;=80,"B",StudentsTable[[#This Row],[AverageScore]]&gt;=70,"C",StudentsTable[[#This Row],[AverageScore]]&gt;=60,"D",TRUE,"F")</f>
        <v>B</v>
      </c>
      <c r="L371" t="str">
        <f>IF(StudentsTable[[#This Row],[AverageScore]]&gt;=60,"Pass","Fail")</f>
        <v>Pass</v>
      </c>
      <c r="M371" t="str" cm="1">
        <f t="array" ref="M371">_xlfn.IFS(StudentsTable[[#This Row],[AverageScore]]&gt;=85,"Advanced",StudentsTable[[#This Row],[AverageScore]]&gt;=70,"Intermediate",StudentsTable[[#This Row],[AverageScore]]&gt;=60,"Basic",TRUE,"Needs Help")</f>
        <v>Intermediate</v>
      </c>
      <c r="N371">
        <f>RANK(StudentsTable[[#This Row],[AverageScore]],StudentsTable[AverageScore])</f>
        <v>180</v>
      </c>
      <c r="O371">
        <f>(StudentsTable[[#This Row],[AverageScore]]-MIN(StudentsTable[AverageScore]))/(MAX(StudentsTable[AverageScore])-MIN(StudentsTable[AverageScore]))*100</f>
        <v>78.754578754578759</v>
      </c>
    </row>
    <row r="372" spans="1:15" x14ac:dyDescent="0.3">
      <c r="A372" t="s">
        <v>17</v>
      </c>
      <c r="B372" t="s">
        <v>24</v>
      </c>
      <c r="C372" t="s">
        <v>14</v>
      </c>
      <c r="D372" t="s">
        <v>11</v>
      </c>
      <c r="E372" t="s">
        <v>12</v>
      </c>
      <c r="F372">
        <v>84</v>
      </c>
      <c r="G372">
        <v>77</v>
      </c>
      <c r="H372">
        <v>71</v>
      </c>
      <c r="I372">
        <f>StudentsTable[[#This Row],[math score]]+StudentsTable[[#This Row],[reading score]]+StudentsTable[[#This Row],[writing score]]</f>
        <v>232</v>
      </c>
      <c r="J372">
        <f>StudentsTable[[#This Row],[TotalScore]]/3</f>
        <v>77.333333333333329</v>
      </c>
      <c r="K372" t="str" cm="1">
        <f t="array" ref="K372">_xlfn.IFS(StudentsTable[[#This Row],[AverageScore]]&gt;=90,"A",StudentsTable[[#This Row],[AverageScore]]&gt;=80,"B",StudentsTable[[#This Row],[AverageScore]]&gt;=70,"C",StudentsTable[[#This Row],[AverageScore]]&gt;=60,"D",TRUE,"F")</f>
        <v>C</v>
      </c>
      <c r="L372" t="str">
        <f>IF(StudentsTable[[#This Row],[AverageScore]]&gt;=60,"Pass","Fail")</f>
        <v>Pass</v>
      </c>
      <c r="M372" t="str" cm="1">
        <f t="array" ref="M372">_xlfn.IFS(StudentsTable[[#This Row],[AverageScore]]&gt;=85,"Advanced",StudentsTable[[#This Row],[AverageScore]]&gt;=70,"Intermediate",StudentsTable[[#This Row],[AverageScore]]&gt;=60,"Basic",TRUE,"Needs Help")</f>
        <v>Intermediate</v>
      </c>
      <c r="N372">
        <f>RANK(StudentsTable[[#This Row],[AverageScore]],StudentsTable[AverageScore])</f>
        <v>255</v>
      </c>
      <c r="O372">
        <f>(StudentsTable[[#This Row],[AverageScore]]-MIN(StudentsTable[AverageScore]))/(MAX(StudentsTable[AverageScore])-MIN(StudentsTable[AverageScore]))*100</f>
        <v>75.091575091575095</v>
      </c>
    </row>
    <row r="373" spans="1:15" x14ac:dyDescent="0.3">
      <c r="A373" t="s">
        <v>8</v>
      </c>
      <c r="B373" t="s">
        <v>13</v>
      </c>
      <c r="C373" t="s">
        <v>14</v>
      </c>
      <c r="D373" t="s">
        <v>20</v>
      </c>
      <c r="E373" t="s">
        <v>15</v>
      </c>
      <c r="F373">
        <v>45</v>
      </c>
      <c r="G373">
        <v>73</v>
      </c>
      <c r="H373">
        <v>70</v>
      </c>
      <c r="I373">
        <f>StudentsTable[[#This Row],[math score]]+StudentsTable[[#This Row],[reading score]]+StudentsTable[[#This Row],[writing score]]</f>
        <v>188</v>
      </c>
      <c r="J373">
        <f>StudentsTable[[#This Row],[TotalScore]]/3</f>
        <v>62.666666666666664</v>
      </c>
      <c r="K373" t="str" cm="1">
        <f t="array" ref="K373">_xlfn.IFS(StudentsTable[[#This Row],[AverageScore]]&gt;=90,"A",StudentsTable[[#This Row],[AverageScore]]&gt;=80,"B",StudentsTable[[#This Row],[AverageScore]]&gt;=70,"C",StudentsTable[[#This Row],[AverageScore]]&gt;=60,"D",TRUE,"F")</f>
        <v>D</v>
      </c>
      <c r="L373" t="str">
        <f>IF(StudentsTable[[#This Row],[AverageScore]]&gt;=60,"Pass","Fail")</f>
        <v>Pass</v>
      </c>
      <c r="M373" t="str" cm="1">
        <f t="array" ref="M373">_xlfn.IFS(StudentsTable[[#This Row],[AverageScore]]&gt;=85,"Advanced",StudentsTable[[#This Row],[AverageScore]]&gt;=70,"Intermediate",StudentsTable[[#This Row],[AverageScore]]&gt;=60,"Basic",TRUE,"Needs Help")</f>
        <v>Basic</v>
      </c>
      <c r="N373">
        <f>RANK(StudentsTable[[#This Row],[AverageScore]],StudentsTable[AverageScore])</f>
        <v>653</v>
      </c>
      <c r="O373">
        <f>(StudentsTable[[#This Row],[AverageScore]]-MIN(StudentsTable[AverageScore]))/(MAX(StudentsTable[AverageScore])-MIN(StudentsTable[AverageScore]))*100</f>
        <v>58.974358974358978</v>
      </c>
    </row>
    <row r="374" spans="1:15" x14ac:dyDescent="0.3">
      <c r="A374" t="s">
        <v>17</v>
      </c>
      <c r="B374" t="s">
        <v>21</v>
      </c>
      <c r="C374" t="s">
        <v>23</v>
      </c>
      <c r="D374" t="s">
        <v>11</v>
      </c>
      <c r="E374" t="s">
        <v>12</v>
      </c>
      <c r="F374">
        <v>74</v>
      </c>
      <c r="G374">
        <v>74</v>
      </c>
      <c r="H374">
        <v>72</v>
      </c>
      <c r="I374">
        <f>StudentsTable[[#This Row],[math score]]+StudentsTable[[#This Row],[reading score]]+StudentsTable[[#This Row],[writing score]]</f>
        <v>220</v>
      </c>
      <c r="J374">
        <f>StudentsTable[[#This Row],[TotalScore]]/3</f>
        <v>73.333333333333329</v>
      </c>
      <c r="K374" t="str" cm="1">
        <f t="array" ref="K374">_xlfn.IFS(StudentsTable[[#This Row],[AverageScore]]&gt;=90,"A",StudentsTable[[#This Row],[AverageScore]]&gt;=80,"B",StudentsTable[[#This Row],[AverageScore]]&gt;=70,"C",StudentsTable[[#This Row],[AverageScore]]&gt;=60,"D",TRUE,"F")</f>
        <v>C</v>
      </c>
      <c r="L374" t="str">
        <f>IF(StudentsTable[[#This Row],[AverageScore]]&gt;=60,"Pass","Fail")</f>
        <v>Pass</v>
      </c>
      <c r="M374" t="str" cm="1">
        <f t="array" ref="M374">_xlfn.IFS(StudentsTable[[#This Row],[AverageScore]]&gt;=85,"Advanced",StudentsTable[[#This Row],[AverageScore]]&gt;=70,"Intermediate",StudentsTable[[#This Row],[AverageScore]]&gt;=60,"Basic",TRUE,"Needs Help")</f>
        <v>Intermediate</v>
      </c>
      <c r="N374">
        <f>RANK(StudentsTable[[#This Row],[AverageScore]],StudentsTable[AverageScore])</f>
        <v>356</v>
      </c>
      <c r="O374">
        <f>(StudentsTable[[#This Row],[AverageScore]]-MIN(StudentsTable[AverageScore]))/(MAX(StudentsTable[AverageScore])-MIN(StudentsTable[AverageScore]))*100</f>
        <v>70.695970695970686</v>
      </c>
    </row>
    <row r="375" spans="1:15" x14ac:dyDescent="0.3">
      <c r="A375" t="s">
        <v>8</v>
      </c>
      <c r="B375" t="s">
        <v>21</v>
      </c>
      <c r="C375" t="s">
        <v>14</v>
      </c>
      <c r="D375" t="s">
        <v>11</v>
      </c>
      <c r="E375" t="s">
        <v>15</v>
      </c>
      <c r="F375">
        <v>82</v>
      </c>
      <c r="G375">
        <v>97</v>
      </c>
      <c r="H375">
        <v>96</v>
      </c>
      <c r="I375">
        <f>StudentsTable[[#This Row],[math score]]+StudentsTable[[#This Row],[reading score]]+StudentsTable[[#This Row],[writing score]]</f>
        <v>275</v>
      </c>
      <c r="J375">
        <f>StudentsTable[[#This Row],[TotalScore]]/3</f>
        <v>91.666666666666671</v>
      </c>
      <c r="K375" t="str" cm="1">
        <f t="array" ref="K375">_xlfn.IFS(StudentsTable[[#This Row],[AverageScore]]&gt;=90,"A",StudentsTable[[#This Row],[AverageScore]]&gt;=80,"B",StudentsTable[[#This Row],[AverageScore]]&gt;=70,"C",StudentsTable[[#This Row],[AverageScore]]&gt;=60,"D",TRUE,"F")</f>
        <v>A</v>
      </c>
      <c r="L375" t="str">
        <f>IF(StudentsTable[[#This Row],[AverageScore]]&gt;=60,"Pass","Fail")</f>
        <v>Pass</v>
      </c>
      <c r="M375" t="str" cm="1">
        <f t="array" ref="M375">_xlfn.IFS(StudentsTable[[#This Row],[AverageScore]]&gt;=85,"Advanced",StudentsTable[[#This Row],[AverageScore]]&gt;=70,"Intermediate",StudentsTable[[#This Row],[AverageScore]]&gt;=60,"Basic",TRUE,"Needs Help")</f>
        <v>Advanced</v>
      </c>
      <c r="N375">
        <f>RANK(StudentsTable[[#This Row],[AverageScore]],StudentsTable[AverageScore])</f>
        <v>37</v>
      </c>
      <c r="O375">
        <f>(StudentsTable[[#This Row],[AverageScore]]-MIN(StudentsTable[AverageScore]))/(MAX(StudentsTable[AverageScore])-MIN(StudentsTable[AverageScore]))*100</f>
        <v>90.842490842490847</v>
      </c>
    </row>
    <row r="376" spans="1:15" x14ac:dyDescent="0.3">
      <c r="A376" t="s">
        <v>8</v>
      </c>
      <c r="B376" t="s">
        <v>21</v>
      </c>
      <c r="C376" t="s">
        <v>10</v>
      </c>
      <c r="D376" t="s">
        <v>11</v>
      </c>
      <c r="E376" t="s">
        <v>12</v>
      </c>
      <c r="F376">
        <v>59</v>
      </c>
      <c r="G376">
        <v>70</v>
      </c>
      <c r="H376">
        <v>73</v>
      </c>
      <c r="I376">
        <f>StudentsTable[[#This Row],[math score]]+StudentsTable[[#This Row],[reading score]]+StudentsTable[[#This Row],[writing score]]</f>
        <v>202</v>
      </c>
      <c r="J376">
        <f>StudentsTable[[#This Row],[TotalScore]]/3</f>
        <v>67.333333333333329</v>
      </c>
      <c r="K376" t="str" cm="1">
        <f t="array" ref="K376">_xlfn.IFS(StudentsTable[[#This Row],[AverageScore]]&gt;=90,"A",StudentsTable[[#This Row],[AverageScore]]&gt;=80,"B",StudentsTable[[#This Row],[AverageScore]]&gt;=70,"C",StudentsTable[[#This Row],[AverageScore]]&gt;=60,"D",TRUE,"F")</f>
        <v>D</v>
      </c>
      <c r="L376" t="str">
        <f>IF(StudentsTable[[#This Row],[AverageScore]]&gt;=60,"Pass","Fail")</f>
        <v>Pass</v>
      </c>
      <c r="M376" t="str" cm="1">
        <f t="array" ref="M376">_xlfn.IFS(StudentsTable[[#This Row],[AverageScore]]&gt;=85,"Advanced",StudentsTable[[#This Row],[AverageScore]]&gt;=70,"Intermediate",StudentsTable[[#This Row],[AverageScore]]&gt;=60,"Basic",TRUE,"Needs Help")</f>
        <v>Basic</v>
      </c>
      <c r="N376">
        <f>RANK(StudentsTable[[#This Row],[AverageScore]],StudentsTable[AverageScore])</f>
        <v>534</v>
      </c>
      <c r="O376">
        <f>(StudentsTable[[#This Row],[AverageScore]]-MIN(StudentsTable[AverageScore]))/(MAX(StudentsTable[AverageScore])-MIN(StudentsTable[AverageScore]))*100</f>
        <v>64.102564102564102</v>
      </c>
    </row>
    <row r="377" spans="1:15" x14ac:dyDescent="0.3">
      <c r="A377" t="s">
        <v>17</v>
      </c>
      <c r="B377" t="s">
        <v>24</v>
      </c>
      <c r="C377" t="s">
        <v>19</v>
      </c>
      <c r="D377" t="s">
        <v>20</v>
      </c>
      <c r="E377" t="s">
        <v>12</v>
      </c>
      <c r="F377">
        <v>46</v>
      </c>
      <c r="G377">
        <v>43</v>
      </c>
      <c r="H377">
        <v>41</v>
      </c>
      <c r="I377">
        <f>StudentsTable[[#This Row],[math score]]+StudentsTable[[#This Row],[reading score]]+StudentsTable[[#This Row],[writing score]]</f>
        <v>130</v>
      </c>
      <c r="J377">
        <f>StudentsTable[[#This Row],[TotalScore]]/3</f>
        <v>43.333333333333336</v>
      </c>
      <c r="K377" t="str" cm="1">
        <f t="array" ref="K377">_xlfn.IFS(StudentsTable[[#This Row],[AverageScore]]&gt;=90,"A",StudentsTable[[#This Row],[AverageScore]]&gt;=80,"B",StudentsTable[[#This Row],[AverageScore]]&gt;=70,"C",StudentsTable[[#This Row],[AverageScore]]&gt;=60,"D",TRUE,"F")</f>
        <v>F</v>
      </c>
      <c r="L377" t="str">
        <f>IF(StudentsTable[[#This Row],[AverageScore]]&gt;=60,"Pass","Fail")</f>
        <v>Fail</v>
      </c>
      <c r="M377" t="str" cm="1">
        <f t="array" ref="M377">_xlfn.IFS(StudentsTable[[#This Row],[AverageScore]]&gt;=85,"Advanced",StudentsTable[[#This Row],[AverageScore]]&gt;=70,"Intermediate",StudentsTable[[#This Row],[AverageScore]]&gt;=60,"Basic",TRUE,"Needs Help")</f>
        <v>Needs Help</v>
      </c>
      <c r="N377">
        <f>RANK(StudentsTable[[#This Row],[AverageScore]],StudentsTable[AverageScore])</f>
        <v>956</v>
      </c>
      <c r="O377">
        <f>(StudentsTable[[#This Row],[AverageScore]]-MIN(StudentsTable[AverageScore]))/(MAX(StudentsTable[AverageScore])-MIN(StudentsTable[AverageScore]))*100</f>
        <v>37.728937728937737</v>
      </c>
    </row>
    <row r="378" spans="1:15" x14ac:dyDescent="0.3">
      <c r="A378" t="s">
        <v>8</v>
      </c>
      <c r="B378" t="s">
        <v>21</v>
      </c>
      <c r="C378" t="s">
        <v>23</v>
      </c>
      <c r="D378" t="s">
        <v>11</v>
      </c>
      <c r="E378" t="s">
        <v>12</v>
      </c>
      <c r="F378">
        <v>80</v>
      </c>
      <c r="G378">
        <v>90</v>
      </c>
      <c r="H378">
        <v>82</v>
      </c>
      <c r="I378">
        <f>StudentsTable[[#This Row],[math score]]+StudentsTable[[#This Row],[reading score]]+StudentsTable[[#This Row],[writing score]]</f>
        <v>252</v>
      </c>
      <c r="J378">
        <f>StudentsTable[[#This Row],[TotalScore]]/3</f>
        <v>84</v>
      </c>
      <c r="K378" t="str" cm="1">
        <f t="array" ref="K378">_xlfn.IFS(StudentsTable[[#This Row],[AverageScore]]&gt;=90,"A",StudentsTable[[#This Row],[AverageScore]]&gt;=80,"B",StudentsTable[[#This Row],[AverageScore]]&gt;=70,"C",StudentsTable[[#This Row],[AverageScore]]&gt;=60,"D",TRUE,"F")</f>
        <v>B</v>
      </c>
      <c r="L378" t="str">
        <f>IF(StudentsTable[[#This Row],[AverageScore]]&gt;=60,"Pass","Fail")</f>
        <v>Pass</v>
      </c>
      <c r="M378" t="str" cm="1">
        <f t="array" ref="M378">_xlfn.IFS(StudentsTable[[#This Row],[AverageScore]]&gt;=85,"Advanced",StudentsTable[[#This Row],[AverageScore]]&gt;=70,"Intermediate",StudentsTable[[#This Row],[AverageScore]]&gt;=60,"Basic",TRUE,"Needs Help")</f>
        <v>Intermediate</v>
      </c>
      <c r="N378">
        <f>RANK(StudentsTable[[#This Row],[AverageScore]],StudentsTable[AverageScore])</f>
        <v>123</v>
      </c>
      <c r="O378">
        <f>(StudentsTable[[#This Row],[AverageScore]]-MIN(StudentsTable[AverageScore]))/(MAX(StudentsTable[AverageScore])-MIN(StudentsTable[AverageScore]))*100</f>
        <v>82.417582417582409</v>
      </c>
    </row>
    <row r="379" spans="1:15" x14ac:dyDescent="0.3">
      <c r="A379" t="s">
        <v>8</v>
      </c>
      <c r="B379" t="s">
        <v>21</v>
      </c>
      <c r="C379" t="s">
        <v>16</v>
      </c>
      <c r="D379" t="s">
        <v>20</v>
      </c>
      <c r="E379" t="s">
        <v>15</v>
      </c>
      <c r="F379">
        <v>85</v>
      </c>
      <c r="G379">
        <v>95</v>
      </c>
      <c r="H379">
        <v>100</v>
      </c>
      <c r="I379">
        <f>StudentsTable[[#This Row],[math score]]+StudentsTable[[#This Row],[reading score]]+StudentsTable[[#This Row],[writing score]]</f>
        <v>280</v>
      </c>
      <c r="J379">
        <f>StudentsTable[[#This Row],[TotalScore]]/3</f>
        <v>93.333333333333329</v>
      </c>
      <c r="K379" t="str" cm="1">
        <f t="array" ref="K379">_xlfn.IFS(StudentsTable[[#This Row],[AverageScore]]&gt;=90,"A",StudentsTable[[#This Row],[AverageScore]]&gt;=80,"B",StudentsTable[[#This Row],[AverageScore]]&gt;=70,"C",StudentsTable[[#This Row],[AverageScore]]&gt;=60,"D",TRUE,"F")</f>
        <v>A</v>
      </c>
      <c r="L379" t="str">
        <f>IF(StudentsTable[[#This Row],[AverageScore]]&gt;=60,"Pass","Fail")</f>
        <v>Pass</v>
      </c>
      <c r="M379" t="str" cm="1">
        <f t="array" ref="M379">_xlfn.IFS(StudentsTable[[#This Row],[AverageScore]]&gt;=85,"Advanced",StudentsTable[[#This Row],[AverageScore]]&gt;=70,"Intermediate",StudentsTable[[#This Row],[AverageScore]]&gt;=60,"Basic",TRUE,"Needs Help")</f>
        <v>Advanced</v>
      </c>
      <c r="N379">
        <f>RANK(StudentsTable[[#This Row],[AverageScore]],StudentsTable[AverageScore])</f>
        <v>28</v>
      </c>
      <c r="O379">
        <f>(StudentsTable[[#This Row],[AverageScore]]-MIN(StudentsTable[AverageScore]))/(MAX(StudentsTable[AverageScore])-MIN(StudentsTable[AverageScore]))*100</f>
        <v>92.673992673992672</v>
      </c>
    </row>
    <row r="380" spans="1:15" x14ac:dyDescent="0.3">
      <c r="A380" t="s">
        <v>8</v>
      </c>
      <c r="B380" t="s">
        <v>18</v>
      </c>
      <c r="C380" t="s">
        <v>23</v>
      </c>
      <c r="D380" t="s">
        <v>11</v>
      </c>
      <c r="E380" t="s">
        <v>12</v>
      </c>
      <c r="F380">
        <v>71</v>
      </c>
      <c r="G380">
        <v>83</v>
      </c>
      <c r="H380">
        <v>77</v>
      </c>
      <c r="I380">
        <f>StudentsTable[[#This Row],[math score]]+StudentsTable[[#This Row],[reading score]]+StudentsTable[[#This Row],[writing score]]</f>
        <v>231</v>
      </c>
      <c r="J380">
        <f>StudentsTable[[#This Row],[TotalScore]]/3</f>
        <v>77</v>
      </c>
      <c r="K380" t="str" cm="1">
        <f t="array" ref="K380">_xlfn.IFS(StudentsTable[[#This Row],[AverageScore]]&gt;=90,"A",StudentsTable[[#This Row],[AverageScore]]&gt;=80,"B",StudentsTable[[#This Row],[AverageScore]]&gt;=70,"C",StudentsTable[[#This Row],[AverageScore]]&gt;=60,"D",TRUE,"F")</f>
        <v>C</v>
      </c>
      <c r="L380" t="str">
        <f>IF(StudentsTable[[#This Row],[AverageScore]]&gt;=60,"Pass","Fail")</f>
        <v>Pass</v>
      </c>
      <c r="M380" t="str" cm="1">
        <f t="array" ref="M380">_xlfn.IFS(StudentsTable[[#This Row],[AverageScore]]&gt;=85,"Advanced",StudentsTable[[#This Row],[AverageScore]]&gt;=70,"Intermediate",StudentsTable[[#This Row],[AverageScore]]&gt;=60,"Basic",TRUE,"Needs Help")</f>
        <v>Intermediate</v>
      </c>
      <c r="N380">
        <f>RANK(StudentsTable[[#This Row],[AverageScore]],StudentsTable[AverageScore])</f>
        <v>269</v>
      </c>
      <c r="O380">
        <f>(StudentsTable[[#This Row],[AverageScore]]-MIN(StudentsTable[AverageScore]))/(MAX(StudentsTable[AverageScore])-MIN(StudentsTable[AverageScore]))*100</f>
        <v>74.72527472527473</v>
      </c>
    </row>
    <row r="381" spans="1:15" x14ac:dyDescent="0.3">
      <c r="A381" t="s">
        <v>17</v>
      </c>
      <c r="B381" t="s">
        <v>18</v>
      </c>
      <c r="C381" t="s">
        <v>10</v>
      </c>
      <c r="D381" t="s">
        <v>11</v>
      </c>
      <c r="E381" t="s">
        <v>12</v>
      </c>
      <c r="F381">
        <v>66</v>
      </c>
      <c r="G381">
        <v>64</v>
      </c>
      <c r="H381">
        <v>62</v>
      </c>
      <c r="I381">
        <f>StudentsTable[[#This Row],[math score]]+StudentsTable[[#This Row],[reading score]]+StudentsTable[[#This Row],[writing score]]</f>
        <v>192</v>
      </c>
      <c r="J381">
        <f>StudentsTable[[#This Row],[TotalScore]]/3</f>
        <v>64</v>
      </c>
      <c r="K381" t="str" cm="1">
        <f t="array" ref="K381">_xlfn.IFS(StudentsTable[[#This Row],[AverageScore]]&gt;=90,"A",StudentsTable[[#This Row],[AverageScore]]&gt;=80,"B",StudentsTable[[#This Row],[AverageScore]]&gt;=70,"C",StudentsTable[[#This Row],[AverageScore]]&gt;=60,"D",TRUE,"F")</f>
        <v>D</v>
      </c>
      <c r="L381" t="str">
        <f>IF(StudentsTable[[#This Row],[AverageScore]]&gt;=60,"Pass","Fail")</f>
        <v>Pass</v>
      </c>
      <c r="M381" t="str" cm="1">
        <f t="array" ref="M381">_xlfn.IFS(StudentsTable[[#This Row],[AverageScore]]&gt;=85,"Advanced",StudentsTable[[#This Row],[AverageScore]]&gt;=70,"Intermediate",StudentsTable[[#This Row],[AverageScore]]&gt;=60,"Basic",TRUE,"Needs Help")</f>
        <v>Basic</v>
      </c>
      <c r="N381">
        <f>RANK(StudentsTable[[#This Row],[AverageScore]],StudentsTable[AverageScore])</f>
        <v>623</v>
      </c>
      <c r="O381">
        <f>(StudentsTable[[#This Row],[AverageScore]]-MIN(StudentsTable[AverageScore]))/(MAX(StudentsTable[AverageScore])-MIN(StudentsTable[AverageScore]))*100</f>
        <v>60.439560439560438</v>
      </c>
    </row>
    <row r="382" spans="1:15" x14ac:dyDescent="0.3">
      <c r="A382" t="s">
        <v>8</v>
      </c>
      <c r="B382" t="s">
        <v>9</v>
      </c>
      <c r="C382" t="s">
        <v>19</v>
      </c>
      <c r="D382" t="s">
        <v>11</v>
      </c>
      <c r="E382" t="s">
        <v>12</v>
      </c>
      <c r="F382">
        <v>80</v>
      </c>
      <c r="G382">
        <v>86</v>
      </c>
      <c r="H382">
        <v>83</v>
      </c>
      <c r="I382">
        <f>StudentsTable[[#This Row],[math score]]+StudentsTable[[#This Row],[reading score]]+StudentsTable[[#This Row],[writing score]]</f>
        <v>249</v>
      </c>
      <c r="J382">
        <f>StudentsTable[[#This Row],[TotalScore]]/3</f>
        <v>83</v>
      </c>
      <c r="K382" t="str" cm="1">
        <f t="array" ref="K382">_xlfn.IFS(StudentsTable[[#This Row],[AverageScore]]&gt;=90,"A",StudentsTable[[#This Row],[AverageScore]]&gt;=80,"B",StudentsTable[[#This Row],[AverageScore]]&gt;=70,"C",StudentsTable[[#This Row],[AverageScore]]&gt;=60,"D",TRUE,"F")</f>
        <v>B</v>
      </c>
      <c r="L382" t="str">
        <f>IF(StudentsTable[[#This Row],[AverageScore]]&gt;=60,"Pass","Fail")</f>
        <v>Pass</v>
      </c>
      <c r="M382" t="str" cm="1">
        <f t="array" ref="M382">_xlfn.IFS(StudentsTable[[#This Row],[AverageScore]]&gt;=85,"Advanced",StudentsTable[[#This Row],[AverageScore]]&gt;=70,"Intermediate",StudentsTable[[#This Row],[AverageScore]]&gt;=60,"Basic",TRUE,"Needs Help")</f>
        <v>Intermediate</v>
      </c>
      <c r="N382">
        <f>RANK(StudentsTable[[#This Row],[AverageScore]],StudentsTable[AverageScore])</f>
        <v>140</v>
      </c>
      <c r="O382">
        <f>(StudentsTable[[#This Row],[AverageScore]]-MIN(StudentsTable[AverageScore]))/(MAX(StudentsTable[AverageScore])-MIN(StudentsTable[AverageScore]))*100</f>
        <v>81.318681318681314</v>
      </c>
    </row>
    <row r="383" spans="1:15" x14ac:dyDescent="0.3">
      <c r="A383" t="s">
        <v>17</v>
      </c>
      <c r="B383" t="s">
        <v>13</v>
      </c>
      <c r="C383" t="s">
        <v>19</v>
      </c>
      <c r="D383" t="s">
        <v>11</v>
      </c>
      <c r="E383" t="s">
        <v>15</v>
      </c>
      <c r="F383">
        <v>87</v>
      </c>
      <c r="G383">
        <v>100</v>
      </c>
      <c r="H383">
        <v>95</v>
      </c>
      <c r="I383">
        <f>StudentsTable[[#This Row],[math score]]+StudentsTable[[#This Row],[reading score]]+StudentsTable[[#This Row],[writing score]]</f>
        <v>282</v>
      </c>
      <c r="J383">
        <f>StudentsTable[[#This Row],[TotalScore]]/3</f>
        <v>94</v>
      </c>
      <c r="K383" t="str" cm="1">
        <f t="array" ref="K383">_xlfn.IFS(StudentsTable[[#This Row],[AverageScore]]&gt;=90,"A",StudentsTable[[#This Row],[AverageScore]]&gt;=80,"B",StudentsTable[[#This Row],[AverageScore]]&gt;=70,"C",StudentsTable[[#This Row],[AverageScore]]&gt;=60,"D",TRUE,"F")</f>
        <v>A</v>
      </c>
      <c r="L383" t="str">
        <f>IF(StudentsTable[[#This Row],[AverageScore]]&gt;=60,"Pass","Fail")</f>
        <v>Pass</v>
      </c>
      <c r="M383" t="str" cm="1">
        <f t="array" ref="M383">_xlfn.IFS(StudentsTable[[#This Row],[AverageScore]]&gt;=85,"Advanced",StudentsTable[[#This Row],[AverageScore]]&gt;=70,"Intermediate",StudentsTable[[#This Row],[AverageScore]]&gt;=60,"Basic",TRUE,"Needs Help")</f>
        <v>Advanced</v>
      </c>
      <c r="N383">
        <f>RANK(StudentsTable[[#This Row],[AverageScore]],StudentsTable[AverageScore])</f>
        <v>23</v>
      </c>
      <c r="O383">
        <f>(StudentsTable[[#This Row],[AverageScore]]-MIN(StudentsTable[AverageScore]))/(MAX(StudentsTable[AverageScore])-MIN(StudentsTable[AverageScore]))*100</f>
        <v>93.406593406593402</v>
      </c>
    </row>
    <row r="384" spans="1:15" x14ac:dyDescent="0.3">
      <c r="A384" t="s">
        <v>17</v>
      </c>
      <c r="B384" t="s">
        <v>13</v>
      </c>
      <c r="C384" t="s">
        <v>16</v>
      </c>
      <c r="D384" t="s">
        <v>20</v>
      </c>
      <c r="E384" t="s">
        <v>12</v>
      </c>
      <c r="F384">
        <v>79</v>
      </c>
      <c r="G384">
        <v>81</v>
      </c>
      <c r="H384">
        <v>71</v>
      </c>
      <c r="I384">
        <f>StudentsTable[[#This Row],[math score]]+StudentsTable[[#This Row],[reading score]]+StudentsTable[[#This Row],[writing score]]</f>
        <v>231</v>
      </c>
      <c r="J384">
        <f>StudentsTable[[#This Row],[TotalScore]]/3</f>
        <v>77</v>
      </c>
      <c r="K384" t="str" cm="1">
        <f t="array" ref="K384">_xlfn.IFS(StudentsTable[[#This Row],[AverageScore]]&gt;=90,"A",StudentsTable[[#This Row],[AverageScore]]&gt;=80,"B",StudentsTable[[#This Row],[AverageScore]]&gt;=70,"C",StudentsTable[[#This Row],[AverageScore]]&gt;=60,"D",TRUE,"F")</f>
        <v>C</v>
      </c>
      <c r="L384" t="str">
        <f>IF(StudentsTable[[#This Row],[AverageScore]]&gt;=60,"Pass","Fail")</f>
        <v>Pass</v>
      </c>
      <c r="M384" t="str" cm="1">
        <f t="array" ref="M384">_xlfn.IFS(StudentsTable[[#This Row],[AverageScore]]&gt;=85,"Advanced",StudentsTable[[#This Row],[AverageScore]]&gt;=70,"Intermediate",StudentsTable[[#This Row],[AverageScore]]&gt;=60,"Basic",TRUE,"Needs Help")</f>
        <v>Intermediate</v>
      </c>
      <c r="N384">
        <f>RANK(StudentsTable[[#This Row],[AverageScore]],StudentsTable[AverageScore])</f>
        <v>269</v>
      </c>
      <c r="O384">
        <f>(StudentsTable[[#This Row],[AverageScore]]-MIN(StudentsTable[AverageScore]))/(MAX(StudentsTable[AverageScore])-MIN(StudentsTable[AverageScore]))*100</f>
        <v>74.72527472527473</v>
      </c>
    </row>
    <row r="385" spans="1:15" x14ac:dyDescent="0.3">
      <c r="A385" t="s">
        <v>8</v>
      </c>
      <c r="B385" t="s">
        <v>24</v>
      </c>
      <c r="C385" t="s">
        <v>23</v>
      </c>
      <c r="D385" t="s">
        <v>20</v>
      </c>
      <c r="E385" t="s">
        <v>12</v>
      </c>
      <c r="F385">
        <v>38</v>
      </c>
      <c r="G385">
        <v>49</v>
      </c>
      <c r="H385">
        <v>45</v>
      </c>
      <c r="I385">
        <f>StudentsTable[[#This Row],[math score]]+StudentsTable[[#This Row],[reading score]]+StudentsTable[[#This Row],[writing score]]</f>
        <v>132</v>
      </c>
      <c r="J385">
        <f>StudentsTable[[#This Row],[TotalScore]]/3</f>
        <v>44</v>
      </c>
      <c r="K385" t="str" cm="1">
        <f t="array" ref="K385">_xlfn.IFS(StudentsTable[[#This Row],[AverageScore]]&gt;=90,"A",StudentsTable[[#This Row],[AverageScore]]&gt;=80,"B",StudentsTable[[#This Row],[AverageScore]]&gt;=70,"C",StudentsTable[[#This Row],[AverageScore]]&gt;=60,"D",TRUE,"F")</f>
        <v>F</v>
      </c>
      <c r="L385" t="str">
        <f>IF(StudentsTable[[#This Row],[AverageScore]]&gt;=60,"Pass","Fail")</f>
        <v>Fail</v>
      </c>
      <c r="M385" t="str" cm="1">
        <f t="array" ref="M385">_xlfn.IFS(StudentsTable[[#This Row],[AverageScore]]&gt;=85,"Advanced",StudentsTable[[#This Row],[AverageScore]]&gt;=70,"Intermediate",StudentsTable[[#This Row],[AverageScore]]&gt;=60,"Basic",TRUE,"Needs Help")</f>
        <v>Needs Help</v>
      </c>
      <c r="N385">
        <f>RANK(StudentsTable[[#This Row],[AverageScore]],StudentsTable[AverageScore])</f>
        <v>952</v>
      </c>
      <c r="O385">
        <f>(StudentsTable[[#This Row],[AverageScore]]-MIN(StudentsTable[AverageScore]))/(MAX(StudentsTable[AverageScore])-MIN(StudentsTable[AverageScore]))*100</f>
        <v>38.461538461538467</v>
      </c>
    </row>
    <row r="386" spans="1:15" x14ac:dyDescent="0.3">
      <c r="A386" t="s">
        <v>8</v>
      </c>
      <c r="B386" t="s">
        <v>18</v>
      </c>
      <c r="C386" t="s">
        <v>23</v>
      </c>
      <c r="D386" t="s">
        <v>20</v>
      </c>
      <c r="E386" t="s">
        <v>12</v>
      </c>
      <c r="F386">
        <v>38</v>
      </c>
      <c r="G386">
        <v>43</v>
      </c>
      <c r="H386">
        <v>43</v>
      </c>
      <c r="I386">
        <f>StudentsTable[[#This Row],[math score]]+StudentsTable[[#This Row],[reading score]]+StudentsTable[[#This Row],[writing score]]</f>
        <v>124</v>
      </c>
      <c r="J386">
        <f>StudentsTable[[#This Row],[TotalScore]]/3</f>
        <v>41.333333333333336</v>
      </c>
      <c r="K386" t="str" cm="1">
        <f t="array" ref="K386">_xlfn.IFS(StudentsTable[[#This Row],[AverageScore]]&gt;=90,"A",StudentsTable[[#This Row],[AverageScore]]&gt;=80,"B",StudentsTable[[#This Row],[AverageScore]]&gt;=70,"C",StudentsTable[[#This Row],[AverageScore]]&gt;=60,"D",TRUE,"F")</f>
        <v>F</v>
      </c>
      <c r="L386" t="str">
        <f>IF(StudentsTable[[#This Row],[AverageScore]]&gt;=60,"Pass","Fail")</f>
        <v>Fail</v>
      </c>
      <c r="M386" t="str" cm="1">
        <f t="array" ref="M386">_xlfn.IFS(StudentsTable[[#This Row],[AverageScore]]&gt;=85,"Advanced",StudentsTable[[#This Row],[AverageScore]]&gt;=70,"Intermediate",StudentsTable[[#This Row],[AverageScore]]&gt;=60,"Basic",TRUE,"Needs Help")</f>
        <v>Needs Help</v>
      </c>
      <c r="N386">
        <f>RANK(StudentsTable[[#This Row],[AverageScore]],StudentsTable[AverageScore])</f>
        <v>964</v>
      </c>
      <c r="O386">
        <f>(StudentsTable[[#This Row],[AverageScore]]-MIN(StudentsTable[AverageScore]))/(MAX(StudentsTable[AverageScore])-MIN(StudentsTable[AverageScore]))*100</f>
        <v>35.531135531135533</v>
      </c>
    </row>
    <row r="387" spans="1:15" x14ac:dyDescent="0.3">
      <c r="A387" t="s">
        <v>8</v>
      </c>
      <c r="B387" t="s">
        <v>24</v>
      </c>
      <c r="C387" t="s">
        <v>14</v>
      </c>
      <c r="D387" t="s">
        <v>11</v>
      </c>
      <c r="E387" t="s">
        <v>12</v>
      </c>
      <c r="F387">
        <v>67</v>
      </c>
      <c r="G387">
        <v>76</v>
      </c>
      <c r="H387">
        <v>75</v>
      </c>
      <c r="I387">
        <f>StudentsTable[[#This Row],[math score]]+StudentsTable[[#This Row],[reading score]]+StudentsTable[[#This Row],[writing score]]</f>
        <v>218</v>
      </c>
      <c r="J387">
        <f>StudentsTable[[#This Row],[TotalScore]]/3</f>
        <v>72.666666666666671</v>
      </c>
      <c r="K387" t="str" cm="1">
        <f t="array" ref="K387">_xlfn.IFS(StudentsTable[[#This Row],[AverageScore]]&gt;=90,"A",StudentsTable[[#This Row],[AverageScore]]&gt;=80,"B",StudentsTable[[#This Row],[AverageScore]]&gt;=70,"C",StudentsTable[[#This Row],[AverageScore]]&gt;=60,"D",TRUE,"F")</f>
        <v>C</v>
      </c>
      <c r="L387" t="str">
        <f>IF(StudentsTable[[#This Row],[AverageScore]]&gt;=60,"Pass","Fail")</f>
        <v>Pass</v>
      </c>
      <c r="M387" t="str" cm="1">
        <f t="array" ref="M387">_xlfn.IFS(StudentsTable[[#This Row],[AverageScore]]&gt;=85,"Advanced",StudentsTable[[#This Row],[AverageScore]]&gt;=70,"Intermediate",StudentsTable[[#This Row],[AverageScore]]&gt;=60,"Basic",TRUE,"Needs Help")</f>
        <v>Intermediate</v>
      </c>
      <c r="N387">
        <f>RANK(StudentsTable[[#This Row],[AverageScore]],StudentsTable[AverageScore])</f>
        <v>379</v>
      </c>
      <c r="O387">
        <f>(StudentsTable[[#This Row],[AverageScore]]-MIN(StudentsTable[AverageScore]))/(MAX(StudentsTable[AverageScore])-MIN(StudentsTable[AverageScore]))*100</f>
        <v>69.963369963369971</v>
      </c>
    </row>
    <row r="388" spans="1:15" x14ac:dyDescent="0.3">
      <c r="A388" t="s">
        <v>8</v>
      </c>
      <c r="B388" t="s">
        <v>24</v>
      </c>
      <c r="C388" t="s">
        <v>10</v>
      </c>
      <c r="D388" t="s">
        <v>11</v>
      </c>
      <c r="E388" t="s">
        <v>12</v>
      </c>
      <c r="F388">
        <v>64</v>
      </c>
      <c r="G388">
        <v>73</v>
      </c>
      <c r="H388">
        <v>70</v>
      </c>
      <c r="I388">
        <f>StudentsTable[[#This Row],[math score]]+StudentsTable[[#This Row],[reading score]]+StudentsTable[[#This Row],[writing score]]</f>
        <v>207</v>
      </c>
      <c r="J388">
        <f>StudentsTable[[#This Row],[TotalScore]]/3</f>
        <v>69</v>
      </c>
      <c r="K388" t="str" cm="1">
        <f t="array" ref="K388">_xlfn.IFS(StudentsTable[[#This Row],[AverageScore]]&gt;=90,"A",StudentsTable[[#This Row],[AverageScore]]&gt;=80,"B",StudentsTable[[#This Row],[AverageScore]]&gt;=70,"C",StudentsTable[[#This Row],[AverageScore]]&gt;=60,"D",TRUE,"F")</f>
        <v>D</v>
      </c>
      <c r="L388" t="str">
        <f>IF(StudentsTable[[#This Row],[AverageScore]]&gt;=60,"Pass","Fail")</f>
        <v>Pass</v>
      </c>
      <c r="M388" t="str" cm="1">
        <f t="array" ref="M388">_xlfn.IFS(StudentsTable[[#This Row],[AverageScore]]&gt;=85,"Advanced",StudentsTable[[#This Row],[AverageScore]]&gt;=70,"Intermediate",StudentsTable[[#This Row],[AverageScore]]&gt;=60,"Basic",TRUE,"Needs Help")</f>
        <v>Basic</v>
      </c>
      <c r="N388">
        <f>RANK(StudentsTable[[#This Row],[AverageScore]],StudentsTable[AverageScore])</f>
        <v>475</v>
      </c>
      <c r="O388">
        <f>(StudentsTable[[#This Row],[AverageScore]]-MIN(StudentsTable[AverageScore]))/(MAX(StudentsTable[AverageScore])-MIN(StudentsTable[AverageScore]))*100</f>
        <v>65.934065934065927</v>
      </c>
    </row>
    <row r="389" spans="1:15" x14ac:dyDescent="0.3">
      <c r="A389" t="s">
        <v>8</v>
      </c>
      <c r="B389" t="s">
        <v>13</v>
      </c>
      <c r="C389" t="s">
        <v>19</v>
      </c>
      <c r="D389" t="s">
        <v>20</v>
      </c>
      <c r="E389" t="s">
        <v>12</v>
      </c>
      <c r="F389">
        <v>57</v>
      </c>
      <c r="G389">
        <v>78</v>
      </c>
      <c r="H389">
        <v>67</v>
      </c>
      <c r="I389">
        <f>StudentsTable[[#This Row],[math score]]+StudentsTable[[#This Row],[reading score]]+StudentsTable[[#This Row],[writing score]]</f>
        <v>202</v>
      </c>
      <c r="J389">
        <f>StudentsTable[[#This Row],[TotalScore]]/3</f>
        <v>67.333333333333329</v>
      </c>
      <c r="K389" t="str" cm="1">
        <f t="array" ref="K389">_xlfn.IFS(StudentsTable[[#This Row],[AverageScore]]&gt;=90,"A",StudentsTable[[#This Row],[AverageScore]]&gt;=80,"B",StudentsTable[[#This Row],[AverageScore]]&gt;=70,"C",StudentsTable[[#This Row],[AverageScore]]&gt;=60,"D",TRUE,"F")</f>
        <v>D</v>
      </c>
      <c r="L389" t="str">
        <f>IF(StudentsTable[[#This Row],[AverageScore]]&gt;=60,"Pass","Fail")</f>
        <v>Pass</v>
      </c>
      <c r="M389" t="str" cm="1">
        <f t="array" ref="M389">_xlfn.IFS(StudentsTable[[#This Row],[AverageScore]]&gt;=85,"Advanced",StudentsTable[[#This Row],[AverageScore]]&gt;=70,"Intermediate",StudentsTable[[#This Row],[AverageScore]]&gt;=60,"Basic",TRUE,"Needs Help")</f>
        <v>Basic</v>
      </c>
      <c r="N389">
        <f>RANK(StudentsTable[[#This Row],[AverageScore]],StudentsTable[AverageScore])</f>
        <v>534</v>
      </c>
      <c r="O389">
        <f>(StudentsTable[[#This Row],[AverageScore]]-MIN(StudentsTable[AverageScore]))/(MAX(StudentsTable[AverageScore])-MIN(StudentsTable[AverageScore]))*100</f>
        <v>64.102564102564102</v>
      </c>
    </row>
    <row r="390" spans="1:15" x14ac:dyDescent="0.3">
      <c r="A390" t="s">
        <v>8</v>
      </c>
      <c r="B390" t="s">
        <v>21</v>
      </c>
      <c r="C390" t="s">
        <v>22</v>
      </c>
      <c r="D390" t="s">
        <v>11</v>
      </c>
      <c r="E390" t="s">
        <v>12</v>
      </c>
      <c r="F390">
        <v>62</v>
      </c>
      <c r="G390">
        <v>64</v>
      </c>
      <c r="H390">
        <v>64</v>
      </c>
      <c r="I390">
        <f>StudentsTable[[#This Row],[math score]]+StudentsTable[[#This Row],[reading score]]+StudentsTable[[#This Row],[writing score]]</f>
        <v>190</v>
      </c>
      <c r="J390">
        <f>StudentsTable[[#This Row],[TotalScore]]/3</f>
        <v>63.333333333333336</v>
      </c>
      <c r="K390" t="str" cm="1">
        <f t="array" ref="K390">_xlfn.IFS(StudentsTable[[#This Row],[AverageScore]]&gt;=90,"A",StudentsTable[[#This Row],[AverageScore]]&gt;=80,"B",StudentsTable[[#This Row],[AverageScore]]&gt;=70,"C",StudentsTable[[#This Row],[AverageScore]]&gt;=60,"D",TRUE,"F")</f>
        <v>D</v>
      </c>
      <c r="L390" t="str">
        <f>IF(StudentsTable[[#This Row],[AverageScore]]&gt;=60,"Pass","Fail")</f>
        <v>Pass</v>
      </c>
      <c r="M390" t="str" cm="1">
        <f t="array" ref="M390">_xlfn.IFS(StudentsTable[[#This Row],[AverageScore]]&gt;=85,"Advanced",StudentsTable[[#This Row],[AverageScore]]&gt;=70,"Intermediate",StudentsTable[[#This Row],[AverageScore]]&gt;=60,"Basic",TRUE,"Needs Help")</f>
        <v>Basic</v>
      </c>
      <c r="N390">
        <f>RANK(StudentsTable[[#This Row],[AverageScore]],StudentsTable[AverageScore])</f>
        <v>641</v>
      </c>
      <c r="O390">
        <f>(StudentsTable[[#This Row],[AverageScore]]-MIN(StudentsTable[AverageScore]))/(MAX(StudentsTable[AverageScore])-MIN(StudentsTable[AverageScore]))*100</f>
        <v>59.706959706959708</v>
      </c>
    </row>
    <row r="391" spans="1:15" x14ac:dyDescent="0.3">
      <c r="A391" t="s">
        <v>17</v>
      </c>
      <c r="B391" t="s">
        <v>21</v>
      </c>
      <c r="C391" t="s">
        <v>16</v>
      </c>
      <c r="D391" t="s">
        <v>11</v>
      </c>
      <c r="E391" t="s">
        <v>12</v>
      </c>
      <c r="F391">
        <v>73</v>
      </c>
      <c r="G391">
        <v>70</v>
      </c>
      <c r="H391">
        <v>75</v>
      </c>
      <c r="I391">
        <f>StudentsTable[[#This Row],[math score]]+StudentsTable[[#This Row],[reading score]]+StudentsTable[[#This Row],[writing score]]</f>
        <v>218</v>
      </c>
      <c r="J391">
        <f>StudentsTable[[#This Row],[TotalScore]]/3</f>
        <v>72.666666666666671</v>
      </c>
      <c r="K391" t="str" cm="1">
        <f t="array" ref="K391">_xlfn.IFS(StudentsTable[[#This Row],[AverageScore]]&gt;=90,"A",StudentsTable[[#This Row],[AverageScore]]&gt;=80,"B",StudentsTable[[#This Row],[AverageScore]]&gt;=70,"C",StudentsTable[[#This Row],[AverageScore]]&gt;=60,"D",TRUE,"F")</f>
        <v>C</v>
      </c>
      <c r="L391" t="str">
        <f>IF(StudentsTable[[#This Row],[AverageScore]]&gt;=60,"Pass","Fail")</f>
        <v>Pass</v>
      </c>
      <c r="M391" t="str" cm="1">
        <f t="array" ref="M391">_xlfn.IFS(StudentsTable[[#This Row],[AverageScore]]&gt;=85,"Advanced",StudentsTable[[#This Row],[AverageScore]]&gt;=70,"Intermediate",StudentsTable[[#This Row],[AverageScore]]&gt;=60,"Basic",TRUE,"Needs Help")</f>
        <v>Intermediate</v>
      </c>
      <c r="N391">
        <f>RANK(StudentsTable[[#This Row],[AverageScore]],StudentsTable[AverageScore])</f>
        <v>379</v>
      </c>
      <c r="O391">
        <f>(StudentsTable[[#This Row],[AverageScore]]-MIN(StudentsTable[AverageScore]))/(MAX(StudentsTable[AverageScore])-MIN(StudentsTable[AverageScore]))*100</f>
        <v>69.963369963369971</v>
      </c>
    </row>
    <row r="392" spans="1:15" x14ac:dyDescent="0.3">
      <c r="A392" t="s">
        <v>17</v>
      </c>
      <c r="B392" t="s">
        <v>24</v>
      </c>
      <c r="C392" t="s">
        <v>23</v>
      </c>
      <c r="D392" t="s">
        <v>20</v>
      </c>
      <c r="E392" t="s">
        <v>15</v>
      </c>
      <c r="F392">
        <v>73</v>
      </c>
      <c r="G392">
        <v>67</v>
      </c>
      <c r="H392">
        <v>59</v>
      </c>
      <c r="I392">
        <f>StudentsTable[[#This Row],[math score]]+StudentsTable[[#This Row],[reading score]]+StudentsTable[[#This Row],[writing score]]</f>
        <v>199</v>
      </c>
      <c r="J392">
        <f>StudentsTable[[#This Row],[TotalScore]]/3</f>
        <v>66.333333333333329</v>
      </c>
      <c r="K392" t="str" cm="1">
        <f t="array" ref="K392">_xlfn.IFS(StudentsTable[[#This Row],[AverageScore]]&gt;=90,"A",StudentsTable[[#This Row],[AverageScore]]&gt;=80,"B",StudentsTable[[#This Row],[AverageScore]]&gt;=70,"C",StudentsTable[[#This Row],[AverageScore]]&gt;=60,"D",TRUE,"F")</f>
        <v>D</v>
      </c>
      <c r="L392" t="str">
        <f>IF(StudentsTable[[#This Row],[AverageScore]]&gt;=60,"Pass","Fail")</f>
        <v>Pass</v>
      </c>
      <c r="M392" t="str" cm="1">
        <f t="array" ref="M392">_xlfn.IFS(StudentsTable[[#This Row],[AverageScore]]&gt;=85,"Advanced",StudentsTable[[#This Row],[AverageScore]]&gt;=70,"Intermediate",StudentsTable[[#This Row],[AverageScore]]&gt;=60,"Basic",TRUE,"Needs Help")</f>
        <v>Basic</v>
      </c>
      <c r="N392">
        <f>RANK(StudentsTable[[#This Row],[AverageScore]],StudentsTable[AverageScore])</f>
        <v>557</v>
      </c>
      <c r="O392">
        <f>(StudentsTable[[#This Row],[AverageScore]]-MIN(StudentsTable[AverageScore]))/(MAX(StudentsTable[AverageScore])-MIN(StudentsTable[AverageScore]))*100</f>
        <v>63.003663003663</v>
      </c>
    </row>
    <row r="393" spans="1:15" x14ac:dyDescent="0.3">
      <c r="A393" t="s">
        <v>8</v>
      </c>
      <c r="B393" t="s">
        <v>21</v>
      </c>
      <c r="C393" t="s">
        <v>14</v>
      </c>
      <c r="D393" t="s">
        <v>11</v>
      </c>
      <c r="E393" t="s">
        <v>12</v>
      </c>
      <c r="F393">
        <v>77</v>
      </c>
      <c r="G393">
        <v>68</v>
      </c>
      <c r="H393">
        <v>77</v>
      </c>
      <c r="I393">
        <f>StudentsTable[[#This Row],[math score]]+StudentsTable[[#This Row],[reading score]]+StudentsTable[[#This Row],[writing score]]</f>
        <v>222</v>
      </c>
      <c r="J393">
        <f>StudentsTable[[#This Row],[TotalScore]]/3</f>
        <v>74</v>
      </c>
      <c r="K393" t="str" cm="1">
        <f t="array" ref="K393">_xlfn.IFS(StudentsTable[[#This Row],[AverageScore]]&gt;=90,"A",StudentsTable[[#This Row],[AverageScore]]&gt;=80,"B",StudentsTable[[#This Row],[AverageScore]]&gt;=70,"C",StudentsTable[[#This Row],[AverageScore]]&gt;=60,"D",TRUE,"F")</f>
        <v>C</v>
      </c>
      <c r="L393" t="str">
        <f>IF(StudentsTable[[#This Row],[AverageScore]]&gt;=60,"Pass","Fail")</f>
        <v>Pass</v>
      </c>
      <c r="M393" t="str" cm="1">
        <f t="array" ref="M393">_xlfn.IFS(StudentsTable[[#This Row],[AverageScore]]&gt;=85,"Advanced",StudentsTable[[#This Row],[AverageScore]]&gt;=70,"Intermediate",StudentsTable[[#This Row],[AverageScore]]&gt;=60,"Basic",TRUE,"Needs Help")</f>
        <v>Intermediate</v>
      </c>
      <c r="N393">
        <f>RANK(StudentsTable[[#This Row],[AverageScore]],StudentsTable[AverageScore])</f>
        <v>345</v>
      </c>
      <c r="O393">
        <f>(StudentsTable[[#This Row],[AverageScore]]-MIN(StudentsTable[AverageScore]))/(MAX(StudentsTable[AverageScore])-MIN(StudentsTable[AverageScore]))*100</f>
        <v>71.428571428571431</v>
      </c>
    </row>
    <row r="394" spans="1:15" x14ac:dyDescent="0.3">
      <c r="A394" t="s">
        <v>17</v>
      </c>
      <c r="B394" t="s">
        <v>24</v>
      </c>
      <c r="C394" t="s">
        <v>14</v>
      </c>
      <c r="D394" t="s">
        <v>11</v>
      </c>
      <c r="E394" t="s">
        <v>12</v>
      </c>
      <c r="F394">
        <v>76</v>
      </c>
      <c r="G394">
        <v>67</v>
      </c>
      <c r="H394">
        <v>67</v>
      </c>
      <c r="I394">
        <f>StudentsTable[[#This Row],[math score]]+StudentsTable[[#This Row],[reading score]]+StudentsTable[[#This Row],[writing score]]</f>
        <v>210</v>
      </c>
      <c r="J394">
        <f>StudentsTable[[#This Row],[TotalScore]]/3</f>
        <v>70</v>
      </c>
      <c r="K394" t="str" cm="1">
        <f t="array" ref="K394">_xlfn.IFS(StudentsTable[[#This Row],[AverageScore]]&gt;=90,"A",StudentsTable[[#This Row],[AverageScore]]&gt;=80,"B",StudentsTable[[#This Row],[AverageScore]]&gt;=70,"C",StudentsTable[[#This Row],[AverageScore]]&gt;=60,"D",TRUE,"F")</f>
        <v>C</v>
      </c>
      <c r="L394" t="str">
        <f>IF(StudentsTable[[#This Row],[AverageScore]]&gt;=60,"Pass","Fail")</f>
        <v>Pass</v>
      </c>
      <c r="M394" t="str" cm="1">
        <f t="array" ref="M394">_xlfn.IFS(StudentsTable[[#This Row],[AverageScore]]&gt;=85,"Advanced",StudentsTable[[#This Row],[AverageScore]]&gt;=70,"Intermediate",StudentsTable[[#This Row],[AverageScore]]&gt;=60,"Basic",TRUE,"Needs Help")</f>
        <v>Intermediate</v>
      </c>
      <c r="N394">
        <f>RANK(StudentsTable[[#This Row],[AverageScore]],StudentsTable[AverageScore])</f>
        <v>448</v>
      </c>
      <c r="O394">
        <f>(StudentsTable[[#This Row],[AverageScore]]-MIN(StudentsTable[AverageScore]))/(MAX(StudentsTable[AverageScore])-MIN(StudentsTable[AverageScore]))*100</f>
        <v>67.032967032967022</v>
      </c>
    </row>
    <row r="395" spans="1:15" x14ac:dyDescent="0.3">
      <c r="A395" t="s">
        <v>17</v>
      </c>
      <c r="B395" t="s">
        <v>13</v>
      </c>
      <c r="C395" t="s">
        <v>19</v>
      </c>
      <c r="D395" t="s">
        <v>11</v>
      </c>
      <c r="E395" t="s">
        <v>15</v>
      </c>
      <c r="F395">
        <v>57</v>
      </c>
      <c r="G395">
        <v>54</v>
      </c>
      <c r="H395">
        <v>56</v>
      </c>
      <c r="I395">
        <f>StudentsTable[[#This Row],[math score]]+StudentsTable[[#This Row],[reading score]]+StudentsTable[[#This Row],[writing score]]</f>
        <v>167</v>
      </c>
      <c r="J395">
        <f>StudentsTable[[#This Row],[TotalScore]]/3</f>
        <v>55.666666666666664</v>
      </c>
      <c r="K395" t="str" cm="1">
        <f t="array" ref="K395">_xlfn.IFS(StudentsTable[[#This Row],[AverageScore]]&gt;=90,"A",StudentsTable[[#This Row],[AverageScore]]&gt;=80,"B",StudentsTable[[#This Row],[AverageScore]]&gt;=70,"C",StudentsTable[[#This Row],[AverageScore]]&gt;=60,"D",TRUE,"F")</f>
        <v>F</v>
      </c>
      <c r="L395" t="str">
        <f>IF(StudentsTable[[#This Row],[AverageScore]]&gt;=60,"Pass","Fail")</f>
        <v>Fail</v>
      </c>
      <c r="M395" t="str" cm="1">
        <f t="array" ref="M395">_xlfn.IFS(StudentsTable[[#This Row],[AverageScore]]&gt;=85,"Advanced",StudentsTable[[#This Row],[AverageScore]]&gt;=70,"Intermediate",StudentsTable[[#This Row],[AverageScore]]&gt;=60,"Basic",TRUE,"Needs Help")</f>
        <v>Needs Help</v>
      </c>
      <c r="N395">
        <f>RANK(StudentsTable[[#This Row],[AverageScore]],StudentsTable[AverageScore])</f>
        <v>796</v>
      </c>
      <c r="O395">
        <f>(StudentsTable[[#This Row],[AverageScore]]-MIN(StudentsTable[AverageScore]))/(MAX(StudentsTable[AverageScore])-MIN(StudentsTable[AverageScore]))*100</f>
        <v>51.282051282051277</v>
      </c>
    </row>
    <row r="396" spans="1:15" x14ac:dyDescent="0.3">
      <c r="A396" t="s">
        <v>8</v>
      </c>
      <c r="B396" t="s">
        <v>13</v>
      </c>
      <c r="C396" t="s">
        <v>23</v>
      </c>
      <c r="D396" t="s">
        <v>11</v>
      </c>
      <c r="E396" t="s">
        <v>15</v>
      </c>
      <c r="F396">
        <v>65</v>
      </c>
      <c r="G396">
        <v>74</v>
      </c>
      <c r="H396">
        <v>77</v>
      </c>
      <c r="I396">
        <f>StudentsTable[[#This Row],[math score]]+StudentsTable[[#This Row],[reading score]]+StudentsTable[[#This Row],[writing score]]</f>
        <v>216</v>
      </c>
      <c r="J396">
        <f>StudentsTable[[#This Row],[TotalScore]]/3</f>
        <v>72</v>
      </c>
      <c r="K396" t="str" cm="1">
        <f t="array" ref="K396">_xlfn.IFS(StudentsTable[[#This Row],[AverageScore]]&gt;=90,"A",StudentsTable[[#This Row],[AverageScore]]&gt;=80,"B",StudentsTable[[#This Row],[AverageScore]]&gt;=70,"C",StudentsTable[[#This Row],[AverageScore]]&gt;=60,"D",TRUE,"F")</f>
        <v>C</v>
      </c>
      <c r="L396" t="str">
        <f>IF(StudentsTable[[#This Row],[AverageScore]]&gt;=60,"Pass","Fail")</f>
        <v>Pass</v>
      </c>
      <c r="M396" t="str" cm="1">
        <f t="array" ref="M396">_xlfn.IFS(StudentsTable[[#This Row],[AverageScore]]&gt;=85,"Advanced",StudentsTable[[#This Row],[AverageScore]]&gt;=70,"Intermediate",StudentsTable[[#This Row],[AverageScore]]&gt;=60,"Basic",TRUE,"Needs Help")</f>
        <v>Intermediate</v>
      </c>
      <c r="N396">
        <f>RANK(StudentsTable[[#This Row],[AverageScore]],StudentsTable[AverageScore])</f>
        <v>395</v>
      </c>
      <c r="O396">
        <f>(StudentsTable[[#This Row],[AverageScore]]-MIN(StudentsTable[AverageScore]))/(MAX(StudentsTable[AverageScore])-MIN(StudentsTable[AverageScore]))*100</f>
        <v>69.230769230769226</v>
      </c>
    </row>
    <row r="397" spans="1:15" x14ac:dyDescent="0.3">
      <c r="A397" t="s">
        <v>17</v>
      </c>
      <c r="B397" t="s">
        <v>18</v>
      </c>
      <c r="C397" t="s">
        <v>22</v>
      </c>
      <c r="D397" t="s">
        <v>20</v>
      </c>
      <c r="E397" t="s">
        <v>12</v>
      </c>
      <c r="F397">
        <v>48</v>
      </c>
      <c r="G397">
        <v>45</v>
      </c>
      <c r="H397">
        <v>41</v>
      </c>
      <c r="I397">
        <f>StudentsTable[[#This Row],[math score]]+StudentsTable[[#This Row],[reading score]]+StudentsTable[[#This Row],[writing score]]</f>
        <v>134</v>
      </c>
      <c r="J397">
        <f>StudentsTable[[#This Row],[TotalScore]]/3</f>
        <v>44.666666666666664</v>
      </c>
      <c r="K397" t="str" cm="1">
        <f t="array" ref="K397">_xlfn.IFS(StudentsTable[[#This Row],[AverageScore]]&gt;=90,"A",StudentsTable[[#This Row],[AverageScore]]&gt;=80,"B",StudentsTable[[#This Row],[AverageScore]]&gt;=70,"C",StudentsTable[[#This Row],[AverageScore]]&gt;=60,"D",TRUE,"F")</f>
        <v>F</v>
      </c>
      <c r="L397" t="str">
        <f>IF(StudentsTable[[#This Row],[AverageScore]]&gt;=60,"Pass","Fail")</f>
        <v>Fail</v>
      </c>
      <c r="M397" t="str" cm="1">
        <f t="array" ref="M397">_xlfn.IFS(StudentsTable[[#This Row],[AverageScore]]&gt;=85,"Advanced",StudentsTable[[#This Row],[AverageScore]]&gt;=70,"Intermediate",StudentsTable[[#This Row],[AverageScore]]&gt;=60,"Basic",TRUE,"Needs Help")</f>
        <v>Needs Help</v>
      </c>
      <c r="N397">
        <f>RANK(StudentsTable[[#This Row],[AverageScore]],StudentsTable[AverageScore])</f>
        <v>947</v>
      </c>
      <c r="O397">
        <f>(StudentsTable[[#This Row],[AverageScore]]-MIN(StudentsTable[AverageScore]))/(MAX(StudentsTable[AverageScore])-MIN(StudentsTable[AverageScore]))*100</f>
        <v>39.194139194139197</v>
      </c>
    </row>
    <row r="398" spans="1:15" x14ac:dyDescent="0.3">
      <c r="A398" t="s">
        <v>8</v>
      </c>
      <c r="B398" t="s">
        <v>9</v>
      </c>
      <c r="C398" t="s">
        <v>22</v>
      </c>
      <c r="D398" t="s">
        <v>20</v>
      </c>
      <c r="E398" t="s">
        <v>12</v>
      </c>
      <c r="F398">
        <v>50</v>
      </c>
      <c r="G398">
        <v>67</v>
      </c>
      <c r="H398">
        <v>63</v>
      </c>
      <c r="I398">
        <f>StudentsTable[[#This Row],[math score]]+StudentsTable[[#This Row],[reading score]]+StudentsTable[[#This Row],[writing score]]</f>
        <v>180</v>
      </c>
      <c r="J398">
        <f>StudentsTable[[#This Row],[TotalScore]]/3</f>
        <v>60</v>
      </c>
      <c r="K398" t="str" cm="1">
        <f t="array" ref="K398">_xlfn.IFS(StudentsTable[[#This Row],[AverageScore]]&gt;=90,"A",StudentsTable[[#This Row],[AverageScore]]&gt;=80,"B",StudentsTable[[#This Row],[AverageScore]]&gt;=70,"C",StudentsTable[[#This Row],[AverageScore]]&gt;=60,"D",TRUE,"F")</f>
        <v>D</v>
      </c>
      <c r="L398" t="str">
        <f>IF(StudentsTable[[#This Row],[AverageScore]]&gt;=60,"Pass","Fail")</f>
        <v>Pass</v>
      </c>
      <c r="M398" t="str" cm="1">
        <f t="array" ref="M398">_xlfn.IFS(StudentsTable[[#This Row],[AverageScore]]&gt;=85,"Advanced",StudentsTable[[#This Row],[AverageScore]]&gt;=70,"Intermediate",StudentsTable[[#This Row],[AverageScore]]&gt;=60,"Basic",TRUE,"Needs Help")</f>
        <v>Basic</v>
      </c>
      <c r="N398">
        <f>RANK(StudentsTable[[#This Row],[AverageScore]],StudentsTable[AverageScore])</f>
        <v>708</v>
      </c>
      <c r="O398">
        <f>(StudentsTable[[#This Row],[AverageScore]]-MIN(StudentsTable[AverageScore]))/(MAX(StudentsTable[AverageScore])-MIN(StudentsTable[AverageScore]))*100</f>
        <v>56.043956043956044</v>
      </c>
    </row>
    <row r="399" spans="1:15" x14ac:dyDescent="0.3">
      <c r="A399" t="s">
        <v>8</v>
      </c>
      <c r="B399" t="s">
        <v>13</v>
      </c>
      <c r="C399" t="s">
        <v>19</v>
      </c>
      <c r="D399" t="s">
        <v>11</v>
      </c>
      <c r="E399" t="s">
        <v>12</v>
      </c>
      <c r="F399">
        <v>85</v>
      </c>
      <c r="G399">
        <v>89</v>
      </c>
      <c r="H399">
        <v>95</v>
      </c>
      <c r="I399">
        <f>StudentsTable[[#This Row],[math score]]+StudentsTable[[#This Row],[reading score]]+StudentsTable[[#This Row],[writing score]]</f>
        <v>269</v>
      </c>
      <c r="J399">
        <f>StudentsTable[[#This Row],[TotalScore]]/3</f>
        <v>89.666666666666671</v>
      </c>
      <c r="K399" t="str" cm="1">
        <f t="array" ref="K399">_xlfn.IFS(StudentsTable[[#This Row],[AverageScore]]&gt;=90,"A",StudentsTable[[#This Row],[AverageScore]]&gt;=80,"B",StudentsTable[[#This Row],[AverageScore]]&gt;=70,"C",StudentsTable[[#This Row],[AverageScore]]&gt;=60,"D",TRUE,"F")</f>
        <v>B</v>
      </c>
      <c r="L399" t="str">
        <f>IF(StudentsTable[[#This Row],[AverageScore]]&gt;=60,"Pass","Fail")</f>
        <v>Pass</v>
      </c>
      <c r="M399" t="str" cm="1">
        <f t="array" ref="M399">_xlfn.IFS(StudentsTable[[#This Row],[AverageScore]]&gt;=85,"Advanced",StudentsTable[[#This Row],[AverageScore]]&gt;=70,"Intermediate",StudentsTable[[#This Row],[AverageScore]]&gt;=60,"Basic",TRUE,"Needs Help")</f>
        <v>Advanced</v>
      </c>
      <c r="N399">
        <f>RANK(StudentsTable[[#This Row],[AverageScore]],StudentsTable[AverageScore])</f>
        <v>53</v>
      </c>
      <c r="O399">
        <f>(StudentsTable[[#This Row],[AverageScore]]-MIN(StudentsTable[AverageScore]))/(MAX(StudentsTable[AverageScore])-MIN(StudentsTable[AverageScore]))*100</f>
        <v>88.644688644688657</v>
      </c>
    </row>
    <row r="400" spans="1:15" x14ac:dyDescent="0.3">
      <c r="A400" t="s">
        <v>17</v>
      </c>
      <c r="B400" t="s">
        <v>9</v>
      </c>
      <c r="C400" t="s">
        <v>23</v>
      </c>
      <c r="D400" t="s">
        <v>11</v>
      </c>
      <c r="E400" t="s">
        <v>12</v>
      </c>
      <c r="F400">
        <v>74</v>
      </c>
      <c r="G400">
        <v>63</v>
      </c>
      <c r="H400">
        <v>57</v>
      </c>
      <c r="I400">
        <f>StudentsTable[[#This Row],[math score]]+StudentsTable[[#This Row],[reading score]]+StudentsTable[[#This Row],[writing score]]</f>
        <v>194</v>
      </c>
      <c r="J400">
        <f>StudentsTable[[#This Row],[TotalScore]]/3</f>
        <v>64.666666666666671</v>
      </c>
      <c r="K400" t="str" cm="1">
        <f t="array" ref="K400">_xlfn.IFS(StudentsTable[[#This Row],[AverageScore]]&gt;=90,"A",StudentsTable[[#This Row],[AverageScore]]&gt;=80,"B",StudentsTable[[#This Row],[AverageScore]]&gt;=70,"C",StudentsTable[[#This Row],[AverageScore]]&gt;=60,"D",TRUE,"F")</f>
        <v>D</v>
      </c>
      <c r="L400" t="str">
        <f>IF(StudentsTable[[#This Row],[AverageScore]]&gt;=60,"Pass","Fail")</f>
        <v>Pass</v>
      </c>
      <c r="M400" t="str" cm="1">
        <f t="array" ref="M400">_xlfn.IFS(StudentsTable[[#This Row],[AverageScore]]&gt;=85,"Advanced",StudentsTable[[#This Row],[AverageScore]]&gt;=70,"Intermediate",StudentsTable[[#This Row],[AverageScore]]&gt;=60,"Basic",TRUE,"Needs Help")</f>
        <v>Basic</v>
      </c>
      <c r="N400">
        <f>RANK(StudentsTable[[#This Row],[AverageScore]],StudentsTable[AverageScore])</f>
        <v>602</v>
      </c>
      <c r="O400">
        <f>(StudentsTable[[#This Row],[AverageScore]]-MIN(StudentsTable[AverageScore]))/(MAX(StudentsTable[AverageScore])-MIN(StudentsTable[AverageScore]))*100</f>
        <v>61.172161172161175</v>
      </c>
    </row>
    <row r="401" spans="1:15" x14ac:dyDescent="0.3">
      <c r="A401" t="s">
        <v>17</v>
      </c>
      <c r="B401" t="s">
        <v>21</v>
      </c>
      <c r="C401" t="s">
        <v>23</v>
      </c>
      <c r="D401" t="s">
        <v>11</v>
      </c>
      <c r="E401" t="s">
        <v>12</v>
      </c>
      <c r="F401">
        <v>60</v>
      </c>
      <c r="G401">
        <v>59</v>
      </c>
      <c r="H401">
        <v>54</v>
      </c>
      <c r="I401">
        <f>StudentsTable[[#This Row],[math score]]+StudentsTable[[#This Row],[reading score]]+StudentsTable[[#This Row],[writing score]]</f>
        <v>173</v>
      </c>
      <c r="J401">
        <f>StudentsTable[[#This Row],[TotalScore]]/3</f>
        <v>57.666666666666664</v>
      </c>
      <c r="K401" t="str" cm="1">
        <f t="array" ref="K401">_xlfn.IFS(StudentsTable[[#This Row],[AverageScore]]&gt;=90,"A",StudentsTable[[#This Row],[AverageScore]]&gt;=80,"B",StudentsTable[[#This Row],[AverageScore]]&gt;=70,"C",StudentsTable[[#This Row],[AverageScore]]&gt;=60,"D",TRUE,"F")</f>
        <v>F</v>
      </c>
      <c r="L401" t="str">
        <f>IF(StudentsTable[[#This Row],[AverageScore]]&gt;=60,"Pass","Fail")</f>
        <v>Fail</v>
      </c>
      <c r="M401" t="str" cm="1">
        <f t="array" ref="M401">_xlfn.IFS(StudentsTable[[#This Row],[AverageScore]]&gt;=85,"Advanced",StudentsTable[[#This Row],[AverageScore]]&gt;=70,"Intermediate",StudentsTable[[#This Row],[AverageScore]]&gt;=60,"Basic",TRUE,"Needs Help")</f>
        <v>Needs Help</v>
      </c>
      <c r="N401">
        <f>RANK(StudentsTable[[#This Row],[AverageScore]],StudentsTable[AverageScore])</f>
        <v>756</v>
      </c>
      <c r="O401">
        <f>(StudentsTable[[#This Row],[AverageScore]]-MIN(StudentsTable[AverageScore]))/(MAX(StudentsTable[AverageScore])-MIN(StudentsTable[AverageScore]))*100</f>
        <v>53.479853479853482</v>
      </c>
    </row>
    <row r="402" spans="1:15" x14ac:dyDescent="0.3">
      <c r="A402" t="s">
        <v>8</v>
      </c>
      <c r="B402" t="s">
        <v>13</v>
      </c>
      <c r="C402" t="s">
        <v>23</v>
      </c>
      <c r="D402" t="s">
        <v>11</v>
      </c>
      <c r="E402" t="s">
        <v>15</v>
      </c>
      <c r="F402">
        <v>59</v>
      </c>
      <c r="G402">
        <v>54</v>
      </c>
      <c r="H402">
        <v>67</v>
      </c>
      <c r="I402">
        <f>StudentsTable[[#This Row],[math score]]+StudentsTable[[#This Row],[reading score]]+StudentsTable[[#This Row],[writing score]]</f>
        <v>180</v>
      </c>
      <c r="J402">
        <f>StudentsTable[[#This Row],[TotalScore]]/3</f>
        <v>60</v>
      </c>
      <c r="K402" t="str" cm="1">
        <f t="array" ref="K402">_xlfn.IFS(StudentsTable[[#This Row],[AverageScore]]&gt;=90,"A",StudentsTable[[#This Row],[AverageScore]]&gt;=80,"B",StudentsTable[[#This Row],[AverageScore]]&gt;=70,"C",StudentsTable[[#This Row],[AverageScore]]&gt;=60,"D",TRUE,"F")</f>
        <v>D</v>
      </c>
      <c r="L402" t="str">
        <f>IF(StudentsTable[[#This Row],[AverageScore]]&gt;=60,"Pass","Fail")</f>
        <v>Pass</v>
      </c>
      <c r="M402" t="str" cm="1">
        <f t="array" ref="M402">_xlfn.IFS(StudentsTable[[#This Row],[AverageScore]]&gt;=85,"Advanced",StudentsTable[[#This Row],[AverageScore]]&gt;=70,"Intermediate",StudentsTable[[#This Row],[AverageScore]]&gt;=60,"Basic",TRUE,"Needs Help")</f>
        <v>Basic</v>
      </c>
      <c r="N402">
        <f>RANK(StudentsTable[[#This Row],[AverageScore]],StudentsTable[AverageScore])</f>
        <v>708</v>
      </c>
      <c r="O402">
        <f>(StudentsTable[[#This Row],[AverageScore]]-MIN(StudentsTable[AverageScore]))/(MAX(StudentsTable[AverageScore])-MIN(StudentsTable[AverageScore]))*100</f>
        <v>56.043956043956044</v>
      </c>
    </row>
    <row r="403" spans="1:15" x14ac:dyDescent="0.3">
      <c r="A403" t="s">
        <v>17</v>
      </c>
      <c r="B403" t="s">
        <v>18</v>
      </c>
      <c r="C403" t="s">
        <v>14</v>
      </c>
      <c r="D403" t="s">
        <v>11</v>
      </c>
      <c r="E403" t="s">
        <v>12</v>
      </c>
      <c r="F403">
        <v>53</v>
      </c>
      <c r="G403">
        <v>43</v>
      </c>
      <c r="H403">
        <v>43</v>
      </c>
      <c r="I403">
        <f>StudentsTable[[#This Row],[math score]]+StudentsTable[[#This Row],[reading score]]+StudentsTable[[#This Row],[writing score]]</f>
        <v>139</v>
      </c>
      <c r="J403">
        <f>StudentsTable[[#This Row],[TotalScore]]/3</f>
        <v>46.333333333333336</v>
      </c>
      <c r="K403" t="str" cm="1">
        <f t="array" ref="K403">_xlfn.IFS(StudentsTable[[#This Row],[AverageScore]]&gt;=90,"A",StudentsTable[[#This Row],[AverageScore]]&gt;=80,"B",StudentsTable[[#This Row],[AverageScore]]&gt;=70,"C",StudentsTable[[#This Row],[AverageScore]]&gt;=60,"D",TRUE,"F")</f>
        <v>F</v>
      </c>
      <c r="L403" t="str">
        <f>IF(StudentsTable[[#This Row],[AverageScore]]&gt;=60,"Pass","Fail")</f>
        <v>Fail</v>
      </c>
      <c r="M403" t="str" cm="1">
        <f t="array" ref="M403">_xlfn.IFS(StudentsTable[[#This Row],[AverageScore]]&gt;=85,"Advanced",StudentsTable[[#This Row],[AverageScore]]&gt;=70,"Intermediate",StudentsTable[[#This Row],[AverageScore]]&gt;=60,"Basic",TRUE,"Needs Help")</f>
        <v>Needs Help</v>
      </c>
      <c r="N403">
        <f>RANK(StudentsTable[[#This Row],[AverageScore]],StudentsTable[AverageScore])</f>
        <v>934</v>
      </c>
      <c r="O403">
        <f>(StudentsTable[[#This Row],[AverageScore]]-MIN(StudentsTable[AverageScore]))/(MAX(StudentsTable[AverageScore])-MIN(StudentsTable[AverageScore]))*100</f>
        <v>41.025641025641029</v>
      </c>
    </row>
    <row r="404" spans="1:15" x14ac:dyDescent="0.3">
      <c r="A404" t="s">
        <v>8</v>
      </c>
      <c r="B404" t="s">
        <v>18</v>
      </c>
      <c r="C404" t="s">
        <v>14</v>
      </c>
      <c r="D404" t="s">
        <v>20</v>
      </c>
      <c r="E404" t="s">
        <v>12</v>
      </c>
      <c r="F404">
        <v>49</v>
      </c>
      <c r="G404">
        <v>65</v>
      </c>
      <c r="H404">
        <v>55</v>
      </c>
      <c r="I404">
        <f>StudentsTable[[#This Row],[math score]]+StudentsTable[[#This Row],[reading score]]+StudentsTable[[#This Row],[writing score]]</f>
        <v>169</v>
      </c>
      <c r="J404">
        <f>StudentsTable[[#This Row],[TotalScore]]/3</f>
        <v>56.333333333333336</v>
      </c>
      <c r="K404" t="str" cm="1">
        <f t="array" ref="K404">_xlfn.IFS(StudentsTable[[#This Row],[AverageScore]]&gt;=90,"A",StudentsTable[[#This Row],[AverageScore]]&gt;=80,"B",StudentsTable[[#This Row],[AverageScore]]&gt;=70,"C",StudentsTable[[#This Row],[AverageScore]]&gt;=60,"D",TRUE,"F")</f>
        <v>F</v>
      </c>
      <c r="L404" t="str">
        <f>IF(StudentsTable[[#This Row],[AverageScore]]&gt;=60,"Pass","Fail")</f>
        <v>Fail</v>
      </c>
      <c r="M404" t="str" cm="1">
        <f t="array" ref="M404">_xlfn.IFS(StudentsTable[[#This Row],[AverageScore]]&gt;=85,"Advanced",StudentsTable[[#This Row],[AverageScore]]&gt;=70,"Intermediate",StudentsTable[[#This Row],[AverageScore]]&gt;=60,"Basic",TRUE,"Needs Help")</f>
        <v>Needs Help</v>
      </c>
      <c r="N404">
        <f>RANK(StudentsTable[[#This Row],[AverageScore]],StudentsTable[AverageScore])</f>
        <v>780</v>
      </c>
      <c r="O404">
        <f>(StudentsTable[[#This Row],[AverageScore]]-MIN(StudentsTable[AverageScore]))/(MAX(StudentsTable[AverageScore])-MIN(StudentsTable[AverageScore]))*100</f>
        <v>52.014652014652022</v>
      </c>
    </row>
    <row r="405" spans="1:15" x14ac:dyDescent="0.3">
      <c r="A405" t="s">
        <v>8</v>
      </c>
      <c r="B405" t="s">
        <v>21</v>
      </c>
      <c r="C405" t="s">
        <v>22</v>
      </c>
      <c r="D405" t="s">
        <v>11</v>
      </c>
      <c r="E405" t="s">
        <v>15</v>
      </c>
      <c r="F405">
        <v>88</v>
      </c>
      <c r="G405">
        <v>99</v>
      </c>
      <c r="H405">
        <v>100</v>
      </c>
      <c r="I405">
        <f>StudentsTable[[#This Row],[math score]]+StudentsTable[[#This Row],[reading score]]+StudentsTable[[#This Row],[writing score]]</f>
        <v>287</v>
      </c>
      <c r="J405">
        <f>StudentsTable[[#This Row],[TotalScore]]/3</f>
        <v>95.666666666666671</v>
      </c>
      <c r="K405" t="str" cm="1">
        <f t="array" ref="K405">_xlfn.IFS(StudentsTable[[#This Row],[AverageScore]]&gt;=90,"A",StudentsTable[[#This Row],[AverageScore]]&gt;=80,"B",StudentsTable[[#This Row],[AverageScore]]&gt;=70,"C",StudentsTable[[#This Row],[AverageScore]]&gt;=60,"D",TRUE,"F")</f>
        <v>A</v>
      </c>
      <c r="L405" t="str">
        <f>IF(StudentsTable[[#This Row],[AverageScore]]&gt;=60,"Pass","Fail")</f>
        <v>Pass</v>
      </c>
      <c r="M405" t="str" cm="1">
        <f t="array" ref="M405">_xlfn.IFS(StudentsTable[[#This Row],[AverageScore]]&gt;=85,"Advanced",StudentsTable[[#This Row],[AverageScore]]&gt;=70,"Intermediate",StudentsTable[[#This Row],[AverageScore]]&gt;=60,"Basic",TRUE,"Needs Help")</f>
        <v>Advanced</v>
      </c>
      <c r="N405">
        <f>RANK(StudentsTable[[#This Row],[AverageScore]],StudentsTable[AverageScore])</f>
        <v>21</v>
      </c>
      <c r="O405">
        <f>(StudentsTable[[#This Row],[AverageScore]]-MIN(StudentsTable[AverageScore]))/(MAX(StudentsTable[AverageScore])-MIN(StudentsTable[AverageScore]))*100</f>
        <v>95.238095238095241</v>
      </c>
    </row>
    <row r="406" spans="1:15" x14ac:dyDescent="0.3">
      <c r="A406" t="s">
        <v>8</v>
      </c>
      <c r="B406" t="s">
        <v>13</v>
      </c>
      <c r="C406" t="s">
        <v>22</v>
      </c>
      <c r="D406" t="s">
        <v>11</v>
      </c>
      <c r="E406" t="s">
        <v>12</v>
      </c>
      <c r="F406">
        <v>54</v>
      </c>
      <c r="G406">
        <v>59</v>
      </c>
      <c r="H406">
        <v>62</v>
      </c>
      <c r="I406">
        <f>StudentsTable[[#This Row],[math score]]+StudentsTable[[#This Row],[reading score]]+StudentsTable[[#This Row],[writing score]]</f>
        <v>175</v>
      </c>
      <c r="J406">
        <f>StudentsTable[[#This Row],[TotalScore]]/3</f>
        <v>58.333333333333336</v>
      </c>
      <c r="K406" t="str" cm="1">
        <f t="array" ref="K406">_xlfn.IFS(StudentsTable[[#This Row],[AverageScore]]&gt;=90,"A",StudentsTable[[#This Row],[AverageScore]]&gt;=80,"B",StudentsTable[[#This Row],[AverageScore]]&gt;=70,"C",StudentsTable[[#This Row],[AverageScore]]&gt;=60,"D",TRUE,"F")</f>
        <v>F</v>
      </c>
      <c r="L406" t="str">
        <f>IF(StudentsTable[[#This Row],[AverageScore]]&gt;=60,"Pass","Fail")</f>
        <v>Fail</v>
      </c>
      <c r="M406" t="str" cm="1">
        <f t="array" ref="M406">_xlfn.IFS(StudentsTable[[#This Row],[AverageScore]]&gt;=85,"Advanced",StudentsTable[[#This Row],[AverageScore]]&gt;=70,"Intermediate",StudentsTable[[#This Row],[AverageScore]]&gt;=60,"Basic",TRUE,"Needs Help")</f>
        <v>Needs Help</v>
      </c>
      <c r="N406">
        <f>RANK(StudentsTable[[#This Row],[AverageScore]],StudentsTable[AverageScore])</f>
        <v>745</v>
      </c>
      <c r="O406">
        <f>(StudentsTable[[#This Row],[AverageScore]]-MIN(StudentsTable[AverageScore]))/(MAX(StudentsTable[AverageScore])-MIN(StudentsTable[AverageScore]))*100</f>
        <v>54.212454212454219</v>
      </c>
    </row>
    <row r="407" spans="1:15" x14ac:dyDescent="0.3">
      <c r="A407" t="s">
        <v>8</v>
      </c>
      <c r="B407" t="s">
        <v>13</v>
      </c>
      <c r="C407" t="s">
        <v>23</v>
      </c>
      <c r="D407" t="s">
        <v>11</v>
      </c>
      <c r="E407" t="s">
        <v>12</v>
      </c>
      <c r="F407">
        <v>63</v>
      </c>
      <c r="G407">
        <v>73</v>
      </c>
      <c r="H407">
        <v>68</v>
      </c>
      <c r="I407">
        <f>StudentsTable[[#This Row],[math score]]+StudentsTable[[#This Row],[reading score]]+StudentsTable[[#This Row],[writing score]]</f>
        <v>204</v>
      </c>
      <c r="J407">
        <f>StudentsTable[[#This Row],[TotalScore]]/3</f>
        <v>68</v>
      </c>
      <c r="K407" t="str" cm="1">
        <f t="array" ref="K407">_xlfn.IFS(StudentsTable[[#This Row],[AverageScore]]&gt;=90,"A",StudentsTable[[#This Row],[AverageScore]]&gt;=80,"B",StudentsTable[[#This Row],[AverageScore]]&gt;=70,"C",StudentsTable[[#This Row],[AverageScore]]&gt;=60,"D",TRUE,"F")</f>
        <v>D</v>
      </c>
      <c r="L407" t="str">
        <f>IF(StudentsTable[[#This Row],[AverageScore]]&gt;=60,"Pass","Fail")</f>
        <v>Pass</v>
      </c>
      <c r="M407" t="str" cm="1">
        <f t="array" ref="M407">_xlfn.IFS(StudentsTable[[#This Row],[AverageScore]]&gt;=85,"Advanced",StudentsTable[[#This Row],[AverageScore]]&gt;=70,"Intermediate",StudentsTable[[#This Row],[AverageScore]]&gt;=60,"Basic",TRUE,"Needs Help")</f>
        <v>Basic</v>
      </c>
      <c r="N407">
        <f>RANK(StudentsTable[[#This Row],[AverageScore]],StudentsTable[AverageScore])</f>
        <v>512</v>
      </c>
      <c r="O407">
        <f>(StudentsTable[[#This Row],[AverageScore]]-MIN(StudentsTable[AverageScore]))/(MAX(StudentsTable[AverageScore])-MIN(StudentsTable[AverageScore]))*100</f>
        <v>64.835164835164832</v>
      </c>
    </row>
    <row r="408" spans="1:15" x14ac:dyDescent="0.3">
      <c r="A408" t="s">
        <v>17</v>
      </c>
      <c r="B408" t="s">
        <v>9</v>
      </c>
      <c r="C408" t="s">
        <v>19</v>
      </c>
      <c r="D408" t="s">
        <v>11</v>
      </c>
      <c r="E408" t="s">
        <v>15</v>
      </c>
      <c r="F408">
        <v>65</v>
      </c>
      <c r="G408">
        <v>65</v>
      </c>
      <c r="H408">
        <v>63</v>
      </c>
      <c r="I408">
        <f>StudentsTable[[#This Row],[math score]]+StudentsTable[[#This Row],[reading score]]+StudentsTable[[#This Row],[writing score]]</f>
        <v>193</v>
      </c>
      <c r="J408">
        <f>StudentsTable[[#This Row],[TotalScore]]/3</f>
        <v>64.333333333333329</v>
      </c>
      <c r="K408" t="str" cm="1">
        <f t="array" ref="K408">_xlfn.IFS(StudentsTable[[#This Row],[AverageScore]]&gt;=90,"A",StudentsTable[[#This Row],[AverageScore]]&gt;=80,"B",StudentsTable[[#This Row],[AverageScore]]&gt;=70,"C",StudentsTable[[#This Row],[AverageScore]]&gt;=60,"D",TRUE,"F")</f>
        <v>D</v>
      </c>
      <c r="L408" t="str">
        <f>IF(StudentsTable[[#This Row],[AverageScore]]&gt;=60,"Pass","Fail")</f>
        <v>Pass</v>
      </c>
      <c r="M408" t="str" cm="1">
        <f t="array" ref="M408">_xlfn.IFS(StudentsTable[[#This Row],[AverageScore]]&gt;=85,"Advanced",StudentsTable[[#This Row],[AverageScore]]&gt;=70,"Intermediate",StudentsTable[[#This Row],[AverageScore]]&gt;=60,"Basic",TRUE,"Needs Help")</f>
        <v>Basic</v>
      </c>
      <c r="N408">
        <f>RANK(StudentsTable[[#This Row],[AverageScore]],StudentsTable[AverageScore])</f>
        <v>613</v>
      </c>
      <c r="O408">
        <f>(StudentsTable[[#This Row],[AverageScore]]-MIN(StudentsTable[AverageScore]))/(MAX(StudentsTable[AverageScore])-MIN(StudentsTable[AverageScore]))*100</f>
        <v>60.805860805860803</v>
      </c>
    </row>
    <row r="409" spans="1:15" x14ac:dyDescent="0.3">
      <c r="A409" t="s">
        <v>8</v>
      </c>
      <c r="B409" t="s">
        <v>9</v>
      </c>
      <c r="C409" t="s">
        <v>19</v>
      </c>
      <c r="D409" t="s">
        <v>11</v>
      </c>
      <c r="E409" t="s">
        <v>12</v>
      </c>
      <c r="F409">
        <v>82</v>
      </c>
      <c r="G409">
        <v>80</v>
      </c>
      <c r="H409">
        <v>77</v>
      </c>
      <c r="I409">
        <f>StudentsTable[[#This Row],[math score]]+StudentsTable[[#This Row],[reading score]]+StudentsTable[[#This Row],[writing score]]</f>
        <v>239</v>
      </c>
      <c r="J409">
        <f>StudentsTable[[#This Row],[TotalScore]]/3</f>
        <v>79.666666666666671</v>
      </c>
      <c r="K409" t="str" cm="1">
        <f t="array" ref="K409">_xlfn.IFS(StudentsTable[[#This Row],[AverageScore]]&gt;=90,"A",StudentsTable[[#This Row],[AverageScore]]&gt;=80,"B",StudentsTable[[#This Row],[AverageScore]]&gt;=70,"C",StudentsTable[[#This Row],[AverageScore]]&gt;=60,"D",TRUE,"F")</f>
        <v>C</v>
      </c>
      <c r="L409" t="str">
        <f>IF(StudentsTable[[#This Row],[AverageScore]]&gt;=60,"Pass","Fail")</f>
        <v>Pass</v>
      </c>
      <c r="M409" t="str" cm="1">
        <f t="array" ref="M409">_xlfn.IFS(StudentsTable[[#This Row],[AverageScore]]&gt;=85,"Advanced",StudentsTable[[#This Row],[AverageScore]]&gt;=70,"Intermediate",StudentsTable[[#This Row],[AverageScore]]&gt;=60,"Basic",TRUE,"Needs Help")</f>
        <v>Intermediate</v>
      </c>
      <c r="N409">
        <f>RANK(StudentsTable[[#This Row],[AverageScore]],StudentsTable[AverageScore])</f>
        <v>199</v>
      </c>
      <c r="O409">
        <f>(StudentsTable[[#This Row],[AverageScore]]-MIN(StudentsTable[AverageScore]))/(MAX(StudentsTable[AverageScore])-MIN(StudentsTable[AverageScore]))*100</f>
        <v>77.655677655677664</v>
      </c>
    </row>
    <row r="410" spans="1:15" x14ac:dyDescent="0.3">
      <c r="A410" t="s">
        <v>8</v>
      </c>
      <c r="B410" t="s">
        <v>21</v>
      </c>
      <c r="C410" t="s">
        <v>22</v>
      </c>
      <c r="D410" t="s">
        <v>20</v>
      </c>
      <c r="E410" t="s">
        <v>15</v>
      </c>
      <c r="F410">
        <v>52</v>
      </c>
      <c r="G410">
        <v>57</v>
      </c>
      <c r="H410">
        <v>56</v>
      </c>
      <c r="I410">
        <f>StudentsTable[[#This Row],[math score]]+StudentsTable[[#This Row],[reading score]]+StudentsTable[[#This Row],[writing score]]</f>
        <v>165</v>
      </c>
      <c r="J410">
        <f>StudentsTable[[#This Row],[TotalScore]]/3</f>
        <v>55</v>
      </c>
      <c r="K410" t="str" cm="1">
        <f t="array" ref="K410">_xlfn.IFS(StudentsTable[[#This Row],[AverageScore]]&gt;=90,"A",StudentsTable[[#This Row],[AverageScore]]&gt;=80,"B",StudentsTable[[#This Row],[AverageScore]]&gt;=70,"C",StudentsTable[[#This Row],[AverageScore]]&gt;=60,"D",TRUE,"F")</f>
        <v>F</v>
      </c>
      <c r="L410" t="str">
        <f>IF(StudentsTable[[#This Row],[AverageScore]]&gt;=60,"Pass","Fail")</f>
        <v>Fail</v>
      </c>
      <c r="M410" t="str" cm="1">
        <f t="array" ref="M410">_xlfn.IFS(StudentsTable[[#This Row],[AverageScore]]&gt;=85,"Advanced",StudentsTable[[#This Row],[AverageScore]]&gt;=70,"Intermediate",StudentsTable[[#This Row],[AverageScore]]&gt;=60,"Basic",TRUE,"Needs Help")</f>
        <v>Needs Help</v>
      </c>
      <c r="N410">
        <f>RANK(StudentsTable[[#This Row],[AverageScore]],StudentsTable[AverageScore])</f>
        <v>808</v>
      </c>
      <c r="O410">
        <f>(StudentsTable[[#This Row],[AverageScore]]-MIN(StudentsTable[AverageScore]))/(MAX(StudentsTable[AverageScore])-MIN(StudentsTable[AverageScore]))*100</f>
        <v>50.549450549450547</v>
      </c>
    </row>
    <row r="411" spans="1:15" x14ac:dyDescent="0.3">
      <c r="A411" t="s">
        <v>17</v>
      </c>
      <c r="B411" t="s">
        <v>21</v>
      </c>
      <c r="C411" t="s">
        <v>19</v>
      </c>
      <c r="D411" t="s">
        <v>11</v>
      </c>
      <c r="E411" t="s">
        <v>15</v>
      </c>
      <c r="F411">
        <v>87</v>
      </c>
      <c r="G411">
        <v>84</v>
      </c>
      <c r="H411">
        <v>85</v>
      </c>
      <c r="I411">
        <f>StudentsTable[[#This Row],[math score]]+StudentsTable[[#This Row],[reading score]]+StudentsTable[[#This Row],[writing score]]</f>
        <v>256</v>
      </c>
      <c r="J411">
        <f>StudentsTable[[#This Row],[TotalScore]]/3</f>
        <v>85.333333333333329</v>
      </c>
      <c r="K411" t="str" cm="1">
        <f t="array" ref="K411">_xlfn.IFS(StudentsTable[[#This Row],[AverageScore]]&gt;=90,"A",StudentsTable[[#This Row],[AverageScore]]&gt;=80,"B",StudentsTable[[#This Row],[AverageScore]]&gt;=70,"C",StudentsTable[[#This Row],[AverageScore]]&gt;=60,"D",TRUE,"F")</f>
        <v>B</v>
      </c>
      <c r="L411" t="str">
        <f>IF(StudentsTable[[#This Row],[AverageScore]]&gt;=60,"Pass","Fail")</f>
        <v>Pass</v>
      </c>
      <c r="M411" t="str" cm="1">
        <f t="array" ref="M411">_xlfn.IFS(StudentsTable[[#This Row],[AverageScore]]&gt;=85,"Advanced",StudentsTable[[#This Row],[AverageScore]]&gt;=70,"Intermediate",StudentsTable[[#This Row],[AverageScore]]&gt;=60,"Basic",TRUE,"Needs Help")</f>
        <v>Advanced</v>
      </c>
      <c r="N411">
        <f>RANK(StudentsTable[[#This Row],[AverageScore]],StudentsTable[AverageScore])</f>
        <v>109</v>
      </c>
      <c r="O411">
        <f>(StudentsTable[[#This Row],[AverageScore]]-MIN(StudentsTable[AverageScore]))/(MAX(StudentsTable[AverageScore])-MIN(StudentsTable[AverageScore]))*100</f>
        <v>83.882783882783869</v>
      </c>
    </row>
    <row r="412" spans="1:15" x14ac:dyDescent="0.3">
      <c r="A412" t="s">
        <v>8</v>
      </c>
      <c r="B412" t="s">
        <v>21</v>
      </c>
      <c r="C412" t="s">
        <v>16</v>
      </c>
      <c r="D412" t="s">
        <v>11</v>
      </c>
      <c r="E412" t="s">
        <v>15</v>
      </c>
      <c r="F412">
        <v>70</v>
      </c>
      <c r="G412">
        <v>71</v>
      </c>
      <c r="H412">
        <v>74</v>
      </c>
      <c r="I412">
        <f>StudentsTable[[#This Row],[math score]]+StudentsTable[[#This Row],[reading score]]+StudentsTable[[#This Row],[writing score]]</f>
        <v>215</v>
      </c>
      <c r="J412">
        <f>StudentsTable[[#This Row],[TotalScore]]/3</f>
        <v>71.666666666666671</v>
      </c>
      <c r="K412" t="str" cm="1">
        <f t="array" ref="K412">_xlfn.IFS(StudentsTable[[#This Row],[AverageScore]]&gt;=90,"A",StudentsTable[[#This Row],[AverageScore]]&gt;=80,"B",StudentsTable[[#This Row],[AverageScore]]&gt;=70,"C",StudentsTable[[#This Row],[AverageScore]]&gt;=60,"D",TRUE,"F")</f>
        <v>C</v>
      </c>
      <c r="L412" t="str">
        <f>IF(StudentsTable[[#This Row],[AverageScore]]&gt;=60,"Pass","Fail")</f>
        <v>Pass</v>
      </c>
      <c r="M412" t="str" cm="1">
        <f t="array" ref="M412">_xlfn.IFS(StudentsTable[[#This Row],[AverageScore]]&gt;=85,"Advanced",StudentsTable[[#This Row],[AverageScore]]&gt;=70,"Intermediate",StudentsTable[[#This Row],[AverageScore]]&gt;=60,"Basic",TRUE,"Needs Help")</f>
        <v>Intermediate</v>
      </c>
      <c r="N412">
        <f>RANK(StudentsTable[[#This Row],[AverageScore]],StudentsTable[AverageScore])</f>
        <v>404</v>
      </c>
      <c r="O412">
        <f>(StudentsTable[[#This Row],[AverageScore]]-MIN(StudentsTable[AverageScore]))/(MAX(StudentsTable[AverageScore])-MIN(StudentsTable[AverageScore]))*100</f>
        <v>68.864468864468876</v>
      </c>
    </row>
    <row r="413" spans="1:15" x14ac:dyDescent="0.3">
      <c r="A413" t="s">
        <v>17</v>
      </c>
      <c r="B413" t="s">
        <v>24</v>
      </c>
      <c r="C413" t="s">
        <v>14</v>
      </c>
      <c r="D413" t="s">
        <v>11</v>
      </c>
      <c r="E413" t="s">
        <v>15</v>
      </c>
      <c r="F413">
        <v>84</v>
      </c>
      <c r="G413">
        <v>83</v>
      </c>
      <c r="H413">
        <v>78</v>
      </c>
      <c r="I413">
        <f>StudentsTable[[#This Row],[math score]]+StudentsTable[[#This Row],[reading score]]+StudentsTable[[#This Row],[writing score]]</f>
        <v>245</v>
      </c>
      <c r="J413">
        <f>StudentsTable[[#This Row],[TotalScore]]/3</f>
        <v>81.666666666666671</v>
      </c>
      <c r="K413" t="str" cm="1">
        <f t="array" ref="K413">_xlfn.IFS(StudentsTable[[#This Row],[AverageScore]]&gt;=90,"A",StudentsTable[[#This Row],[AverageScore]]&gt;=80,"B",StudentsTable[[#This Row],[AverageScore]]&gt;=70,"C",StudentsTable[[#This Row],[AverageScore]]&gt;=60,"D",TRUE,"F")</f>
        <v>B</v>
      </c>
      <c r="L413" t="str">
        <f>IF(StudentsTable[[#This Row],[AverageScore]]&gt;=60,"Pass","Fail")</f>
        <v>Pass</v>
      </c>
      <c r="M413" t="str" cm="1">
        <f t="array" ref="M413">_xlfn.IFS(StudentsTable[[#This Row],[AverageScore]]&gt;=85,"Advanced",StudentsTable[[#This Row],[AverageScore]]&gt;=70,"Intermediate",StudentsTable[[#This Row],[AverageScore]]&gt;=60,"Basic",TRUE,"Needs Help")</f>
        <v>Intermediate</v>
      </c>
      <c r="N413">
        <f>RANK(StudentsTable[[#This Row],[AverageScore]],StudentsTable[AverageScore])</f>
        <v>169</v>
      </c>
      <c r="O413">
        <f>(StudentsTable[[#This Row],[AverageScore]]-MIN(StudentsTable[AverageScore]))/(MAX(StudentsTable[AverageScore])-MIN(StudentsTable[AverageScore]))*100</f>
        <v>79.853479853479854</v>
      </c>
    </row>
    <row r="414" spans="1:15" x14ac:dyDescent="0.3">
      <c r="A414" t="s">
        <v>17</v>
      </c>
      <c r="B414" t="s">
        <v>21</v>
      </c>
      <c r="C414" t="s">
        <v>19</v>
      </c>
      <c r="D414" t="s">
        <v>11</v>
      </c>
      <c r="E414" t="s">
        <v>12</v>
      </c>
      <c r="F414">
        <v>71</v>
      </c>
      <c r="G414">
        <v>66</v>
      </c>
      <c r="H414">
        <v>60</v>
      </c>
      <c r="I414">
        <f>StudentsTable[[#This Row],[math score]]+StudentsTable[[#This Row],[reading score]]+StudentsTable[[#This Row],[writing score]]</f>
        <v>197</v>
      </c>
      <c r="J414">
        <f>StudentsTable[[#This Row],[TotalScore]]/3</f>
        <v>65.666666666666671</v>
      </c>
      <c r="K414" t="str" cm="1">
        <f t="array" ref="K414">_xlfn.IFS(StudentsTable[[#This Row],[AverageScore]]&gt;=90,"A",StudentsTable[[#This Row],[AverageScore]]&gt;=80,"B",StudentsTable[[#This Row],[AverageScore]]&gt;=70,"C",StudentsTable[[#This Row],[AverageScore]]&gt;=60,"D",TRUE,"F")</f>
        <v>D</v>
      </c>
      <c r="L414" t="str">
        <f>IF(StudentsTable[[#This Row],[AverageScore]]&gt;=60,"Pass","Fail")</f>
        <v>Pass</v>
      </c>
      <c r="M414" t="str" cm="1">
        <f t="array" ref="M414">_xlfn.IFS(StudentsTable[[#This Row],[AverageScore]]&gt;=85,"Advanced",StudentsTable[[#This Row],[AverageScore]]&gt;=70,"Intermediate",StudentsTable[[#This Row],[AverageScore]]&gt;=60,"Basic",TRUE,"Needs Help")</f>
        <v>Basic</v>
      </c>
      <c r="N414">
        <f>RANK(StudentsTable[[#This Row],[AverageScore]],StudentsTable[AverageScore])</f>
        <v>576</v>
      </c>
      <c r="O414">
        <f>(StudentsTable[[#This Row],[AverageScore]]-MIN(StudentsTable[AverageScore]))/(MAX(StudentsTable[AverageScore])-MIN(StudentsTable[AverageScore]))*100</f>
        <v>62.27106227106227</v>
      </c>
    </row>
    <row r="415" spans="1:15" x14ac:dyDescent="0.3">
      <c r="A415" t="s">
        <v>17</v>
      </c>
      <c r="B415" t="s">
        <v>9</v>
      </c>
      <c r="C415" t="s">
        <v>23</v>
      </c>
      <c r="D415" t="s">
        <v>11</v>
      </c>
      <c r="E415" t="s">
        <v>15</v>
      </c>
      <c r="F415">
        <v>63</v>
      </c>
      <c r="G415">
        <v>67</v>
      </c>
      <c r="H415">
        <v>67</v>
      </c>
      <c r="I415">
        <f>StudentsTable[[#This Row],[math score]]+StudentsTable[[#This Row],[reading score]]+StudentsTable[[#This Row],[writing score]]</f>
        <v>197</v>
      </c>
      <c r="J415">
        <f>StudentsTable[[#This Row],[TotalScore]]/3</f>
        <v>65.666666666666671</v>
      </c>
      <c r="K415" t="str" cm="1">
        <f t="array" ref="K415">_xlfn.IFS(StudentsTable[[#This Row],[AverageScore]]&gt;=90,"A",StudentsTable[[#This Row],[AverageScore]]&gt;=80,"B",StudentsTable[[#This Row],[AverageScore]]&gt;=70,"C",StudentsTable[[#This Row],[AverageScore]]&gt;=60,"D",TRUE,"F")</f>
        <v>D</v>
      </c>
      <c r="L415" t="str">
        <f>IF(StudentsTable[[#This Row],[AverageScore]]&gt;=60,"Pass","Fail")</f>
        <v>Pass</v>
      </c>
      <c r="M415" t="str" cm="1">
        <f t="array" ref="M415">_xlfn.IFS(StudentsTable[[#This Row],[AverageScore]]&gt;=85,"Advanced",StudentsTable[[#This Row],[AverageScore]]&gt;=70,"Intermediate",StudentsTable[[#This Row],[AverageScore]]&gt;=60,"Basic",TRUE,"Needs Help")</f>
        <v>Basic</v>
      </c>
      <c r="N415">
        <f>RANK(StudentsTable[[#This Row],[AverageScore]],StudentsTable[AverageScore])</f>
        <v>576</v>
      </c>
      <c r="O415">
        <f>(StudentsTable[[#This Row],[AverageScore]]-MIN(StudentsTable[AverageScore]))/(MAX(StudentsTable[AverageScore])-MIN(StudentsTable[AverageScore]))*100</f>
        <v>62.27106227106227</v>
      </c>
    </row>
    <row r="416" spans="1:15" x14ac:dyDescent="0.3">
      <c r="A416" t="s">
        <v>8</v>
      </c>
      <c r="B416" t="s">
        <v>13</v>
      </c>
      <c r="C416" t="s">
        <v>10</v>
      </c>
      <c r="D416" t="s">
        <v>20</v>
      </c>
      <c r="E416" t="s">
        <v>15</v>
      </c>
      <c r="F416">
        <v>51</v>
      </c>
      <c r="G416">
        <v>72</v>
      </c>
      <c r="H416">
        <v>79</v>
      </c>
      <c r="I416">
        <f>StudentsTable[[#This Row],[math score]]+StudentsTable[[#This Row],[reading score]]+StudentsTable[[#This Row],[writing score]]</f>
        <v>202</v>
      </c>
      <c r="J416">
        <f>StudentsTable[[#This Row],[TotalScore]]/3</f>
        <v>67.333333333333329</v>
      </c>
      <c r="K416" t="str" cm="1">
        <f t="array" ref="K416">_xlfn.IFS(StudentsTable[[#This Row],[AverageScore]]&gt;=90,"A",StudentsTable[[#This Row],[AverageScore]]&gt;=80,"B",StudentsTable[[#This Row],[AverageScore]]&gt;=70,"C",StudentsTable[[#This Row],[AverageScore]]&gt;=60,"D",TRUE,"F")</f>
        <v>D</v>
      </c>
      <c r="L416" t="str">
        <f>IF(StudentsTable[[#This Row],[AverageScore]]&gt;=60,"Pass","Fail")</f>
        <v>Pass</v>
      </c>
      <c r="M416" t="str" cm="1">
        <f t="array" ref="M416">_xlfn.IFS(StudentsTable[[#This Row],[AverageScore]]&gt;=85,"Advanced",StudentsTable[[#This Row],[AverageScore]]&gt;=70,"Intermediate",StudentsTable[[#This Row],[AverageScore]]&gt;=60,"Basic",TRUE,"Needs Help")</f>
        <v>Basic</v>
      </c>
      <c r="N416">
        <f>RANK(StudentsTable[[#This Row],[AverageScore]],StudentsTable[AverageScore])</f>
        <v>534</v>
      </c>
      <c r="O416">
        <f>(StudentsTable[[#This Row],[AverageScore]]-MIN(StudentsTable[AverageScore]))/(MAX(StudentsTable[AverageScore])-MIN(StudentsTable[AverageScore]))*100</f>
        <v>64.102564102564102</v>
      </c>
    </row>
    <row r="417" spans="1:15" x14ac:dyDescent="0.3">
      <c r="A417" t="s">
        <v>17</v>
      </c>
      <c r="B417" t="s">
        <v>24</v>
      </c>
      <c r="C417" t="s">
        <v>22</v>
      </c>
      <c r="D417" t="s">
        <v>11</v>
      </c>
      <c r="E417" t="s">
        <v>12</v>
      </c>
      <c r="F417">
        <v>84</v>
      </c>
      <c r="G417">
        <v>73</v>
      </c>
      <c r="H417">
        <v>69</v>
      </c>
      <c r="I417">
        <f>StudentsTable[[#This Row],[math score]]+StudentsTable[[#This Row],[reading score]]+StudentsTable[[#This Row],[writing score]]</f>
        <v>226</v>
      </c>
      <c r="J417">
        <f>StudentsTable[[#This Row],[TotalScore]]/3</f>
        <v>75.333333333333329</v>
      </c>
      <c r="K417" t="str" cm="1">
        <f t="array" ref="K417">_xlfn.IFS(StudentsTable[[#This Row],[AverageScore]]&gt;=90,"A",StudentsTable[[#This Row],[AverageScore]]&gt;=80,"B",StudentsTable[[#This Row],[AverageScore]]&gt;=70,"C",StudentsTable[[#This Row],[AverageScore]]&gt;=60,"D",TRUE,"F")</f>
        <v>C</v>
      </c>
      <c r="L417" t="str">
        <f>IF(StudentsTable[[#This Row],[AverageScore]]&gt;=60,"Pass","Fail")</f>
        <v>Pass</v>
      </c>
      <c r="M417" t="str" cm="1">
        <f t="array" ref="M417">_xlfn.IFS(StudentsTable[[#This Row],[AverageScore]]&gt;=85,"Advanced",StudentsTable[[#This Row],[AverageScore]]&gt;=70,"Intermediate",StudentsTable[[#This Row],[AverageScore]]&gt;=60,"Basic",TRUE,"Needs Help")</f>
        <v>Intermediate</v>
      </c>
      <c r="N417">
        <f>RANK(StudentsTable[[#This Row],[AverageScore]],StudentsTable[AverageScore])</f>
        <v>307</v>
      </c>
      <c r="O417">
        <f>(StudentsTable[[#This Row],[AverageScore]]-MIN(StudentsTable[AverageScore]))/(MAX(StudentsTable[AverageScore])-MIN(StudentsTable[AverageScore]))*100</f>
        <v>72.893772893772891</v>
      </c>
    </row>
    <row r="418" spans="1:15" x14ac:dyDescent="0.3">
      <c r="A418" t="s">
        <v>17</v>
      </c>
      <c r="B418" t="s">
        <v>13</v>
      </c>
      <c r="C418" t="s">
        <v>10</v>
      </c>
      <c r="D418" t="s">
        <v>11</v>
      </c>
      <c r="E418" t="s">
        <v>15</v>
      </c>
      <c r="F418">
        <v>71</v>
      </c>
      <c r="G418">
        <v>74</v>
      </c>
      <c r="H418">
        <v>68</v>
      </c>
      <c r="I418">
        <f>StudentsTable[[#This Row],[math score]]+StudentsTable[[#This Row],[reading score]]+StudentsTable[[#This Row],[writing score]]</f>
        <v>213</v>
      </c>
      <c r="J418">
        <f>StudentsTable[[#This Row],[TotalScore]]/3</f>
        <v>71</v>
      </c>
      <c r="K418" t="str" cm="1">
        <f t="array" ref="K418">_xlfn.IFS(StudentsTable[[#This Row],[AverageScore]]&gt;=90,"A",StudentsTable[[#This Row],[AverageScore]]&gt;=80,"B",StudentsTable[[#This Row],[AverageScore]]&gt;=70,"C",StudentsTable[[#This Row],[AverageScore]]&gt;=60,"D",TRUE,"F")</f>
        <v>C</v>
      </c>
      <c r="L418" t="str">
        <f>IF(StudentsTable[[#This Row],[AverageScore]]&gt;=60,"Pass","Fail")</f>
        <v>Pass</v>
      </c>
      <c r="M418" t="str" cm="1">
        <f t="array" ref="M418">_xlfn.IFS(StudentsTable[[#This Row],[AverageScore]]&gt;=85,"Advanced",StudentsTable[[#This Row],[AverageScore]]&gt;=70,"Intermediate",StudentsTable[[#This Row],[AverageScore]]&gt;=60,"Basic",TRUE,"Needs Help")</f>
        <v>Intermediate</v>
      </c>
      <c r="N418">
        <f>RANK(StudentsTable[[#This Row],[AverageScore]],StudentsTable[AverageScore])</f>
        <v>424</v>
      </c>
      <c r="O418">
        <f>(StudentsTable[[#This Row],[AverageScore]]-MIN(StudentsTable[AverageScore]))/(MAX(StudentsTable[AverageScore])-MIN(StudentsTable[AverageScore]))*100</f>
        <v>68.131868131868131</v>
      </c>
    </row>
    <row r="419" spans="1:15" x14ac:dyDescent="0.3">
      <c r="A419" t="s">
        <v>17</v>
      </c>
      <c r="B419" t="s">
        <v>13</v>
      </c>
      <c r="C419" t="s">
        <v>19</v>
      </c>
      <c r="D419" t="s">
        <v>11</v>
      </c>
      <c r="E419" t="s">
        <v>12</v>
      </c>
      <c r="F419">
        <v>74</v>
      </c>
      <c r="G419">
        <v>73</v>
      </c>
      <c r="H419">
        <v>67</v>
      </c>
      <c r="I419">
        <f>StudentsTable[[#This Row],[math score]]+StudentsTable[[#This Row],[reading score]]+StudentsTable[[#This Row],[writing score]]</f>
        <v>214</v>
      </c>
      <c r="J419">
        <f>StudentsTable[[#This Row],[TotalScore]]/3</f>
        <v>71.333333333333329</v>
      </c>
      <c r="K419" t="str" cm="1">
        <f t="array" ref="K419">_xlfn.IFS(StudentsTable[[#This Row],[AverageScore]]&gt;=90,"A",StudentsTable[[#This Row],[AverageScore]]&gt;=80,"B",StudentsTable[[#This Row],[AverageScore]]&gt;=70,"C",StudentsTable[[#This Row],[AverageScore]]&gt;=60,"D",TRUE,"F")</f>
        <v>C</v>
      </c>
      <c r="L419" t="str">
        <f>IF(StudentsTable[[#This Row],[AverageScore]]&gt;=60,"Pass","Fail")</f>
        <v>Pass</v>
      </c>
      <c r="M419" t="str" cm="1">
        <f t="array" ref="M419">_xlfn.IFS(StudentsTable[[#This Row],[AverageScore]]&gt;=85,"Advanced",StudentsTable[[#This Row],[AverageScore]]&gt;=70,"Intermediate",StudentsTable[[#This Row],[AverageScore]]&gt;=60,"Basic",TRUE,"Needs Help")</f>
        <v>Intermediate</v>
      </c>
      <c r="N419">
        <f>RANK(StudentsTable[[#This Row],[AverageScore]],StudentsTable[AverageScore])</f>
        <v>412</v>
      </c>
      <c r="O419">
        <f>(StudentsTable[[#This Row],[AverageScore]]-MIN(StudentsTable[AverageScore]))/(MAX(StudentsTable[AverageScore])-MIN(StudentsTable[AverageScore]))*100</f>
        <v>68.498168498168482</v>
      </c>
    </row>
    <row r="420" spans="1:15" x14ac:dyDescent="0.3">
      <c r="A420" t="s">
        <v>17</v>
      </c>
      <c r="B420" t="s">
        <v>21</v>
      </c>
      <c r="C420" t="s">
        <v>14</v>
      </c>
      <c r="D420" t="s">
        <v>11</v>
      </c>
      <c r="E420" t="s">
        <v>12</v>
      </c>
      <c r="F420">
        <v>68</v>
      </c>
      <c r="G420">
        <v>59</v>
      </c>
      <c r="H420">
        <v>62</v>
      </c>
      <c r="I420">
        <f>StudentsTable[[#This Row],[math score]]+StudentsTable[[#This Row],[reading score]]+StudentsTable[[#This Row],[writing score]]</f>
        <v>189</v>
      </c>
      <c r="J420">
        <f>StudentsTable[[#This Row],[TotalScore]]/3</f>
        <v>63</v>
      </c>
      <c r="K420" t="str" cm="1">
        <f t="array" ref="K420">_xlfn.IFS(StudentsTable[[#This Row],[AverageScore]]&gt;=90,"A",StudentsTable[[#This Row],[AverageScore]]&gt;=80,"B",StudentsTable[[#This Row],[AverageScore]]&gt;=70,"C",StudentsTable[[#This Row],[AverageScore]]&gt;=60,"D",TRUE,"F")</f>
        <v>D</v>
      </c>
      <c r="L420" t="str">
        <f>IF(StudentsTable[[#This Row],[AverageScore]]&gt;=60,"Pass","Fail")</f>
        <v>Pass</v>
      </c>
      <c r="M420" t="str" cm="1">
        <f t="array" ref="M420">_xlfn.IFS(StudentsTable[[#This Row],[AverageScore]]&gt;=85,"Advanced",StudentsTable[[#This Row],[AverageScore]]&gt;=70,"Intermediate",StudentsTable[[#This Row],[AverageScore]]&gt;=60,"Basic",TRUE,"Needs Help")</f>
        <v>Basic</v>
      </c>
      <c r="N420">
        <f>RANK(StudentsTable[[#This Row],[AverageScore]],StudentsTable[AverageScore])</f>
        <v>646</v>
      </c>
      <c r="O420">
        <f>(StudentsTable[[#This Row],[AverageScore]]-MIN(StudentsTable[AverageScore]))/(MAX(StudentsTable[AverageScore])-MIN(StudentsTable[AverageScore]))*100</f>
        <v>59.340659340659343</v>
      </c>
    </row>
    <row r="421" spans="1:15" x14ac:dyDescent="0.3">
      <c r="A421" t="s">
        <v>17</v>
      </c>
      <c r="B421" t="s">
        <v>24</v>
      </c>
      <c r="C421" t="s">
        <v>22</v>
      </c>
      <c r="D421" t="s">
        <v>20</v>
      </c>
      <c r="E421" t="s">
        <v>15</v>
      </c>
      <c r="F421">
        <v>57</v>
      </c>
      <c r="G421">
        <v>56</v>
      </c>
      <c r="H421">
        <v>54</v>
      </c>
      <c r="I421">
        <f>StudentsTable[[#This Row],[math score]]+StudentsTable[[#This Row],[reading score]]+StudentsTable[[#This Row],[writing score]]</f>
        <v>167</v>
      </c>
      <c r="J421">
        <f>StudentsTable[[#This Row],[TotalScore]]/3</f>
        <v>55.666666666666664</v>
      </c>
      <c r="K421" t="str" cm="1">
        <f t="array" ref="K421">_xlfn.IFS(StudentsTable[[#This Row],[AverageScore]]&gt;=90,"A",StudentsTable[[#This Row],[AverageScore]]&gt;=80,"B",StudentsTable[[#This Row],[AverageScore]]&gt;=70,"C",StudentsTable[[#This Row],[AverageScore]]&gt;=60,"D",TRUE,"F")</f>
        <v>F</v>
      </c>
      <c r="L421" t="str">
        <f>IF(StudentsTable[[#This Row],[AverageScore]]&gt;=60,"Pass","Fail")</f>
        <v>Fail</v>
      </c>
      <c r="M421" t="str" cm="1">
        <f t="array" ref="M421">_xlfn.IFS(StudentsTable[[#This Row],[AverageScore]]&gt;=85,"Advanced",StudentsTable[[#This Row],[AverageScore]]&gt;=70,"Intermediate",StudentsTable[[#This Row],[AverageScore]]&gt;=60,"Basic",TRUE,"Needs Help")</f>
        <v>Needs Help</v>
      </c>
      <c r="N421">
        <f>RANK(StudentsTable[[#This Row],[AverageScore]],StudentsTable[AverageScore])</f>
        <v>796</v>
      </c>
      <c r="O421">
        <f>(StudentsTable[[#This Row],[AverageScore]]-MIN(StudentsTable[AverageScore]))/(MAX(StudentsTable[AverageScore])-MIN(StudentsTable[AverageScore]))*100</f>
        <v>51.282051282051277</v>
      </c>
    </row>
    <row r="422" spans="1:15" x14ac:dyDescent="0.3">
      <c r="A422" t="s">
        <v>8</v>
      </c>
      <c r="B422" t="s">
        <v>13</v>
      </c>
      <c r="C422" t="s">
        <v>19</v>
      </c>
      <c r="D422" t="s">
        <v>20</v>
      </c>
      <c r="E422" t="s">
        <v>15</v>
      </c>
      <c r="F422">
        <v>82</v>
      </c>
      <c r="G422">
        <v>93</v>
      </c>
      <c r="H422">
        <v>93</v>
      </c>
      <c r="I422">
        <f>StudentsTable[[#This Row],[math score]]+StudentsTable[[#This Row],[reading score]]+StudentsTable[[#This Row],[writing score]]</f>
        <v>268</v>
      </c>
      <c r="J422">
        <f>StudentsTable[[#This Row],[TotalScore]]/3</f>
        <v>89.333333333333329</v>
      </c>
      <c r="K422" t="str" cm="1">
        <f t="array" ref="K422">_xlfn.IFS(StudentsTable[[#This Row],[AverageScore]]&gt;=90,"A",StudentsTable[[#This Row],[AverageScore]]&gt;=80,"B",StudentsTable[[#This Row],[AverageScore]]&gt;=70,"C",StudentsTable[[#This Row],[AverageScore]]&gt;=60,"D",TRUE,"F")</f>
        <v>B</v>
      </c>
      <c r="L422" t="str">
        <f>IF(StudentsTable[[#This Row],[AverageScore]]&gt;=60,"Pass","Fail")</f>
        <v>Pass</v>
      </c>
      <c r="M422" t="str" cm="1">
        <f t="array" ref="M422">_xlfn.IFS(StudentsTable[[#This Row],[AverageScore]]&gt;=85,"Advanced",StudentsTable[[#This Row],[AverageScore]]&gt;=70,"Intermediate",StudentsTable[[#This Row],[AverageScore]]&gt;=60,"Basic",TRUE,"Needs Help")</f>
        <v>Advanced</v>
      </c>
      <c r="N422">
        <f>RANK(StudentsTable[[#This Row],[AverageScore]],StudentsTable[AverageScore])</f>
        <v>55</v>
      </c>
      <c r="O422">
        <f>(StudentsTable[[#This Row],[AverageScore]]-MIN(StudentsTable[AverageScore]))/(MAX(StudentsTable[AverageScore])-MIN(StudentsTable[AverageScore]))*100</f>
        <v>88.278388278388277</v>
      </c>
    </row>
    <row r="423" spans="1:15" x14ac:dyDescent="0.3">
      <c r="A423" t="s">
        <v>8</v>
      </c>
      <c r="B423" t="s">
        <v>21</v>
      </c>
      <c r="C423" t="s">
        <v>22</v>
      </c>
      <c r="D423" t="s">
        <v>11</v>
      </c>
      <c r="E423" t="s">
        <v>15</v>
      </c>
      <c r="F423">
        <v>57</v>
      </c>
      <c r="G423">
        <v>58</v>
      </c>
      <c r="H423">
        <v>64</v>
      </c>
      <c r="I423">
        <f>StudentsTable[[#This Row],[math score]]+StudentsTable[[#This Row],[reading score]]+StudentsTable[[#This Row],[writing score]]</f>
        <v>179</v>
      </c>
      <c r="J423">
        <f>StudentsTable[[#This Row],[TotalScore]]/3</f>
        <v>59.666666666666664</v>
      </c>
      <c r="K423" t="str" cm="1">
        <f t="array" ref="K423">_xlfn.IFS(StudentsTable[[#This Row],[AverageScore]]&gt;=90,"A",StudentsTable[[#This Row],[AverageScore]]&gt;=80,"B",StudentsTable[[#This Row],[AverageScore]]&gt;=70,"C",StudentsTable[[#This Row],[AverageScore]]&gt;=60,"D",TRUE,"F")</f>
        <v>F</v>
      </c>
      <c r="L423" t="str">
        <f>IF(StudentsTable[[#This Row],[AverageScore]]&gt;=60,"Pass","Fail")</f>
        <v>Fail</v>
      </c>
      <c r="M423" t="str" cm="1">
        <f t="array" ref="M423">_xlfn.IFS(StudentsTable[[#This Row],[AverageScore]]&gt;=85,"Advanced",StudentsTable[[#This Row],[AverageScore]]&gt;=70,"Intermediate",StudentsTable[[#This Row],[AverageScore]]&gt;=60,"Basic",TRUE,"Needs Help")</f>
        <v>Needs Help</v>
      </c>
      <c r="N423">
        <f>RANK(StudentsTable[[#This Row],[AverageScore]],StudentsTable[AverageScore])</f>
        <v>716</v>
      </c>
      <c r="O423">
        <f>(StudentsTable[[#This Row],[AverageScore]]-MIN(StudentsTable[AverageScore]))/(MAX(StudentsTable[AverageScore])-MIN(StudentsTable[AverageScore]))*100</f>
        <v>55.677655677655679</v>
      </c>
    </row>
    <row r="424" spans="1:15" x14ac:dyDescent="0.3">
      <c r="A424" t="s">
        <v>8</v>
      </c>
      <c r="B424" t="s">
        <v>21</v>
      </c>
      <c r="C424" t="s">
        <v>16</v>
      </c>
      <c r="D424" t="s">
        <v>20</v>
      </c>
      <c r="E424" t="s">
        <v>15</v>
      </c>
      <c r="F424">
        <v>47</v>
      </c>
      <c r="G424">
        <v>58</v>
      </c>
      <c r="H424">
        <v>67</v>
      </c>
      <c r="I424">
        <f>StudentsTable[[#This Row],[math score]]+StudentsTable[[#This Row],[reading score]]+StudentsTable[[#This Row],[writing score]]</f>
        <v>172</v>
      </c>
      <c r="J424">
        <f>StudentsTable[[#This Row],[TotalScore]]/3</f>
        <v>57.333333333333336</v>
      </c>
      <c r="K424" t="str" cm="1">
        <f t="array" ref="K424">_xlfn.IFS(StudentsTable[[#This Row],[AverageScore]]&gt;=90,"A",StudentsTable[[#This Row],[AverageScore]]&gt;=80,"B",StudentsTable[[#This Row],[AverageScore]]&gt;=70,"C",StudentsTable[[#This Row],[AverageScore]]&gt;=60,"D",TRUE,"F")</f>
        <v>F</v>
      </c>
      <c r="L424" t="str">
        <f>IF(StudentsTable[[#This Row],[AverageScore]]&gt;=60,"Pass","Fail")</f>
        <v>Fail</v>
      </c>
      <c r="M424" t="str" cm="1">
        <f t="array" ref="M424">_xlfn.IFS(StudentsTable[[#This Row],[AverageScore]]&gt;=85,"Advanced",StudentsTable[[#This Row],[AverageScore]]&gt;=70,"Intermediate",StudentsTable[[#This Row],[AverageScore]]&gt;=60,"Basic",TRUE,"Needs Help")</f>
        <v>Needs Help</v>
      </c>
      <c r="N424">
        <f>RANK(StudentsTable[[#This Row],[AverageScore]],StudentsTable[AverageScore])</f>
        <v>764</v>
      </c>
      <c r="O424">
        <f>(StudentsTable[[#This Row],[AverageScore]]-MIN(StudentsTable[AverageScore]))/(MAX(StudentsTable[AverageScore])-MIN(StudentsTable[AverageScore]))*100</f>
        <v>53.113553113553117</v>
      </c>
    </row>
    <row r="425" spans="1:15" x14ac:dyDescent="0.3">
      <c r="A425" t="s">
        <v>8</v>
      </c>
      <c r="B425" t="s">
        <v>18</v>
      </c>
      <c r="C425" t="s">
        <v>23</v>
      </c>
      <c r="D425" t="s">
        <v>11</v>
      </c>
      <c r="E425" t="s">
        <v>15</v>
      </c>
      <c r="F425">
        <v>59</v>
      </c>
      <c r="G425">
        <v>85</v>
      </c>
      <c r="H425">
        <v>80</v>
      </c>
      <c r="I425">
        <f>StudentsTable[[#This Row],[math score]]+StudentsTable[[#This Row],[reading score]]+StudentsTable[[#This Row],[writing score]]</f>
        <v>224</v>
      </c>
      <c r="J425">
        <f>StudentsTable[[#This Row],[TotalScore]]/3</f>
        <v>74.666666666666671</v>
      </c>
      <c r="K425" t="str" cm="1">
        <f t="array" ref="K425">_xlfn.IFS(StudentsTable[[#This Row],[AverageScore]]&gt;=90,"A",StudentsTable[[#This Row],[AverageScore]]&gt;=80,"B",StudentsTable[[#This Row],[AverageScore]]&gt;=70,"C",StudentsTable[[#This Row],[AverageScore]]&gt;=60,"D",TRUE,"F")</f>
        <v>C</v>
      </c>
      <c r="L425" t="str">
        <f>IF(StudentsTable[[#This Row],[AverageScore]]&gt;=60,"Pass","Fail")</f>
        <v>Pass</v>
      </c>
      <c r="M425" t="str" cm="1">
        <f t="array" ref="M425">_xlfn.IFS(StudentsTable[[#This Row],[AverageScore]]&gt;=85,"Advanced",StudentsTable[[#This Row],[AverageScore]]&gt;=70,"Intermediate",StudentsTable[[#This Row],[AverageScore]]&gt;=60,"Basic",TRUE,"Needs Help")</f>
        <v>Intermediate</v>
      </c>
      <c r="N425">
        <f>RANK(StudentsTable[[#This Row],[AverageScore]],StudentsTable[AverageScore])</f>
        <v>325</v>
      </c>
      <c r="O425">
        <f>(StudentsTable[[#This Row],[AverageScore]]-MIN(StudentsTable[AverageScore]))/(MAX(StudentsTable[AverageScore])-MIN(StudentsTable[AverageScore]))*100</f>
        <v>72.161172161172175</v>
      </c>
    </row>
    <row r="426" spans="1:15" x14ac:dyDescent="0.3">
      <c r="A426" t="s">
        <v>17</v>
      </c>
      <c r="B426" t="s">
        <v>9</v>
      </c>
      <c r="C426" t="s">
        <v>14</v>
      </c>
      <c r="D426" t="s">
        <v>20</v>
      </c>
      <c r="E426" t="s">
        <v>12</v>
      </c>
      <c r="F426">
        <v>41</v>
      </c>
      <c r="G426">
        <v>39</v>
      </c>
      <c r="H426">
        <v>34</v>
      </c>
      <c r="I426">
        <f>StudentsTable[[#This Row],[math score]]+StudentsTable[[#This Row],[reading score]]+StudentsTable[[#This Row],[writing score]]</f>
        <v>114</v>
      </c>
      <c r="J426">
        <f>StudentsTable[[#This Row],[TotalScore]]/3</f>
        <v>38</v>
      </c>
      <c r="K426" t="str" cm="1">
        <f t="array" ref="K426">_xlfn.IFS(StudentsTable[[#This Row],[AverageScore]]&gt;=90,"A",StudentsTable[[#This Row],[AverageScore]]&gt;=80,"B",StudentsTable[[#This Row],[AverageScore]]&gt;=70,"C",StudentsTable[[#This Row],[AverageScore]]&gt;=60,"D",TRUE,"F")</f>
        <v>F</v>
      </c>
      <c r="L426" t="str">
        <f>IF(StudentsTable[[#This Row],[AverageScore]]&gt;=60,"Pass","Fail")</f>
        <v>Fail</v>
      </c>
      <c r="M426" t="str" cm="1">
        <f t="array" ref="M426">_xlfn.IFS(StudentsTable[[#This Row],[AverageScore]]&gt;=85,"Advanced",StudentsTable[[#This Row],[AverageScore]]&gt;=70,"Intermediate",StudentsTable[[#This Row],[AverageScore]]&gt;=60,"Basic",TRUE,"Needs Help")</f>
        <v>Needs Help</v>
      </c>
      <c r="N426">
        <f>RANK(StudentsTable[[#This Row],[AverageScore]],StudentsTable[AverageScore])</f>
        <v>980</v>
      </c>
      <c r="O426">
        <f>(StudentsTable[[#This Row],[AverageScore]]-MIN(StudentsTable[AverageScore]))/(MAX(StudentsTable[AverageScore])-MIN(StudentsTable[AverageScore]))*100</f>
        <v>31.868131868131865</v>
      </c>
    </row>
    <row r="427" spans="1:15" x14ac:dyDescent="0.3">
      <c r="A427" t="s">
        <v>8</v>
      </c>
      <c r="B427" t="s">
        <v>13</v>
      </c>
      <c r="C427" t="s">
        <v>14</v>
      </c>
      <c r="D427" t="s">
        <v>20</v>
      </c>
      <c r="E427" t="s">
        <v>12</v>
      </c>
      <c r="F427">
        <v>62</v>
      </c>
      <c r="G427">
        <v>67</v>
      </c>
      <c r="H427">
        <v>62</v>
      </c>
      <c r="I427">
        <f>StudentsTable[[#This Row],[math score]]+StudentsTable[[#This Row],[reading score]]+StudentsTable[[#This Row],[writing score]]</f>
        <v>191</v>
      </c>
      <c r="J427">
        <f>StudentsTable[[#This Row],[TotalScore]]/3</f>
        <v>63.666666666666664</v>
      </c>
      <c r="K427" t="str" cm="1">
        <f t="array" ref="K427">_xlfn.IFS(StudentsTable[[#This Row],[AverageScore]]&gt;=90,"A",StudentsTable[[#This Row],[AverageScore]]&gt;=80,"B",StudentsTable[[#This Row],[AverageScore]]&gt;=70,"C",StudentsTable[[#This Row],[AverageScore]]&gt;=60,"D",TRUE,"F")</f>
        <v>D</v>
      </c>
      <c r="L427" t="str">
        <f>IF(StudentsTable[[#This Row],[AverageScore]]&gt;=60,"Pass","Fail")</f>
        <v>Pass</v>
      </c>
      <c r="M427" t="str" cm="1">
        <f t="array" ref="M427">_xlfn.IFS(StudentsTable[[#This Row],[AverageScore]]&gt;=85,"Advanced",StudentsTable[[#This Row],[AverageScore]]&gt;=70,"Intermediate",StudentsTable[[#This Row],[AverageScore]]&gt;=60,"Basic",TRUE,"Needs Help")</f>
        <v>Basic</v>
      </c>
      <c r="N427">
        <f>RANK(StudentsTable[[#This Row],[AverageScore]],StudentsTable[AverageScore])</f>
        <v>632</v>
      </c>
      <c r="O427">
        <f>(StudentsTable[[#This Row],[AverageScore]]-MIN(StudentsTable[AverageScore]))/(MAX(StudentsTable[AverageScore])-MIN(StudentsTable[AverageScore]))*100</f>
        <v>60.073260073260073</v>
      </c>
    </row>
    <row r="428" spans="1:15" x14ac:dyDescent="0.3">
      <c r="A428" t="s">
        <v>17</v>
      </c>
      <c r="B428" t="s">
        <v>13</v>
      </c>
      <c r="C428" t="s">
        <v>10</v>
      </c>
      <c r="D428" t="s">
        <v>11</v>
      </c>
      <c r="E428" t="s">
        <v>12</v>
      </c>
      <c r="F428">
        <v>86</v>
      </c>
      <c r="G428">
        <v>83</v>
      </c>
      <c r="H428">
        <v>86</v>
      </c>
      <c r="I428">
        <f>StudentsTable[[#This Row],[math score]]+StudentsTable[[#This Row],[reading score]]+StudentsTable[[#This Row],[writing score]]</f>
        <v>255</v>
      </c>
      <c r="J428">
        <f>StudentsTable[[#This Row],[TotalScore]]/3</f>
        <v>85</v>
      </c>
      <c r="K428" t="str" cm="1">
        <f t="array" ref="K428">_xlfn.IFS(StudentsTable[[#This Row],[AverageScore]]&gt;=90,"A",StudentsTable[[#This Row],[AverageScore]]&gt;=80,"B",StudentsTable[[#This Row],[AverageScore]]&gt;=70,"C",StudentsTable[[#This Row],[AverageScore]]&gt;=60,"D",TRUE,"F")</f>
        <v>B</v>
      </c>
      <c r="L428" t="str">
        <f>IF(StudentsTable[[#This Row],[AverageScore]]&gt;=60,"Pass","Fail")</f>
        <v>Pass</v>
      </c>
      <c r="M428" t="str" cm="1">
        <f t="array" ref="M428">_xlfn.IFS(StudentsTable[[#This Row],[AverageScore]]&gt;=85,"Advanced",StudentsTable[[#This Row],[AverageScore]]&gt;=70,"Intermediate",StudentsTable[[#This Row],[AverageScore]]&gt;=60,"Basic",TRUE,"Needs Help")</f>
        <v>Advanced</v>
      </c>
      <c r="N428">
        <f>RANK(StudentsTable[[#This Row],[AverageScore]],StudentsTable[AverageScore])</f>
        <v>113</v>
      </c>
      <c r="O428">
        <f>(StudentsTable[[#This Row],[AverageScore]]-MIN(StudentsTable[AverageScore]))/(MAX(StudentsTable[AverageScore])-MIN(StudentsTable[AverageScore]))*100</f>
        <v>83.516483516483518</v>
      </c>
    </row>
    <row r="429" spans="1:15" x14ac:dyDescent="0.3">
      <c r="A429" t="s">
        <v>17</v>
      </c>
      <c r="B429" t="s">
        <v>13</v>
      </c>
      <c r="C429" t="s">
        <v>23</v>
      </c>
      <c r="D429" t="s">
        <v>20</v>
      </c>
      <c r="E429" t="s">
        <v>12</v>
      </c>
      <c r="F429">
        <v>69</v>
      </c>
      <c r="G429">
        <v>71</v>
      </c>
      <c r="H429">
        <v>65</v>
      </c>
      <c r="I429">
        <f>StudentsTable[[#This Row],[math score]]+StudentsTable[[#This Row],[reading score]]+StudentsTable[[#This Row],[writing score]]</f>
        <v>205</v>
      </c>
      <c r="J429">
        <f>StudentsTable[[#This Row],[TotalScore]]/3</f>
        <v>68.333333333333329</v>
      </c>
      <c r="K429" t="str" cm="1">
        <f t="array" ref="K429">_xlfn.IFS(StudentsTable[[#This Row],[AverageScore]]&gt;=90,"A",StudentsTable[[#This Row],[AverageScore]]&gt;=80,"B",StudentsTable[[#This Row],[AverageScore]]&gt;=70,"C",StudentsTable[[#This Row],[AverageScore]]&gt;=60,"D",TRUE,"F")</f>
        <v>D</v>
      </c>
      <c r="L429" t="str">
        <f>IF(StudentsTable[[#This Row],[AverageScore]]&gt;=60,"Pass","Fail")</f>
        <v>Pass</v>
      </c>
      <c r="M429" t="str" cm="1">
        <f t="array" ref="M429">_xlfn.IFS(StudentsTable[[#This Row],[AverageScore]]&gt;=85,"Advanced",StudentsTable[[#This Row],[AverageScore]]&gt;=70,"Intermediate",StudentsTable[[#This Row],[AverageScore]]&gt;=60,"Basic",TRUE,"Needs Help")</f>
        <v>Basic</v>
      </c>
      <c r="N429">
        <f>RANK(StudentsTable[[#This Row],[AverageScore]],StudentsTable[AverageScore])</f>
        <v>499</v>
      </c>
      <c r="O429">
        <f>(StudentsTable[[#This Row],[AverageScore]]-MIN(StudentsTable[AverageScore]))/(MAX(StudentsTable[AverageScore])-MIN(StudentsTable[AverageScore]))*100</f>
        <v>65.201465201465197</v>
      </c>
    </row>
    <row r="430" spans="1:15" x14ac:dyDescent="0.3">
      <c r="A430" t="s">
        <v>17</v>
      </c>
      <c r="B430" t="s">
        <v>18</v>
      </c>
      <c r="C430" t="s">
        <v>23</v>
      </c>
      <c r="D430" t="s">
        <v>20</v>
      </c>
      <c r="E430" t="s">
        <v>12</v>
      </c>
      <c r="F430">
        <v>65</v>
      </c>
      <c r="G430">
        <v>59</v>
      </c>
      <c r="H430">
        <v>53</v>
      </c>
      <c r="I430">
        <f>StudentsTable[[#This Row],[math score]]+StudentsTable[[#This Row],[reading score]]+StudentsTable[[#This Row],[writing score]]</f>
        <v>177</v>
      </c>
      <c r="J430">
        <f>StudentsTable[[#This Row],[TotalScore]]/3</f>
        <v>59</v>
      </c>
      <c r="K430" t="str" cm="1">
        <f t="array" ref="K430">_xlfn.IFS(StudentsTable[[#This Row],[AverageScore]]&gt;=90,"A",StudentsTable[[#This Row],[AverageScore]]&gt;=80,"B",StudentsTable[[#This Row],[AverageScore]]&gt;=70,"C",StudentsTable[[#This Row],[AverageScore]]&gt;=60,"D",TRUE,"F")</f>
        <v>F</v>
      </c>
      <c r="L430" t="str">
        <f>IF(StudentsTable[[#This Row],[AverageScore]]&gt;=60,"Pass","Fail")</f>
        <v>Fail</v>
      </c>
      <c r="M430" t="str" cm="1">
        <f t="array" ref="M430">_xlfn.IFS(StudentsTable[[#This Row],[AverageScore]]&gt;=85,"Advanced",StudentsTable[[#This Row],[AverageScore]]&gt;=70,"Intermediate",StudentsTable[[#This Row],[AverageScore]]&gt;=60,"Basic",TRUE,"Needs Help")</f>
        <v>Needs Help</v>
      </c>
      <c r="N430">
        <f>RANK(StudentsTable[[#This Row],[AverageScore]],StudentsTable[AverageScore])</f>
        <v>727</v>
      </c>
      <c r="O430">
        <f>(StudentsTable[[#This Row],[AverageScore]]-MIN(StudentsTable[AverageScore]))/(MAX(StudentsTable[AverageScore])-MIN(StudentsTable[AverageScore]))*100</f>
        <v>54.945054945054949</v>
      </c>
    </row>
    <row r="431" spans="1:15" x14ac:dyDescent="0.3">
      <c r="A431" t="s">
        <v>17</v>
      </c>
      <c r="B431" t="s">
        <v>13</v>
      </c>
      <c r="C431" t="s">
        <v>23</v>
      </c>
      <c r="D431" t="s">
        <v>20</v>
      </c>
      <c r="E431" t="s">
        <v>12</v>
      </c>
      <c r="F431">
        <v>68</v>
      </c>
      <c r="G431">
        <v>63</v>
      </c>
      <c r="H431">
        <v>54</v>
      </c>
      <c r="I431">
        <f>StudentsTable[[#This Row],[math score]]+StudentsTable[[#This Row],[reading score]]+StudentsTable[[#This Row],[writing score]]</f>
        <v>185</v>
      </c>
      <c r="J431">
        <f>StudentsTable[[#This Row],[TotalScore]]/3</f>
        <v>61.666666666666664</v>
      </c>
      <c r="K431" t="str" cm="1">
        <f t="array" ref="K431">_xlfn.IFS(StudentsTable[[#This Row],[AverageScore]]&gt;=90,"A",StudentsTable[[#This Row],[AverageScore]]&gt;=80,"B",StudentsTable[[#This Row],[AverageScore]]&gt;=70,"C",StudentsTable[[#This Row],[AverageScore]]&gt;=60,"D",TRUE,"F")</f>
        <v>D</v>
      </c>
      <c r="L431" t="str">
        <f>IF(StudentsTable[[#This Row],[AverageScore]]&gt;=60,"Pass","Fail")</f>
        <v>Pass</v>
      </c>
      <c r="M431" t="str" cm="1">
        <f t="array" ref="M431">_xlfn.IFS(StudentsTable[[#This Row],[AverageScore]]&gt;=85,"Advanced",StudentsTable[[#This Row],[AverageScore]]&gt;=70,"Intermediate",StudentsTable[[#This Row],[AverageScore]]&gt;=60,"Basic",TRUE,"Needs Help")</f>
        <v>Basic</v>
      </c>
      <c r="N431">
        <f>RANK(StudentsTable[[#This Row],[AverageScore]],StudentsTable[AverageScore])</f>
        <v>671</v>
      </c>
      <c r="O431">
        <f>(StudentsTable[[#This Row],[AverageScore]]-MIN(StudentsTable[AverageScore]))/(MAX(StudentsTable[AverageScore])-MIN(StudentsTable[AverageScore]))*100</f>
        <v>57.875457875457869</v>
      </c>
    </row>
    <row r="432" spans="1:15" x14ac:dyDescent="0.3">
      <c r="A432" t="s">
        <v>17</v>
      </c>
      <c r="B432" t="s">
        <v>13</v>
      </c>
      <c r="C432" t="s">
        <v>19</v>
      </c>
      <c r="D432" t="s">
        <v>20</v>
      </c>
      <c r="E432" t="s">
        <v>12</v>
      </c>
      <c r="F432">
        <v>64</v>
      </c>
      <c r="G432">
        <v>66</v>
      </c>
      <c r="H432">
        <v>59</v>
      </c>
      <c r="I432">
        <f>StudentsTable[[#This Row],[math score]]+StudentsTable[[#This Row],[reading score]]+StudentsTable[[#This Row],[writing score]]</f>
        <v>189</v>
      </c>
      <c r="J432">
        <f>StudentsTable[[#This Row],[TotalScore]]/3</f>
        <v>63</v>
      </c>
      <c r="K432" t="str" cm="1">
        <f t="array" ref="K432">_xlfn.IFS(StudentsTable[[#This Row],[AverageScore]]&gt;=90,"A",StudentsTable[[#This Row],[AverageScore]]&gt;=80,"B",StudentsTable[[#This Row],[AverageScore]]&gt;=70,"C",StudentsTable[[#This Row],[AverageScore]]&gt;=60,"D",TRUE,"F")</f>
        <v>D</v>
      </c>
      <c r="L432" t="str">
        <f>IF(StudentsTable[[#This Row],[AverageScore]]&gt;=60,"Pass","Fail")</f>
        <v>Pass</v>
      </c>
      <c r="M432" t="str" cm="1">
        <f t="array" ref="M432">_xlfn.IFS(StudentsTable[[#This Row],[AverageScore]]&gt;=85,"Advanced",StudentsTable[[#This Row],[AverageScore]]&gt;=70,"Intermediate",StudentsTable[[#This Row],[AverageScore]]&gt;=60,"Basic",TRUE,"Needs Help")</f>
        <v>Basic</v>
      </c>
      <c r="N432">
        <f>RANK(StudentsTable[[#This Row],[AverageScore]],StudentsTable[AverageScore])</f>
        <v>646</v>
      </c>
      <c r="O432">
        <f>(StudentsTable[[#This Row],[AverageScore]]-MIN(StudentsTable[AverageScore]))/(MAX(StudentsTable[AverageScore])-MIN(StudentsTable[AverageScore]))*100</f>
        <v>59.340659340659343</v>
      </c>
    </row>
    <row r="433" spans="1:15" x14ac:dyDescent="0.3">
      <c r="A433" t="s">
        <v>8</v>
      </c>
      <c r="B433" t="s">
        <v>13</v>
      </c>
      <c r="C433" t="s">
        <v>22</v>
      </c>
      <c r="D433" t="s">
        <v>11</v>
      </c>
      <c r="E433" t="s">
        <v>12</v>
      </c>
      <c r="F433">
        <v>61</v>
      </c>
      <c r="G433">
        <v>72</v>
      </c>
      <c r="H433">
        <v>70</v>
      </c>
      <c r="I433">
        <f>StudentsTable[[#This Row],[math score]]+StudentsTable[[#This Row],[reading score]]+StudentsTable[[#This Row],[writing score]]</f>
        <v>203</v>
      </c>
      <c r="J433">
        <f>StudentsTable[[#This Row],[TotalScore]]/3</f>
        <v>67.666666666666671</v>
      </c>
      <c r="K433" t="str" cm="1">
        <f t="array" ref="K433">_xlfn.IFS(StudentsTable[[#This Row],[AverageScore]]&gt;=90,"A",StudentsTable[[#This Row],[AverageScore]]&gt;=80,"B",StudentsTable[[#This Row],[AverageScore]]&gt;=70,"C",StudentsTable[[#This Row],[AverageScore]]&gt;=60,"D",TRUE,"F")</f>
        <v>D</v>
      </c>
      <c r="L433" t="str">
        <f>IF(StudentsTable[[#This Row],[AverageScore]]&gt;=60,"Pass","Fail")</f>
        <v>Pass</v>
      </c>
      <c r="M433" t="str" cm="1">
        <f t="array" ref="M433">_xlfn.IFS(StudentsTable[[#This Row],[AverageScore]]&gt;=85,"Advanced",StudentsTable[[#This Row],[AverageScore]]&gt;=70,"Intermediate",StudentsTable[[#This Row],[AverageScore]]&gt;=60,"Basic",TRUE,"Needs Help")</f>
        <v>Basic</v>
      </c>
      <c r="N433">
        <f>RANK(StudentsTable[[#This Row],[AverageScore]],StudentsTable[AverageScore])</f>
        <v>527</v>
      </c>
      <c r="O433">
        <f>(StudentsTable[[#This Row],[AverageScore]]-MIN(StudentsTable[AverageScore]))/(MAX(StudentsTable[AverageScore])-MIN(StudentsTable[AverageScore]))*100</f>
        <v>64.468864468864467</v>
      </c>
    </row>
    <row r="434" spans="1:15" x14ac:dyDescent="0.3">
      <c r="A434" t="s">
        <v>17</v>
      </c>
      <c r="B434" t="s">
        <v>13</v>
      </c>
      <c r="C434" t="s">
        <v>22</v>
      </c>
      <c r="D434" t="s">
        <v>11</v>
      </c>
      <c r="E434" t="s">
        <v>12</v>
      </c>
      <c r="F434">
        <v>61</v>
      </c>
      <c r="G434">
        <v>56</v>
      </c>
      <c r="H434">
        <v>55</v>
      </c>
      <c r="I434">
        <f>StudentsTable[[#This Row],[math score]]+StudentsTable[[#This Row],[reading score]]+StudentsTable[[#This Row],[writing score]]</f>
        <v>172</v>
      </c>
      <c r="J434">
        <f>StudentsTable[[#This Row],[TotalScore]]/3</f>
        <v>57.333333333333336</v>
      </c>
      <c r="K434" t="str" cm="1">
        <f t="array" ref="K434">_xlfn.IFS(StudentsTable[[#This Row],[AverageScore]]&gt;=90,"A",StudentsTable[[#This Row],[AverageScore]]&gt;=80,"B",StudentsTable[[#This Row],[AverageScore]]&gt;=70,"C",StudentsTable[[#This Row],[AverageScore]]&gt;=60,"D",TRUE,"F")</f>
        <v>F</v>
      </c>
      <c r="L434" t="str">
        <f>IF(StudentsTable[[#This Row],[AverageScore]]&gt;=60,"Pass","Fail")</f>
        <v>Fail</v>
      </c>
      <c r="M434" t="str" cm="1">
        <f t="array" ref="M434">_xlfn.IFS(StudentsTable[[#This Row],[AverageScore]]&gt;=85,"Advanced",StudentsTable[[#This Row],[AverageScore]]&gt;=70,"Intermediate",StudentsTable[[#This Row],[AverageScore]]&gt;=60,"Basic",TRUE,"Needs Help")</f>
        <v>Needs Help</v>
      </c>
      <c r="N434">
        <f>RANK(StudentsTable[[#This Row],[AverageScore]],StudentsTable[AverageScore])</f>
        <v>764</v>
      </c>
      <c r="O434">
        <f>(StudentsTable[[#This Row],[AverageScore]]-MIN(StudentsTable[AverageScore]))/(MAX(StudentsTable[AverageScore])-MIN(StudentsTable[AverageScore]))*100</f>
        <v>53.113553113553117</v>
      </c>
    </row>
    <row r="435" spans="1:15" x14ac:dyDescent="0.3">
      <c r="A435" t="s">
        <v>8</v>
      </c>
      <c r="B435" t="s">
        <v>18</v>
      </c>
      <c r="C435" t="s">
        <v>23</v>
      </c>
      <c r="D435" t="s">
        <v>20</v>
      </c>
      <c r="E435" t="s">
        <v>12</v>
      </c>
      <c r="F435">
        <v>47</v>
      </c>
      <c r="G435">
        <v>59</v>
      </c>
      <c r="H435">
        <v>50</v>
      </c>
      <c r="I435">
        <f>StudentsTable[[#This Row],[math score]]+StudentsTable[[#This Row],[reading score]]+StudentsTable[[#This Row],[writing score]]</f>
        <v>156</v>
      </c>
      <c r="J435">
        <f>StudentsTable[[#This Row],[TotalScore]]/3</f>
        <v>52</v>
      </c>
      <c r="K435" t="str" cm="1">
        <f t="array" ref="K435">_xlfn.IFS(StudentsTable[[#This Row],[AverageScore]]&gt;=90,"A",StudentsTable[[#This Row],[AverageScore]]&gt;=80,"B",StudentsTable[[#This Row],[AverageScore]]&gt;=70,"C",StudentsTable[[#This Row],[AverageScore]]&gt;=60,"D",TRUE,"F")</f>
        <v>F</v>
      </c>
      <c r="L435" t="str">
        <f>IF(StudentsTable[[#This Row],[AverageScore]]&gt;=60,"Pass","Fail")</f>
        <v>Fail</v>
      </c>
      <c r="M435" t="str" cm="1">
        <f t="array" ref="M435">_xlfn.IFS(StudentsTable[[#This Row],[AverageScore]]&gt;=85,"Advanced",StudentsTable[[#This Row],[AverageScore]]&gt;=70,"Intermediate",StudentsTable[[#This Row],[AverageScore]]&gt;=60,"Basic",TRUE,"Needs Help")</f>
        <v>Needs Help</v>
      </c>
      <c r="N435">
        <f>RANK(StudentsTable[[#This Row],[AverageScore]],StudentsTable[AverageScore])</f>
        <v>855</v>
      </c>
      <c r="O435">
        <f>(StudentsTable[[#This Row],[AverageScore]]-MIN(StudentsTable[AverageScore]))/(MAX(StudentsTable[AverageScore])-MIN(StudentsTable[AverageScore]))*100</f>
        <v>47.252747252747248</v>
      </c>
    </row>
    <row r="436" spans="1:15" x14ac:dyDescent="0.3">
      <c r="A436" t="s">
        <v>17</v>
      </c>
      <c r="B436" t="s">
        <v>13</v>
      </c>
      <c r="C436" t="s">
        <v>23</v>
      </c>
      <c r="D436" t="s">
        <v>11</v>
      </c>
      <c r="E436" t="s">
        <v>12</v>
      </c>
      <c r="F436">
        <v>73</v>
      </c>
      <c r="G436">
        <v>66</v>
      </c>
      <c r="H436">
        <v>66</v>
      </c>
      <c r="I436">
        <f>StudentsTable[[#This Row],[math score]]+StudentsTable[[#This Row],[reading score]]+StudentsTable[[#This Row],[writing score]]</f>
        <v>205</v>
      </c>
      <c r="J436">
        <f>StudentsTable[[#This Row],[TotalScore]]/3</f>
        <v>68.333333333333329</v>
      </c>
      <c r="K436" t="str" cm="1">
        <f t="array" ref="K436">_xlfn.IFS(StudentsTable[[#This Row],[AverageScore]]&gt;=90,"A",StudentsTable[[#This Row],[AverageScore]]&gt;=80,"B",StudentsTable[[#This Row],[AverageScore]]&gt;=70,"C",StudentsTable[[#This Row],[AverageScore]]&gt;=60,"D",TRUE,"F")</f>
        <v>D</v>
      </c>
      <c r="L436" t="str">
        <f>IF(StudentsTable[[#This Row],[AverageScore]]&gt;=60,"Pass","Fail")</f>
        <v>Pass</v>
      </c>
      <c r="M436" t="str" cm="1">
        <f t="array" ref="M436">_xlfn.IFS(StudentsTable[[#This Row],[AverageScore]]&gt;=85,"Advanced",StudentsTable[[#This Row],[AverageScore]]&gt;=70,"Intermediate",StudentsTable[[#This Row],[AverageScore]]&gt;=60,"Basic",TRUE,"Needs Help")</f>
        <v>Basic</v>
      </c>
      <c r="N436">
        <f>RANK(StudentsTable[[#This Row],[AverageScore]],StudentsTable[AverageScore])</f>
        <v>499</v>
      </c>
      <c r="O436">
        <f>(StudentsTable[[#This Row],[AverageScore]]-MIN(StudentsTable[AverageScore]))/(MAX(StudentsTable[AverageScore])-MIN(StudentsTable[AverageScore]))*100</f>
        <v>65.201465201465197</v>
      </c>
    </row>
    <row r="437" spans="1:15" x14ac:dyDescent="0.3">
      <c r="A437" t="s">
        <v>17</v>
      </c>
      <c r="B437" t="s">
        <v>13</v>
      </c>
      <c r="C437" t="s">
        <v>14</v>
      </c>
      <c r="D437" t="s">
        <v>20</v>
      </c>
      <c r="E437" t="s">
        <v>15</v>
      </c>
      <c r="F437">
        <v>50</v>
      </c>
      <c r="G437">
        <v>48</v>
      </c>
      <c r="H437">
        <v>53</v>
      </c>
      <c r="I437">
        <f>StudentsTable[[#This Row],[math score]]+StudentsTable[[#This Row],[reading score]]+StudentsTable[[#This Row],[writing score]]</f>
        <v>151</v>
      </c>
      <c r="J437">
        <f>StudentsTable[[#This Row],[TotalScore]]/3</f>
        <v>50.333333333333336</v>
      </c>
      <c r="K437" t="str" cm="1">
        <f t="array" ref="K437">_xlfn.IFS(StudentsTable[[#This Row],[AverageScore]]&gt;=90,"A",StudentsTable[[#This Row],[AverageScore]]&gt;=80,"B",StudentsTable[[#This Row],[AverageScore]]&gt;=70,"C",StudentsTable[[#This Row],[AverageScore]]&gt;=60,"D",TRUE,"F")</f>
        <v>F</v>
      </c>
      <c r="L437" t="str">
        <f>IF(StudentsTable[[#This Row],[AverageScore]]&gt;=60,"Pass","Fail")</f>
        <v>Fail</v>
      </c>
      <c r="M437" t="str" cm="1">
        <f t="array" ref="M437">_xlfn.IFS(StudentsTable[[#This Row],[AverageScore]]&gt;=85,"Advanced",StudentsTable[[#This Row],[AverageScore]]&gt;=70,"Intermediate",StudentsTable[[#This Row],[AverageScore]]&gt;=60,"Basic",TRUE,"Needs Help")</f>
        <v>Needs Help</v>
      </c>
      <c r="N437">
        <f>RANK(StudentsTable[[#This Row],[AverageScore]],StudentsTable[AverageScore])</f>
        <v>884</v>
      </c>
      <c r="O437">
        <f>(StudentsTable[[#This Row],[AverageScore]]-MIN(StudentsTable[AverageScore]))/(MAX(StudentsTable[AverageScore])-MIN(StudentsTable[AverageScore]))*100</f>
        <v>45.421245421245423</v>
      </c>
    </row>
    <row r="438" spans="1:15" x14ac:dyDescent="0.3">
      <c r="A438" t="s">
        <v>17</v>
      </c>
      <c r="B438" t="s">
        <v>21</v>
      </c>
      <c r="C438" t="s">
        <v>19</v>
      </c>
      <c r="D438" t="s">
        <v>11</v>
      </c>
      <c r="E438" t="s">
        <v>12</v>
      </c>
      <c r="F438">
        <v>75</v>
      </c>
      <c r="G438">
        <v>68</v>
      </c>
      <c r="H438">
        <v>64</v>
      </c>
      <c r="I438">
        <f>StudentsTable[[#This Row],[math score]]+StudentsTable[[#This Row],[reading score]]+StudentsTable[[#This Row],[writing score]]</f>
        <v>207</v>
      </c>
      <c r="J438">
        <f>StudentsTable[[#This Row],[TotalScore]]/3</f>
        <v>69</v>
      </c>
      <c r="K438" t="str" cm="1">
        <f t="array" ref="K438">_xlfn.IFS(StudentsTable[[#This Row],[AverageScore]]&gt;=90,"A",StudentsTable[[#This Row],[AverageScore]]&gt;=80,"B",StudentsTable[[#This Row],[AverageScore]]&gt;=70,"C",StudentsTable[[#This Row],[AverageScore]]&gt;=60,"D",TRUE,"F")</f>
        <v>D</v>
      </c>
      <c r="L438" t="str">
        <f>IF(StudentsTable[[#This Row],[AverageScore]]&gt;=60,"Pass","Fail")</f>
        <v>Pass</v>
      </c>
      <c r="M438" t="str" cm="1">
        <f t="array" ref="M438">_xlfn.IFS(StudentsTable[[#This Row],[AverageScore]]&gt;=85,"Advanced",StudentsTable[[#This Row],[AverageScore]]&gt;=70,"Intermediate",StudentsTable[[#This Row],[AverageScore]]&gt;=60,"Basic",TRUE,"Needs Help")</f>
        <v>Basic</v>
      </c>
      <c r="N438">
        <f>RANK(StudentsTable[[#This Row],[AverageScore]],StudentsTable[AverageScore])</f>
        <v>475</v>
      </c>
      <c r="O438">
        <f>(StudentsTable[[#This Row],[AverageScore]]-MIN(StudentsTable[AverageScore]))/(MAX(StudentsTable[AverageScore])-MIN(StudentsTable[AverageScore]))*100</f>
        <v>65.934065934065927</v>
      </c>
    </row>
    <row r="439" spans="1:15" x14ac:dyDescent="0.3">
      <c r="A439" t="s">
        <v>17</v>
      </c>
      <c r="B439" t="s">
        <v>21</v>
      </c>
      <c r="C439" t="s">
        <v>19</v>
      </c>
      <c r="D439" t="s">
        <v>20</v>
      </c>
      <c r="E439" t="s">
        <v>12</v>
      </c>
      <c r="F439">
        <v>75</v>
      </c>
      <c r="G439">
        <v>66</v>
      </c>
      <c r="H439">
        <v>73</v>
      </c>
      <c r="I439">
        <f>StudentsTable[[#This Row],[math score]]+StudentsTable[[#This Row],[reading score]]+StudentsTable[[#This Row],[writing score]]</f>
        <v>214</v>
      </c>
      <c r="J439">
        <f>StudentsTable[[#This Row],[TotalScore]]/3</f>
        <v>71.333333333333329</v>
      </c>
      <c r="K439" t="str" cm="1">
        <f t="array" ref="K439">_xlfn.IFS(StudentsTable[[#This Row],[AverageScore]]&gt;=90,"A",StudentsTable[[#This Row],[AverageScore]]&gt;=80,"B",StudentsTable[[#This Row],[AverageScore]]&gt;=70,"C",StudentsTable[[#This Row],[AverageScore]]&gt;=60,"D",TRUE,"F")</f>
        <v>C</v>
      </c>
      <c r="L439" t="str">
        <f>IF(StudentsTable[[#This Row],[AverageScore]]&gt;=60,"Pass","Fail")</f>
        <v>Pass</v>
      </c>
      <c r="M439" t="str" cm="1">
        <f t="array" ref="M439">_xlfn.IFS(StudentsTable[[#This Row],[AverageScore]]&gt;=85,"Advanced",StudentsTable[[#This Row],[AverageScore]]&gt;=70,"Intermediate",StudentsTable[[#This Row],[AverageScore]]&gt;=60,"Basic",TRUE,"Needs Help")</f>
        <v>Intermediate</v>
      </c>
      <c r="N439">
        <f>RANK(StudentsTable[[#This Row],[AverageScore]],StudentsTable[AverageScore])</f>
        <v>412</v>
      </c>
      <c r="O439">
        <f>(StudentsTable[[#This Row],[AverageScore]]-MIN(StudentsTable[AverageScore]))/(MAX(StudentsTable[AverageScore])-MIN(StudentsTable[AverageScore]))*100</f>
        <v>68.498168498168482</v>
      </c>
    </row>
    <row r="440" spans="1:15" x14ac:dyDescent="0.3">
      <c r="A440" t="s">
        <v>17</v>
      </c>
      <c r="B440" t="s">
        <v>13</v>
      </c>
      <c r="C440" t="s">
        <v>22</v>
      </c>
      <c r="D440" t="s">
        <v>11</v>
      </c>
      <c r="E440" t="s">
        <v>12</v>
      </c>
      <c r="F440">
        <v>70</v>
      </c>
      <c r="G440">
        <v>56</v>
      </c>
      <c r="H440">
        <v>51</v>
      </c>
      <c r="I440">
        <f>StudentsTable[[#This Row],[math score]]+StudentsTable[[#This Row],[reading score]]+StudentsTable[[#This Row],[writing score]]</f>
        <v>177</v>
      </c>
      <c r="J440">
        <f>StudentsTable[[#This Row],[TotalScore]]/3</f>
        <v>59</v>
      </c>
      <c r="K440" t="str" cm="1">
        <f t="array" ref="K440">_xlfn.IFS(StudentsTable[[#This Row],[AverageScore]]&gt;=90,"A",StudentsTable[[#This Row],[AverageScore]]&gt;=80,"B",StudentsTable[[#This Row],[AverageScore]]&gt;=70,"C",StudentsTable[[#This Row],[AverageScore]]&gt;=60,"D",TRUE,"F")</f>
        <v>F</v>
      </c>
      <c r="L440" t="str">
        <f>IF(StudentsTable[[#This Row],[AverageScore]]&gt;=60,"Pass","Fail")</f>
        <v>Fail</v>
      </c>
      <c r="M440" t="str" cm="1">
        <f t="array" ref="M440">_xlfn.IFS(StudentsTable[[#This Row],[AverageScore]]&gt;=85,"Advanced",StudentsTable[[#This Row],[AverageScore]]&gt;=70,"Intermediate",StudentsTable[[#This Row],[AverageScore]]&gt;=60,"Basic",TRUE,"Needs Help")</f>
        <v>Needs Help</v>
      </c>
      <c r="N440">
        <f>RANK(StudentsTable[[#This Row],[AverageScore]],StudentsTable[AverageScore])</f>
        <v>727</v>
      </c>
      <c r="O440">
        <f>(StudentsTable[[#This Row],[AverageScore]]-MIN(StudentsTable[AverageScore]))/(MAX(StudentsTable[AverageScore])-MIN(StudentsTable[AverageScore]))*100</f>
        <v>54.945054945054949</v>
      </c>
    </row>
    <row r="441" spans="1:15" x14ac:dyDescent="0.3">
      <c r="A441" t="s">
        <v>17</v>
      </c>
      <c r="B441" t="s">
        <v>21</v>
      </c>
      <c r="C441" t="s">
        <v>23</v>
      </c>
      <c r="D441" t="s">
        <v>11</v>
      </c>
      <c r="E441" t="s">
        <v>15</v>
      </c>
      <c r="F441">
        <v>89</v>
      </c>
      <c r="G441">
        <v>88</v>
      </c>
      <c r="H441">
        <v>82</v>
      </c>
      <c r="I441">
        <f>StudentsTable[[#This Row],[math score]]+StudentsTable[[#This Row],[reading score]]+StudentsTable[[#This Row],[writing score]]</f>
        <v>259</v>
      </c>
      <c r="J441">
        <f>StudentsTable[[#This Row],[TotalScore]]/3</f>
        <v>86.333333333333329</v>
      </c>
      <c r="K441" t="str" cm="1">
        <f t="array" ref="K441">_xlfn.IFS(StudentsTable[[#This Row],[AverageScore]]&gt;=90,"A",StudentsTable[[#This Row],[AverageScore]]&gt;=80,"B",StudentsTable[[#This Row],[AverageScore]]&gt;=70,"C",StudentsTable[[#This Row],[AverageScore]]&gt;=60,"D",TRUE,"F")</f>
        <v>B</v>
      </c>
      <c r="L441" t="str">
        <f>IF(StudentsTable[[#This Row],[AverageScore]]&gt;=60,"Pass","Fail")</f>
        <v>Pass</v>
      </c>
      <c r="M441" t="str" cm="1">
        <f t="array" ref="M441">_xlfn.IFS(StudentsTable[[#This Row],[AverageScore]]&gt;=85,"Advanced",StudentsTable[[#This Row],[AverageScore]]&gt;=70,"Intermediate",StudentsTable[[#This Row],[AverageScore]]&gt;=60,"Basic",TRUE,"Needs Help")</f>
        <v>Advanced</v>
      </c>
      <c r="N441">
        <f>RANK(StudentsTable[[#This Row],[AverageScore]],StudentsTable[AverageScore])</f>
        <v>93</v>
      </c>
      <c r="O441">
        <f>(StudentsTable[[#This Row],[AverageScore]]-MIN(StudentsTable[AverageScore]))/(MAX(StudentsTable[AverageScore])-MIN(StudentsTable[AverageScore]))*100</f>
        <v>84.981684981684978</v>
      </c>
    </row>
    <row r="442" spans="1:15" x14ac:dyDescent="0.3">
      <c r="A442" t="s">
        <v>8</v>
      </c>
      <c r="B442" t="s">
        <v>13</v>
      </c>
      <c r="C442" t="s">
        <v>14</v>
      </c>
      <c r="D442" t="s">
        <v>11</v>
      </c>
      <c r="E442" t="s">
        <v>15</v>
      </c>
      <c r="F442">
        <v>67</v>
      </c>
      <c r="G442">
        <v>81</v>
      </c>
      <c r="H442">
        <v>79</v>
      </c>
      <c r="I442">
        <f>StudentsTable[[#This Row],[math score]]+StudentsTable[[#This Row],[reading score]]+StudentsTable[[#This Row],[writing score]]</f>
        <v>227</v>
      </c>
      <c r="J442">
        <f>StudentsTable[[#This Row],[TotalScore]]/3</f>
        <v>75.666666666666671</v>
      </c>
      <c r="K442" t="str" cm="1">
        <f t="array" ref="K442">_xlfn.IFS(StudentsTable[[#This Row],[AverageScore]]&gt;=90,"A",StudentsTable[[#This Row],[AverageScore]]&gt;=80,"B",StudentsTable[[#This Row],[AverageScore]]&gt;=70,"C",StudentsTable[[#This Row],[AverageScore]]&gt;=60,"D",TRUE,"F")</f>
        <v>C</v>
      </c>
      <c r="L442" t="str">
        <f>IF(StudentsTable[[#This Row],[AverageScore]]&gt;=60,"Pass","Fail")</f>
        <v>Pass</v>
      </c>
      <c r="M442" t="str" cm="1">
        <f t="array" ref="M442">_xlfn.IFS(StudentsTable[[#This Row],[AverageScore]]&gt;=85,"Advanced",StudentsTable[[#This Row],[AverageScore]]&gt;=70,"Intermediate",StudentsTable[[#This Row],[AverageScore]]&gt;=60,"Basic",TRUE,"Needs Help")</f>
        <v>Intermediate</v>
      </c>
      <c r="N442">
        <f>RANK(StudentsTable[[#This Row],[AverageScore]],StudentsTable[AverageScore])</f>
        <v>297</v>
      </c>
      <c r="O442">
        <f>(StudentsTable[[#This Row],[AverageScore]]-MIN(StudentsTable[AverageScore]))/(MAX(StudentsTable[AverageScore])-MIN(StudentsTable[AverageScore]))*100</f>
        <v>73.26007326007327</v>
      </c>
    </row>
    <row r="443" spans="1:15" x14ac:dyDescent="0.3">
      <c r="A443" t="s">
        <v>8</v>
      </c>
      <c r="B443" t="s">
        <v>21</v>
      </c>
      <c r="C443" t="s">
        <v>22</v>
      </c>
      <c r="D443" t="s">
        <v>11</v>
      </c>
      <c r="E443" t="s">
        <v>12</v>
      </c>
      <c r="F443">
        <v>78</v>
      </c>
      <c r="G443">
        <v>81</v>
      </c>
      <c r="H443">
        <v>80</v>
      </c>
      <c r="I443">
        <f>StudentsTable[[#This Row],[math score]]+StudentsTable[[#This Row],[reading score]]+StudentsTable[[#This Row],[writing score]]</f>
        <v>239</v>
      </c>
      <c r="J443">
        <f>StudentsTable[[#This Row],[TotalScore]]/3</f>
        <v>79.666666666666671</v>
      </c>
      <c r="K443" t="str" cm="1">
        <f t="array" ref="K443">_xlfn.IFS(StudentsTable[[#This Row],[AverageScore]]&gt;=90,"A",StudentsTable[[#This Row],[AverageScore]]&gt;=80,"B",StudentsTable[[#This Row],[AverageScore]]&gt;=70,"C",StudentsTable[[#This Row],[AverageScore]]&gt;=60,"D",TRUE,"F")</f>
        <v>C</v>
      </c>
      <c r="L443" t="str">
        <f>IF(StudentsTable[[#This Row],[AverageScore]]&gt;=60,"Pass","Fail")</f>
        <v>Pass</v>
      </c>
      <c r="M443" t="str" cm="1">
        <f t="array" ref="M443">_xlfn.IFS(StudentsTable[[#This Row],[AverageScore]]&gt;=85,"Advanced",StudentsTable[[#This Row],[AverageScore]]&gt;=70,"Intermediate",StudentsTable[[#This Row],[AverageScore]]&gt;=60,"Basic",TRUE,"Needs Help")</f>
        <v>Intermediate</v>
      </c>
      <c r="N443">
        <f>RANK(StudentsTable[[#This Row],[AverageScore]],StudentsTable[AverageScore])</f>
        <v>199</v>
      </c>
      <c r="O443">
        <f>(StudentsTable[[#This Row],[AverageScore]]-MIN(StudentsTable[AverageScore]))/(MAX(StudentsTable[AverageScore])-MIN(StudentsTable[AverageScore]))*100</f>
        <v>77.655677655677664</v>
      </c>
    </row>
    <row r="444" spans="1:15" x14ac:dyDescent="0.3">
      <c r="A444" t="s">
        <v>8</v>
      </c>
      <c r="B444" t="s">
        <v>18</v>
      </c>
      <c r="C444" t="s">
        <v>23</v>
      </c>
      <c r="D444" t="s">
        <v>20</v>
      </c>
      <c r="E444" t="s">
        <v>12</v>
      </c>
      <c r="F444">
        <v>59</v>
      </c>
      <c r="G444">
        <v>73</v>
      </c>
      <c r="H444">
        <v>69</v>
      </c>
      <c r="I444">
        <f>StudentsTable[[#This Row],[math score]]+StudentsTable[[#This Row],[reading score]]+StudentsTable[[#This Row],[writing score]]</f>
        <v>201</v>
      </c>
      <c r="J444">
        <f>StudentsTable[[#This Row],[TotalScore]]/3</f>
        <v>67</v>
      </c>
      <c r="K444" t="str" cm="1">
        <f t="array" ref="K444">_xlfn.IFS(StudentsTable[[#This Row],[AverageScore]]&gt;=90,"A",StudentsTable[[#This Row],[AverageScore]]&gt;=80,"B",StudentsTable[[#This Row],[AverageScore]]&gt;=70,"C",StudentsTable[[#This Row],[AverageScore]]&gt;=60,"D",TRUE,"F")</f>
        <v>D</v>
      </c>
      <c r="L444" t="str">
        <f>IF(StudentsTable[[#This Row],[AverageScore]]&gt;=60,"Pass","Fail")</f>
        <v>Pass</v>
      </c>
      <c r="M444" t="str" cm="1">
        <f t="array" ref="M444">_xlfn.IFS(StudentsTable[[#This Row],[AverageScore]]&gt;=85,"Advanced",StudentsTable[[#This Row],[AverageScore]]&gt;=70,"Intermediate",StudentsTable[[#This Row],[AverageScore]]&gt;=60,"Basic",TRUE,"Needs Help")</f>
        <v>Basic</v>
      </c>
      <c r="N444">
        <f>RANK(StudentsTable[[#This Row],[AverageScore]],StudentsTable[AverageScore])</f>
        <v>540</v>
      </c>
      <c r="O444">
        <f>(StudentsTable[[#This Row],[AverageScore]]-MIN(StudentsTable[AverageScore]))/(MAX(StudentsTable[AverageScore])-MIN(StudentsTable[AverageScore]))*100</f>
        <v>63.73626373626373</v>
      </c>
    </row>
    <row r="445" spans="1:15" x14ac:dyDescent="0.3">
      <c r="A445" t="s">
        <v>8</v>
      </c>
      <c r="B445" t="s">
        <v>9</v>
      </c>
      <c r="C445" t="s">
        <v>19</v>
      </c>
      <c r="D445" t="s">
        <v>11</v>
      </c>
      <c r="E445" t="s">
        <v>12</v>
      </c>
      <c r="F445">
        <v>73</v>
      </c>
      <c r="G445">
        <v>83</v>
      </c>
      <c r="H445">
        <v>76</v>
      </c>
      <c r="I445">
        <f>StudentsTable[[#This Row],[math score]]+StudentsTable[[#This Row],[reading score]]+StudentsTable[[#This Row],[writing score]]</f>
        <v>232</v>
      </c>
      <c r="J445">
        <f>StudentsTable[[#This Row],[TotalScore]]/3</f>
        <v>77.333333333333329</v>
      </c>
      <c r="K445" t="str" cm="1">
        <f t="array" ref="K445">_xlfn.IFS(StudentsTable[[#This Row],[AverageScore]]&gt;=90,"A",StudentsTable[[#This Row],[AverageScore]]&gt;=80,"B",StudentsTable[[#This Row],[AverageScore]]&gt;=70,"C",StudentsTable[[#This Row],[AverageScore]]&gt;=60,"D",TRUE,"F")</f>
        <v>C</v>
      </c>
      <c r="L445" t="str">
        <f>IF(StudentsTable[[#This Row],[AverageScore]]&gt;=60,"Pass","Fail")</f>
        <v>Pass</v>
      </c>
      <c r="M445" t="str" cm="1">
        <f t="array" ref="M445">_xlfn.IFS(StudentsTable[[#This Row],[AverageScore]]&gt;=85,"Advanced",StudentsTable[[#This Row],[AverageScore]]&gt;=70,"Intermediate",StudentsTable[[#This Row],[AverageScore]]&gt;=60,"Basic",TRUE,"Needs Help")</f>
        <v>Intermediate</v>
      </c>
      <c r="N445">
        <f>RANK(StudentsTable[[#This Row],[AverageScore]],StudentsTable[AverageScore])</f>
        <v>255</v>
      </c>
      <c r="O445">
        <f>(StudentsTable[[#This Row],[AverageScore]]-MIN(StudentsTable[AverageScore]))/(MAX(StudentsTable[AverageScore])-MIN(StudentsTable[AverageScore]))*100</f>
        <v>75.091575091575095</v>
      </c>
    </row>
    <row r="446" spans="1:15" x14ac:dyDescent="0.3">
      <c r="A446" t="s">
        <v>17</v>
      </c>
      <c r="B446" t="s">
        <v>18</v>
      </c>
      <c r="C446" t="s">
        <v>23</v>
      </c>
      <c r="D446" t="s">
        <v>20</v>
      </c>
      <c r="E446" t="s">
        <v>12</v>
      </c>
      <c r="F446">
        <v>79</v>
      </c>
      <c r="G446">
        <v>82</v>
      </c>
      <c r="H446">
        <v>73</v>
      </c>
      <c r="I446">
        <f>StudentsTable[[#This Row],[math score]]+StudentsTable[[#This Row],[reading score]]+StudentsTable[[#This Row],[writing score]]</f>
        <v>234</v>
      </c>
      <c r="J446">
        <f>StudentsTable[[#This Row],[TotalScore]]/3</f>
        <v>78</v>
      </c>
      <c r="K446" t="str" cm="1">
        <f t="array" ref="K446">_xlfn.IFS(StudentsTable[[#This Row],[AverageScore]]&gt;=90,"A",StudentsTable[[#This Row],[AverageScore]]&gt;=80,"B",StudentsTable[[#This Row],[AverageScore]]&gt;=70,"C",StudentsTable[[#This Row],[AverageScore]]&gt;=60,"D",TRUE,"F")</f>
        <v>C</v>
      </c>
      <c r="L446" t="str">
        <f>IF(StudentsTable[[#This Row],[AverageScore]]&gt;=60,"Pass","Fail")</f>
        <v>Pass</v>
      </c>
      <c r="M446" t="str" cm="1">
        <f t="array" ref="M446">_xlfn.IFS(StudentsTable[[#This Row],[AverageScore]]&gt;=85,"Advanced",StudentsTable[[#This Row],[AverageScore]]&gt;=70,"Intermediate",StudentsTable[[#This Row],[AverageScore]]&gt;=60,"Basic",TRUE,"Needs Help")</f>
        <v>Intermediate</v>
      </c>
      <c r="N446">
        <f>RANK(StudentsTable[[#This Row],[AverageScore]],StudentsTable[AverageScore])</f>
        <v>240</v>
      </c>
      <c r="O446">
        <f>(StudentsTable[[#This Row],[AverageScore]]-MIN(StudentsTable[AverageScore]))/(MAX(StudentsTable[AverageScore])-MIN(StudentsTable[AverageScore]))*100</f>
        <v>75.824175824175825</v>
      </c>
    </row>
    <row r="447" spans="1:15" x14ac:dyDescent="0.3">
      <c r="A447" t="s">
        <v>8</v>
      </c>
      <c r="B447" t="s">
        <v>13</v>
      </c>
      <c r="C447" t="s">
        <v>23</v>
      </c>
      <c r="D447" t="s">
        <v>11</v>
      </c>
      <c r="E447" t="s">
        <v>15</v>
      </c>
      <c r="F447">
        <v>67</v>
      </c>
      <c r="G447">
        <v>74</v>
      </c>
      <c r="H447">
        <v>77</v>
      </c>
      <c r="I447">
        <f>StudentsTable[[#This Row],[math score]]+StudentsTable[[#This Row],[reading score]]+StudentsTable[[#This Row],[writing score]]</f>
        <v>218</v>
      </c>
      <c r="J447">
        <f>StudentsTable[[#This Row],[TotalScore]]/3</f>
        <v>72.666666666666671</v>
      </c>
      <c r="K447" t="str" cm="1">
        <f t="array" ref="K447">_xlfn.IFS(StudentsTable[[#This Row],[AverageScore]]&gt;=90,"A",StudentsTable[[#This Row],[AverageScore]]&gt;=80,"B",StudentsTable[[#This Row],[AverageScore]]&gt;=70,"C",StudentsTable[[#This Row],[AverageScore]]&gt;=60,"D",TRUE,"F")</f>
        <v>C</v>
      </c>
      <c r="L447" t="str">
        <f>IF(StudentsTable[[#This Row],[AverageScore]]&gt;=60,"Pass","Fail")</f>
        <v>Pass</v>
      </c>
      <c r="M447" t="str" cm="1">
        <f t="array" ref="M447">_xlfn.IFS(StudentsTable[[#This Row],[AverageScore]]&gt;=85,"Advanced",StudentsTable[[#This Row],[AverageScore]]&gt;=70,"Intermediate",StudentsTable[[#This Row],[AverageScore]]&gt;=60,"Basic",TRUE,"Needs Help")</f>
        <v>Intermediate</v>
      </c>
      <c r="N447">
        <f>RANK(StudentsTable[[#This Row],[AverageScore]],StudentsTable[AverageScore])</f>
        <v>379</v>
      </c>
      <c r="O447">
        <f>(StudentsTable[[#This Row],[AverageScore]]-MIN(StudentsTable[AverageScore]))/(MAX(StudentsTable[AverageScore])-MIN(StudentsTable[AverageScore]))*100</f>
        <v>69.963369963369971</v>
      </c>
    </row>
    <row r="448" spans="1:15" x14ac:dyDescent="0.3">
      <c r="A448" t="s">
        <v>17</v>
      </c>
      <c r="B448" t="s">
        <v>21</v>
      </c>
      <c r="C448" t="s">
        <v>14</v>
      </c>
      <c r="D448" t="s">
        <v>20</v>
      </c>
      <c r="E448" t="s">
        <v>12</v>
      </c>
      <c r="F448">
        <v>69</v>
      </c>
      <c r="G448">
        <v>66</v>
      </c>
      <c r="H448">
        <v>60</v>
      </c>
      <c r="I448">
        <f>StudentsTable[[#This Row],[math score]]+StudentsTable[[#This Row],[reading score]]+StudentsTable[[#This Row],[writing score]]</f>
        <v>195</v>
      </c>
      <c r="J448">
        <f>StudentsTable[[#This Row],[TotalScore]]/3</f>
        <v>65</v>
      </c>
      <c r="K448" t="str" cm="1">
        <f t="array" ref="K448">_xlfn.IFS(StudentsTable[[#This Row],[AverageScore]]&gt;=90,"A",StudentsTable[[#This Row],[AverageScore]]&gt;=80,"B",StudentsTable[[#This Row],[AverageScore]]&gt;=70,"C",StudentsTable[[#This Row],[AverageScore]]&gt;=60,"D",TRUE,"F")</f>
        <v>D</v>
      </c>
      <c r="L448" t="str">
        <f>IF(StudentsTable[[#This Row],[AverageScore]]&gt;=60,"Pass","Fail")</f>
        <v>Pass</v>
      </c>
      <c r="M448" t="str" cm="1">
        <f t="array" ref="M448">_xlfn.IFS(StudentsTable[[#This Row],[AverageScore]]&gt;=85,"Advanced",StudentsTable[[#This Row],[AverageScore]]&gt;=70,"Intermediate",StudentsTable[[#This Row],[AverageScore]]&gt;=60,"Basic",TRUE,"Needs Help")</f>
        <v>Basic</v>
      </c>
      <c r="N448">
        <f>RANK(StudentsTable[[#This Row],[AverageScore]],StudentsTable[AverageScore])</f>
        <v>593</v>
      </c>
      <c r="O448">
        <f>(StudentsTable[[#This Row],[AverageScore]]-MIN(StudentsTable[AverageScore]))/(MAX(StudentsTable[AverageScore])-MIN(StudentsTable[AverageScore]))*100</f>
        <v>61.53846153846154</v>
      </c>
    </row>
    <row r="449" spans="1:15" x14ac:dyDescent="0.3">
      <c r="A449" t="s">
        <v>17</v>
      </c>
      <c r="B449" t="s">
        <v>13</v>
      </c>
      <c r="C449" t="s">
        <v>22</v>
      </c>
      <c r="D449" t="s">
        <v>11</v>
      </c>
      <c r="E449" t="s">
        <v>15</v>
      </c>
      <c r="F449">
        <v>86</v>
      </c>
      <c r="G449">
        <v>81</v>
      </c>
      <c r="H449">
        <v>80</v>
      </c>
      <c r="I449">
        <f>StudentsTable[[#This Row],[math score]]+StudentsTable[[#This Row],[reading score]]+StudentsTable[[#This Row],[writing score]]</f>
        <v>247</v>
      </c>
      <c r="J449">
        <f>StudentsTable[[#This Row],[TotalScore]]/3</f>
        <v>82.333333333333329</v>
      </c>
      <c r="K449" t="str" cm="1">
        <f t="array" ref="K449">_xlfn.IFS(StudentsTable[[#This Row],[AverageScore]]&gt;=90,"A",StudentsTable[[#This Row],[AverageScore]]&gt;=80,"B",StudentsTable[[#This Row],[AverageScore]]&gt;=70,"C",StudentsTable[[#This Row],[AverageScore]]&gt;=60,"D",TRUE,"F")</f>
        <v>B</v>
      </c>
      <c r="L449" t="str">
        <f>IF(StudentsTable[[#This Row],[AverageScore]]&gt;=60,"Pass","Fail")</f>
        <v>Pass</v>
      </c>
      <c r="M449" t="str" cm="1">
        <f t="array" ref="M449">_xlfn.IFS(StudentsTable[[#This Row],[AverageScore]]&gt;=85,"Advanced",StudentsTable[[#This Row],[AverageScore]]&gt;=70,"Intermediate",StudentsTable[[#This Row],[AverageScore]]&gt;=60,"Basic",TRUE,"Needs Help")</f>
        <v>Intermediate</v>
      </c>
      <c r="N449">
        <f>RANK(StudentsTable[[#This Row],[AverageScore]],StudentsTable[AverageScore])</f>
        <v>155</v>
      </c>
      <c r="O449">
        <f>(StudentsTable[[#This Row],[AverageScore]]-MIN(StudentsTable[AverageScore]))/(MAX(StudentsTable[AverageScore])-MIN(StudentsTable[AverageScore]))*100</f>
        <v>80.586080586080584</v>
      </c>
    </row>
    <row r="450" spans="1:15" x14ac:dyDescent="0.3">
      <c r="A450" t="s">
        <v>17</v>
      </c>
      <c r="B450" t="s">
        <v>9</v>
      </c>
      <c r="C450" t="s">
        <v>22</v>
      </c>
      <c r="D450" t="s">
        <v>11</v>
      </c>
      <c r="E450" t="s">
        <v>12</v>
      </c>
      <c r="F450">
        <v>47</v>
      </c>
      <c r="G450">
        <v>46</v>
      </c>
      <c r="H450">
        <v>42</v>
      </c>
      <c r="I450">
        <f>StudentsTable[[#This Row],[math score]]+StudentsTable[[#This Row],[reading score]]+StudentsTable[[#This Row],[writing score]]</f>
        <v>135</v>
      </c>
      <c r="J450">
        <f>StudentsTable[[#This Row],[TotalScore]]/3</f>
        <v>45</v>
      </c>
      <c r="K450" t="str" cm="1">
        <f t="array" ref="K450">_xlfn.IFS(StudentsTable[[#This Row],[AverageScore]]&gt;=90,"A",StudentsTable[[#This Row],[AverageScore]]&gt;=80,"B",StudentsTable[[#This Row],[AverageScore]]&gt;=70,"C",StudentsTable[[#This Row],[AverageScore]]&gt;=60,"D",TRUE,"F")</f>
        <v>F</v>
      </c>
      <c r="L450" t="str">
        <f>IF(StudentsTable[[#This Row],[AverageScore]]&gt;=60,"Pass","Fail")</f>
        <v>Fail</v>
      </c>
      <c r="M450" t="str" cm="1">
        <f t="array" ref="M450">_xlfn.IFS(StudentsTable[[#This Row],[AverageScore]]&gt;=85,"Advanced",StudentsTable[[#This Row],[AverageScore]]&gt;=70,"Intermediate",StudentsTable[[#This Row],[AverageScore]]&gt;=60,"Basic",TRUE,"Needs Help")</f>
        <v>Needs Help</v>
      </c>
      <c r="N450">
        <f>RANK(StudentsTable[[#This Row],[AverageScore]],StudentsTable[AverageScore])</f>
        <v>945</v>
      </c>
      <c r="O450">
        <f>(StudentsTable[[#This Row],[AverageScore]]-MIN(StudentsTable[AverageScore]))/(MAX(StudentsTable[AverageScore])-MIN(StudentsTable[AverageScore]))*100</f>
        <v>39.560439560439562</v>
      </c>
    </row>
    <row r="451" spans="1:15" x14ac:dyDescent="0.3">
      <c r="A451" t="s">
        <v>17</v>
      </c>
      <c r="B451" t="s">
        <v>9</v>
      </c>
      <c r="C451" t="s">
        <v>19</v>
      </c>
      <c r="D451" t="s">
        <v>11</v>
      </c>
      <c r="E451" t="s">
        <v>12</v>
      </c>
      <c r="F451">
        <v>81</v>
      </c>
      <c r="G451">
        <v>73</v>
      </c>
      <c r="H451">
        <v>72</v>
      </c>
      <c r="I451">
        <f>StudentsTable[[#This Row],[math score]]+StudentsTable[[#This Row],[reading score]]+StudentsTable[[#This Row],[writing score]]</f>
        <v>226</v>
      </c>
      <c r="J451">
        <f>StudentsTable[[#This Row],[TotalScore]]/3</f>
        <v>75.333333333333329</v>
      </c>
      <c r="K451" t="str" cm="1">
        <f t="array" ref="K451">_xlfn.IFS(StudentsTable[[#This Row],[AverageScore]]&gt;=90,"A",StudentsTable[[#This Row],[AverageScore]]&gt;=80,"B",StudentsTable[[#This Row],[AverageScore]]&gt;=70,"C",StudentsTable[[#This Row],[AverageScore]]&gt;=60,"D",TRUE,"F")</f>
        <v>C</v>
      </c>
      <c r="L451" t="str">
        <f>IF(StudentsTable[[#This Row],[AverageScore]]&gt;=60,"Pass","Fail")</f>
        <v>Pass</v>
      </c>
      <c r="M451" t="str" cm="1">
        <f t="array" ref="M451">_xlfn.IFS(StudentsTable[[#This Row],[AverageScore]]&gt;=85,"Advanced",StudentsTable[[#This Row],[AverageScore]]&gt;=70,"Intermediate",StudentsTable[[#This Row],[AverageScore]]&gt;=60,"Basic",TRUE,"Needs Help")</f>
        <v>Intermediate</v>
      </c>
      <c r="N451">
        <f>RANK(StudentsTable[[#This Row],[AverageScore]],StudentsTable[AverageScore])</f>
        <v>307</v>
      </c>
      <c r="O451">
        <f>(StudentsTable[[#This Row],[AverageScore]]-MIN(StudentsTable[AverageScore]))/(MAX(StudentsTable[AverageScore])-MIN(StudentsTable[AverageScore]))*100</f>
        <v>72.893772893772891</v>
      </c>
    </row>
    <row r="452" spans="1:15" x14ac:dyDescent="0.3">
      <c r="A452" t="s">
        <v>8</v>
      </c>
      <c r="B452" t="s">
        <v>13</v>
      </c>
      <c r="C452" t="s">
        <v>14</v>
      </c>
      <c r="D452" t="s">
        <v>20</v>
      </c>
      <c r="E452" t="s">
        <v>15</v>
      </c>
      <c r="F452">
        <v>64</v>
      </c>
      <c r="G452">
        <v>85</v>
      </c>
      <c r="H452">
        <v>85</v>
      </c>
      <c r="I452">
        <f>StudentsTable[[#This Row],[math score]]+StudentsTable[[#This Row],[reading score]]+StudentsTable[[#This Row],[writing score]]</f>
        <v>234</v>
      </c>
      <c r="J452">
        <f>StudentsTable[[#This Row],[TotalScore]]/3</f>
        <v>78</v>
      </c>
      <c r="K452" t="str" cm="1">
        <f t="array" ref="K452">_xlfn.IFS(StudentsTable[[#This Row],[AverageScore]]&gt;=90,"A",StudentsTable[[#This Row],[AverageScore]]&gt;=80,"B",StudentsTable[[#This Row],[AverageScore]]&gt;=70,"C",StudentsTable[[#This Row],[AverageScore]]&gt;=60,"D",TRUE,"F")</f>
        <v>C</v>
      </c>
      <c r="L452" t="str">
        <f>IF(StudentsTable[[#This Row],[AverageScore]]&gt;=60,"Pass","Fail")</f>
        <v>Pass</v>
      </c>
      <c r="M452" t="str" cm="1">
        <f t="array" ref="M452">_xlfn.IFS(StudentsTable[[#This Row],[AverageScore]]&gt;=85,"Advanced",StudentsTable[[#This Row],[AverageScore]]&gt;=70,"Intermediate",StudentsTable[[#This Row],[AverageScore]]&gt;=60,"Basic",TRUE,"Needs Help")</f>
        <v>Intermediate</v>
      </c>
      <c r="N452">
        <f>RANK(StudentsTable[[#This Row],[AverageScore]],StudentsTable[AverageScore])</f>
        <v>240</v>
      </c>
      <c r="O452">
        <f>(StudentsTable[[#This Row],[AverageScore]]-MIN(StudentsTable[AverageScore]))/(MAX(StudentsTable[AverageScore])-MIN(StudentsTable[AverageScore]))*100</f>
        <v>75.824175824175825</v>
      </c>
    </row>
    <row r="453" spans="1:15" x14ac:dyDescent="0.3">
      <c r="A453" t="s">
        <v>8</v>
      </c>
      <c r="B453" t="s">
        <v>24</v>
      </c>
      <c r="C453" t="s">
        <v>14</v>
      </c>
      <c r="D453" t="s">
        <v>11</v>
      </c>
      <c r="E453" t="s">
        <v>12</v>
      </c>
      <c r="F453">
        <v>100</v>
      </c>
      <c r="G453">
        <v>92</v>
      </c>
      <c r="H453">
        <v>97</v>
      </c>
      <c r="I453">
        <f>StudentsTable[[#This Row],[math score]]+StudentsTable[[#This Row],[reading score]]+StudentsTable[[#This Row],[writing score]]</f>
        <v>289</v>
      </c>
      <c r="J453">
        <f>StudentsTable[[#This Row],[TotalScore]]/3</f>
        <v>96.333333333333329</v>
      </c>
      <c r="K453" t="str" cm="1">
        <f t="array" ref="K453">_xlfn.IFS(StudentsTable[[#This Row],[AverageScore]]&gt;=90,"A",StudentsTable[[#This Row],[AverageScore]]&gt;=80,"B",StudentsTable[[#This Row],[AverageScore]]&gt;=70,"C",StudentsTable[[#This Row],[AverageScore]]&gt;=60,"D",TRUE,"F")</f>
        <v>A</v>
      </c>
      <c r="L453" t="str">
        <f>IF(StudentsTable[[#This Row],[AverageScore]]&gt;=60,"Pass","Fail")</f>
        <v>Pass</v>
      </c>
      <c r="M453" t="str" cm="1">
        <f t="array" ref="M453">_xlfn.IFS(StudentsTable[[#This Row],[AverageScore]]&gt;=85,"Advanced",StudentsTable[[#This Row],[AverageScore]]&gt;=70,"Intermediate",StudentsTable[[#This Row],[AverageScore]]&gt;=60,"Basic",TRUE,"Needs Help")</f>
        <v>Advanced</v>
      </c>
      <c r="N453">
        <f>RANK(StudentsTable[[#This Row],[AverageScore]],StudentsTable[AverageScore])</f>
        <v>17</v>
      </c>
      <c r="O453">
        <f>(StudentsTable[[#This Row],[AverageScore]]-MIN(StudentsTable[AverageScore]))/(MAX(StudentsTable[AverageScore])-MIN(StudentsTable[AverageScore]))*100</f>
        <v>95.970695970695957</v>
      </c>
    </row>
    <row r="454" spans="1:15" x14ac:dyDescent="0.3">
      <c r="A454" t="s">
        <v>8</v>
      </c>
      <c r="B454" t="s">
        <v>13</v>
      </c>
      <c r="C454" t="s">
        <v>19</v>
      </c>
      <c r="D454" t="s">
        <v>20</v>
      </c>
      <c r="E454" t="s">
        <v>12</v>
      </c>
      <c r="F454">
        <v>65</v>
      </c>
      <c r="G454">
        <v>77</v>
      </c>
      <c r="H454">
        <v>74</v>
      </c>
      <c r="I454">
        <f>StudentsTable[[#This Row],[math score]]+StudentsTable[[#This Row],[reading score]]+StudentsTable[[#This Row],[writing score]]</f>
        <v>216</v>
      </c>
      <c r="J454">
        <f>StudentsTable[[#This Row],[TotalScore]]/3</f>
        <v>72</v>
      </c>
      <c r="K454" t="str" cm="1">
        <f t="array" ref="K454">_xlfn.IFS(StudentsTable[[#This Row],[AverageScore]]&gt;=90,"A",StudentsTable[[#This Row],[AverageScore]]&gt;=80,"B",StudentsTable[[#This Row],[AverageScore]]&gt;=70,"C",StudentsTable[[#This Row],[AverageScore]]&gt;=60,"D",TRUE,"F")</f>
        <v>C</v>
      </c>
      <c r="L454" t="str">
        <f>IF(StudentsTable[[#This Row],[AverageScore]]&gt;=60,"Pass","Fail")</f>
        <v>Pass</v>
      </c>
      <c r="M454" t="str" cm="1">
        <f t="array" ref="M454">_xlfn.IFS(StudentsTable[[#This Row],[AverageScore]]&gt;=85,"Advanced",StudentsTable[[#This Row],[AverageScore]]&gt;=70,"Intermediate",StudentsTable[[#This Row],[AverageScore]]&gt;=60,"Basic",TRUE,"Needs Help")</f>
        <v>Intermediate</v>
      </c>
      <c r="N454">
        <f>RANK(StudentsTable[[#This Row],[AverageScore]],StudentsTable[AverageScore])</f>
        <v>395</v>
      </c>
      <c r="O454">
        <f>(StudentsTable[[#This Row],[AverageScore]]-MIN(StudentsTable[AverageScore]))/(MAX(StudentsTable[AverageScore])-MIN(StudentsTable[AverageScore]))*100</f>
        <v>69.230769230769226</v>
      </c>
    </row>
    <row r="455" spans="1:15" x14ac:dyDescent="0.3">
      <c r="A455" t="s">
        <v>17</v>
      </c>
      <c r="B455" t="s">
        <v>13</v>
      </c>
      <c r="C455" t="s">
        <v>14</v>
      </c>
      <c r="D455" t="s">
        <v>20</v>
      </c>
      <c r="E455" t="s">
        <v>12</v>
      </c>
      <c r="F455">
        <v>65</v>
      </c>
      <c r="G455">
        <v>58</v>
      </c>
      <c r="H455">
        <v>49</v>
      </c>
      <c r="I455">
        <f>StudentsTable[[#This Row],[math score]]+StudentsTable[[#This Row],[reading score]]+StudentsTable[[#This Row],[writing score]]</f>
        <v>172</v>
      </c>
      <c r="J455">
        <f>StudentsTable[[#This Row],[TotalScore]]/3</f>
        <v>57.333333333333336</v>
      </c>
      <c r="K455" t="str" cm="1">
        <f t="array" ref="K455">_xlfn.IFS(StudentsTable[[#This Row],[AverageScore]]&gt;=90,"A",StudentsTable[[#This Row],[AverageScore]]&gt;=80,"B",StudentsTable[[#This Row],[AverageScore]]&gt;=70,"C",StudentsTable[[#This Row],[AverageScore]]&gt;=60,"D",TRUE,"F")</f>
        <v>F</v>
      </c>
      <c r="L455" t="str">
        <f>IF(StudentsTable[[#This Row],[AverageScore]]&gt;=60,"Pass","Fail")</f>
        <v>Fail</v>
      </c>
      <c r="M455" t="str" cm="1">
        <f t="array" ref="M455">_xlfn.IFS(StudentsTable[[#This Row],[AverageScore]]&gt;=85,"Advanced",StudentsTable[[#This Row],[AverageScore]]&gt;=70,"Intermediate",StudentsTable[[#This Row],[AverageScore]]&gt;=60,"Basic",TRUE,"Needs Help")</f>
        <v>Needs Help</v>
      </c>
      <c r="N455">
        <f>RANK(StudentsTable[[#This Row],[AverageScore]],StudentsTable[AverageScore])</f>
        <v>764</v>
      </c>
      <c r="O455">
        <f>(StudentsTable[[#This Row],[AverageScore]]-MIN(StudentsTable[AverageScore]))/(MAX(StudentsTable[AverageScore])-MIN(StudentsTable[AverageScore]))*100</f>
        <v>53.113553113553117</v>
      </c>
    </row>
    <row r="456" spans="1:15" x14ac:dyDescent="0.3">
      <c r="A456" t="s">
        <v>8</v>
      </c>
      <c r="B456" t="s">
        <v>13</v>
      </c>
      <c r="C456" t="s">
        <v>19</v>
      </c>
      <c r="D456" t="s">
        <v>20</v>
      </c>
      <c r="E456" t="s">
        <v>12</v>
      </c>
      <c r="F456">
        <v>53</v>
      </c>
      <c r="G456">
        <v>61</v>
      </c>
      <c r="H456">
        <v>62</v>
      </c>
      <c r="I456">
        <f>StudentsTable[[#This Row],[math score]]+StudentsTable[[#This Row],[reading score]]+StudentsTable[[#This Row],[writing score]]</f>
        <v>176</v>
      </c>
      <c r="J456">
        <f>StudentsTable[[#This Row],[TotalScore]]/3</f>
        <v>58.666666666666664</v>
      </c>
      <c r="K456" t="str" cm="1">
        <f t="array" ref="K456">_xlfn.IFS(StudentsTable[[#This Row],[AverageScore]]&gt;=90,"A",StudentsTable[[#This Row],[AverageScore]]&gt;=80,"B",StudentsTable[[#This Row],[AverageScore]]&gt;=70,"C",StudentsTable[[#This Row],[AverageScore]]&gt;=60,"D",TRUE,"F")</f>
        <v>F</v>
      </c>
      <c r="L456" t="str">
        <f>IF(StudentsTable[[#This Row],[AverageScore]]&gt;=60,"Pass","Fail")</f>
        <v>Fail</v>
      </c>
      <c r="M456" t="str" cm="1">
        <f t="array" ref="M456">_xlfn.IFS(StudentsTable[[#This Row],[AverageScore]]&gt;=85,"Advanced",StudentsTable[[#This Row],[AverageScore]]&gt;=70,"Intermediate",StudentsTable[[#This Row],[AverageScore]]&gt;=60,"Basic",TRUE,"Needs Help")</f>
        <v>Needs Help</v>
      </c>
      <c r="N456">
        <f>RANK(StudentsTable[[#This Row],[AverageScore]],StudentsTable[AverageScore])</f>
        <v>736</v>
      </c>
      <c r="O456">
        <f>(StudentsTable[[#This Row],[AverageScore]]-MIN(StudentsTable[AverageScore]))/(MAX(StudentsTable[AverageScore])-MIN(StudentsTable[AverageScore]))*100</f>
        <v>54.578754578754577</v>
      </c>
    </row>
    <row r="457" spans="1:15" x14ac:dyDescent="0.3">
      <c r="A457" t="s">
        <v>17</v>
      </c>
      <c r="B457" t="s">
        <v>13</v>
      </c>
      <c r="C457" t="s">
        <v>10</v>
      </c>
      <c r="D457" t="s">
        <v>20</v>
      </c>
      <c r="E457" t="s">
        <v>12</v>
      </c>
      <c r="F457">
        <v>37</v>
      </c>
      <c r="G457">
        <v>56</v>
      </c>
      <c r="H457">
        <v>47</v>
      </c>
      <c r="I457">
        <f>StudentsTable[[#This Row],[math score]]+StudentsTable[[#This Row],[reading score]]+StudentsTable[[#This Row],[writing score]]</f>
        <v>140</v>
      </c>
      <c r="J457">
        <f>StudentsTable[[#This Row],[TotalScore]]/3</f>
        <v>46.666666666666664</v>
      </c>
      <c r="K457" t="str" cm="1">
        <f t="array" ref="K457">_xlfn.IFS(StudentsTable[[#This Row],[AverageScore]]&gt;=90,"A",StudentsTable[[#This Row],[AverageScore]]&gt;=80,"B",StudentsTable[[#This Row],[AverageScore]]&gt;=70,"C",StudentsTable[[#This Row],[AverageScore]]&gt;=60,"D",TRUE,"F")</f>
        <v>F</v>
      </c>
      <c r="L457" t="str">
        <f>IF(StudentsTable[[#This Row],[AverageScore]]&gt;=60,"Pass","Fail")</f>
        <v>Fail</v>
      </c>
      <c r="M457" t="str" cm="1">
        <f t="array" ref="M457">_xlfn.IFS(StudentsTable[[#This Row],[AverageScore]]&gt;=85,"Advanced",StudentsTable[[#This Row],[AverageScore]]&gt;=70,"Intermediate",StudentsTable[[#This Row],[AverageScore]]&gt;=60,"Basic",TRUE,"Needs Help")</f>
        <v>Needs Help</v>
      </c>
      <c r="N457">
        <f>RANK(StudentsTable[[#This Row],[AverageScore]],StudentsTable[AverageScore])</f>
        <v>930</v>
      </c>
      <c r="O457">
        <f>(StudentsTable[[#This Row],[AverageScore]]-MIN(StudentsTable[AverageScore]))/(MAX(StudentsTable[AverageScore])-MIN(StudentsTable[AverageScore]))*100</f>
        <v>41.391941391941387</v>
      </c>
    </row>
    <row r="458" spans="1:15" x14ac:dyDescent="0.3">
      <c r="A458" t="s">
        <v>8</v>
      </c>
      <c r="B458" t="s">
        <v>21</v>
      </c>
      <c r="C458" t="s">
        <v>10</v>
      </c>
      <c r="D458" t="s">
        <v>11</v>
      </c>
      <c r="E458" t="s">
        <v>12</v>
      </c>
      <c r="F458">
        <v>79</v>
      </c>
      <c r="G458">
        <v>89</v>
      </c>
      <c r="H458">
        <v>89</v>
      </c>
      <c r="I458">
        <f>StudentsTable[[#This Row],[math score]]+StudentsTable[[#This Row],[reading score]]+StudentsTable[[#This Row],[writing score]]</f>
        <v>257</v>
      </c>
      <c r="J458">
        <f>StudentsTable[[#This Row],[TotalScore]]/3</f>
        <v>85.666666666666671</v>
      </c>
      <c r="K458" t="str" cm="1">
        <f t="array" ref="K458">_xlfn.IFS(StudentsTable[[#This Row],[AverageScore]]&gt;=90,"A",StudentsTable[[#This Row],[AverageScore]]&gt;=80,"B",StudentsTable[[#This Row],[AverageScore]]&gt;=70,"C",StudentsTable[[#This Row],[AverageScore]]&gt;=60,"D",TRUE,"F")</f>
        <v>B</v>
      </c>
      <c r="L458" t="str">
        <f>IF(StudentsTable[[#This Row],[AverageScore]]&gt;=60,"Pass","Fail")</f>
        <v>Pass</v>
      </c>
      <c r="M458" t="str" cm="1">
        <f t="array" ref="M458">_xlfn.IFS(StudentsTable[[#This Row],[AverageScore]]&gt;=85,"Advanced",StudentsTable[[#This Row],[AverageScore]]&gt;=70,"Intermediate",StudentsTable[[#This Row],[AverageScore]]&gt;=60,"Basic",TRUE,"Needs Help")</f>
        <v>Advanced</v>
      </c>
      <c r="N458">
        <f>RANK(StudentsTable[[#This Row],[AverageScore]],StudentsTable[AverageScore])</f>
        <v>103</v>
      </c>
      <c r="O458">
        <f>(StudentsTable[[#This Row],[AverageScore]]-MIN(StudentsTable[AverageScore]))/(MAX(StudentsTable[AverageScore])-MIN(StudentsTable[AverageScore]))*100</f>
        <v>84.249084249084248</v>
      </c>
    </row>
    <row r="459" spans="1:15" x14ac:dyDescent="0.3">
      <c r="A459" t="s">
        <v>17</v>
      </c>
      <c r="B459" t="s">
        <v>21</v>
      </c>
      <c r="C459" t="s">
        <v>19</v>
      </c>
      <c r="D459" t="s">
        <v>20</v>
      </c>
      <c r="E459" t="s">
        <v>12</v>
      </c>
      <c r="F459">
        <v>53</v>
      </c>
      <c r="G459">
        <v>54</v>
      </c>
      <c r="H459">
        <v>48</v>
      </c>
      <c r="I459">
        <f>StudentsTable[[#This Row],[math score]]+StudentsTable[[#This Row],[reading score]]+StudentsTable[[#This Row],[writing score]]</f>
        <v>155</v>
      </c>
      <c r="J459">
        <f>StudentsTable[[#This Row],[TotalScore]]/3</f>
        <v>51.666666666666664</v>
      </c>
      <c r="K459" t="str" cm="1">
        <f t="array" ref="K459">_xlfn.IFS(StudentsTable[[#This Row],[AverageScore]]&gt;=90,"A",StudentsTable[[#This Row],[AverageScore]]&gt;=80,"B",StudentsTable[[#This Row],[AverageScore]]&gt;=70,"C",StudentsTable[[#This Row],[AverageScore]]&gt;=60,"D",TRUE,"F")</f>
        <v>F</v>
      </c>
      <c r="L459" t="str">
        <f>IF(StudentsTable[[#This Row],[AverageScore]]&gt;=60,"Pass","Fail")</f>
        <v>Fail</v>
      </c>
      <c r="M459" t="str" cm="1">
        <f t="array" ref="M459">_xlfn.IFS(StudentsTable[[#This Row],[AverageScore]]&gt;=85,"Advanced",StudentsTable[[#This Row],[AverageScore]]&gt;=70,"Intermediate",StudentsTable[[#This Row],[AverageScore]]&gt;=60,"Basic",TRUE,"Needs Help")</f>
        <v>Needs Help</v>
      </c>
      <c r="N459">
        <f>RANK(StudentsTable[[#This Row],[AverageScore]],StudentsTable[AverageScore])</f>
        <v>860</v>
      </c>
      <c r="O459">
        <f>(StudentsTable[[#This Row],[AverageScore]]-MIN(StudentsTable[AverageScore]))/(MAX(StudentsTable[AverageScore])-MIN(StudentsTable[AverageScore]))*100</f>
        <v>46.886446886446883</v>
      </c>
    </row>
    <row r="460" spans="1:15" x14ac:dyDescent="0.3">
      <c r="A460" t="s">
        <v>8</v>
      </c>
      <c r="B460" t="s">
        <v>24</v>
      </c>
      <c r="C460" t="s">
        <v>10</v>
      </c>
      <c r="D460" t="s">
        <v>11</v>
      </c>
      <c r="E460" t="s">
        <v>12</v>
      </c>
      <c r="F460">
        <v>100</v>
      </c>
      <c r="G460">
        <v>100</v>
      </c>
      <c r="H460">
        <v>100</v>
      </c>
      <c r="I460">
        <f>StudentsTable[[#This Row],[math score]]+StudentsTable[[#This Row],[reading score]]+StudentsTable[[#This Row],[writing score]]</f>
        <v>300</v>
      </c>
      <c r="J460">
        <f>StudentsTable[[#This Row],[TotalScore]]/3</f>
        <v>100</v>
      </c>
      <c r="K460" t="str" cm="1">
        <f t="array" ref="K460">_xlfn.IFS(StudentsTable[[#This Row],[AverageScore]]&gt;=90,"A",StudentsTable[[#This Row],[AverageScore]]&gt;=80,"B",StudentsTable[[#This Row],[AverageScore]]&gt;=70,"C",StudentsTable[[#This Row],[AverageScore]]&gt;=60,"D",TRUE,"F")</f>
        <v>A</v>
      </c>
      <c r="L460" t="str">
        <f>IF(StudentsTable[[#This Row],[AverageScore]]&gt;=60,"Pass","Fail")</f>
        <v>Pass</v>
      </c>
      <c r="M460" t="str" cm="1">
        <f t="array" ref="M460">_xlfn.IFS(StudentsTable[[#This Row],[AverageScore]]&gt;=85,"Advanced",StudentsTable[[#This Row],[AverageScore]]&gt;=70,"Intermediate",StudentsTable[[#This Row],[AverageScore]]&gt;=60,"Basic",TRUE,"Needs Help")</f>
        <v>Advanced</v>
      </c>
      <c r="N460">
        <f>RANK(StudentsTable[[#This Row],[AverageScore]],StudentsTable[AverageScore])</f>
        <v>1</v>
      </c>
      <c r="O460">
        <f>(StudentsTable[[#This Row],[AverageScore]]-MIN(StudentsTable[AverageScore]))/(MAX(StudentsTable[AverageScore])-MIN(StudentsTable[AverageScore]))*100</f>
        <v>100</v>
      </c>
    </row>
    <row r="461" spans="1:15" x14ac:dyDescent="0.3">
      <c r="A461" t="s">
        <v>17</v>
      </c>
      <c r="B461" t="s">
        <v>9</v>
      </c>
      <c r="C461" t="s">
        <v>22</v>
      </c>
      <c r="D461" t="s">
        <v>11</v>
      </c>
      <c r="E461" t="s">
        <v>15</v>
      </c>
      <c r="F461">
        <v>72</v>
      </c>
      <c r="G461">
        <v>65</v>
      </c>
      <c r="H461">
        <v>68</v>
      </c>
      <c r="I461">
        <f>StudentsTable[[#This Row],[math score]]+StudentsTable[[#This Row],[reading score]]+StudentsTable[[#This Row],[writing score]]</f>
        <v>205</v>
      </c>
      <c r="J461">
        <f>StudentsTable[[#This Row],[TotalScore]]/3</f>
        <v>68.333333333333329</v>
      </c>
      <c r="K461" t="str" cm="1">
        <f t="array" ref="K461">_xlfn.IFS(StudentsTable[[#This Row],[AverageScore]]&gt;=90,"A",StudentsTable[[#This Row],[AverageScore]]&gt;=80,"B",StudentsTable[[#This Row],[AverageScore]]&gt;=70,"C",StudentsTable[[#This Row],[AverageScore]]&gt;=60,"D",TRUE,"F")</f>
        <v>D</v>
      </c>
      <c r="L461" t="str">
        <f>IF(StudentsTable[[#This Row],[AverageScore]]&gt;=60,"Pass","Fail")</f>
        <v>Pass</v>
      </c>
      <c r="M461" t="str" cm="1">
        <f t="array" ref="M461">_xlfn.IFS(StudentsTable[[#This Row],[AverageScore]]&gt;=85,"Advanced",StudentsTable[[#This Row],[AverageScore]]&gt;=70,"Intermediate",StudentsTable[[#This Row],[AverageScore]]&gt;=60,"Basic",TRUE,"Needs Help")</f>
        <v>Basic</v>
      </c>
      <c r="N461">
        <f>RANK(StudentsTable[[#This Row],[AverageScore]],StudentsTable[AverageScore])</f>
        <v>499</v>
      </c>
      <c r="O461">
        <f>(StudentsTable[[#This Row],[AverageScore]]-MIN(StudentsTable[AverageScore]))/(MAX(StudentsTable[AverageScore])-MIN(StudentsTable[AverageScore]))*100</f>
        <v>65.201465201465197</v>
      </c>
    </row>
    <row r="462" spans="1:15" x14ac:dyDescent="0.3">
      <c r="A462" t="s">
        <v>17</v>
      </c>
      <c r="B462" t="s">
        <v>13</v>
      </c>
      <c r="C462" t="s">
        <v>10</v>
      </c>
      <c r="D462" t="s">
        <v>20</v>
      </c>
      <c r="E462" t="s">
        <v>12</v>
      </c>
      <c r="F462">
        <v>53</v>
      </c>
      <c r="G462">
        <v>58</v>
      </c>
      <c r="H462">
        <v>55</v>
      </c>
      <c r="I462">
        <f>StudentsTable[[#This Row],[math score]]+StudentsTable[[#This Row],[reading score]]+StudentsTable[[#This Row],[writing score]]</f>
        <v>166</v>
      </c>
      <c r="J462">
        <f>StudentsTable[[#This Row],[TotalScore]]/3</f>
        <v>55.333333333333336</v>
      </c>
      <c r="K462" t="str" cm="1">
        <f t="array" ref="K462">_xlfn.IFS(StudentsTable[[#This Row],[AverageScore]]&gt;=90,"A",StudentsTable[[#This Row],[AverageScore]]&gt;=80,"B",StudentsTable[[#This Row],[AverageScore]]&gt;=70,"C",StudentsTable[[#This Row],[AverageScore]]&gt;=60,"D",TRUE,"F")</f>
        <v>F</v>
      </c>
      <c r="L462" t="str">
        <f>IF(StudentsTable[[#This Row],[AverageScore]]&gt;=60,"Pass","Fail")</f>
        <v>Fail</v>
      </c>
      <c r="M462" t="str" cm="1">
        <f t="array" ref="M462">_xlfn.IFS(StudentsTable[[#This Row],[AverageScore]]&gt;=85,"Advanced",StudentsTable[[#This Row],[AverageScore]]&gt;=70,"Intermediate",StudentsTable[[#This Row],[AverageScore]]&gt;=60,"Basic",TRUE,"Needs Help")</f>
        <v>Needs Help</v>
      </c>
      <c r="N462">
        <f>RANK(StudentsTable[[#This Row],[AverageScore]],StudentsTable[AverageScore])</f>
        <v>803</v>
      </c>
      <c r="O462">
        <f>(StudentsTable[[#This Row],[AverageScore]]-MIN(StudentsTable[AverageScore]))/(MAX(StudentsTable[AverageScore])-MIN(StudentsTable[AverageScore]))*100</f>
        <v>50.915750915750927</v>
      </c>
    </row>
    <row r="463" spans="1:15" x14ac:dyDescent="0.3">
      <c r="A463" t="s">
        <v>17</v>
      </c>
      <c r="B463" t="s">
        <v>9</v>
      </c>
      <c r="C463" t="s">
        <v>14</v>
      </c>
      <c r="D463" t="s">
        <v>20</v>
      </c>
      <c r="E463" t="s">
        <v>12</v>
      </c>
      <c r="F463">
        <v>54</v>
      </c>
      <c r="G463">
        <v>54</v>
      </c>
      <c r="H463">
        <v>45</v>
      </c>
      <c r="I463">
        <f>StudentsTable[[#This Row],[math score]]+StudentsTable[[#This Row],[reading score]]+StudentsTable[[#This Row],[writing score]]</f>
        <v>153</v>
      </c>
      <c r="J463">
        <f>StudentsTable[[#This Row],[TotalScore]]/3</f>
        <v>51</v>
      </c>
      <c r="K463" t="str" cm="1">
        <f t="array" ref="K463">_xlfn.IFS(StudentsTable[[#This Row],[AverageScore]]&gt;=90,"A",StudentsTable[[#This Row],[AverageScore]]&gt;=80,"B",StudentsTable[[#This Row],[AverageScore]]&gt;=70,"C",StudentsTable[[#This Row],[AverageScore]]&gt;=60,"D",TRUE,"F")</f>
        <v>F</v>
      </c>
      <c r="L463" t="str">
        <f>IF(StudentsTable[[#This Row],[AverageScore]]&gt;=60,"Pass","Fail")</f>
        <v>Fail</v>
      </c>
      <c r="M463" t="str" cm="1">
        <f t="array" ref="M463">_xlfn.IFS(StudentsTable[[#This Row],[AverageScore]]&gt;=85,"Advanced",StudentsTable[[#This Row],[AverageScore]]&gt;=70,"Intermediate",StudentsTable[[#This Row],[AverageScore]]&gt;=60,"Basic",TRUE,"Needs Help")</f>
        <v>Needs Help</v>
      </c>
      <c r="N463">
        <f>RANK(StudentsTable[[#This Row],[AverageScore]],StudentsTable[AverageScore])</f>
        <v>876</v>
      </c>
      <c r="O463">
        <f>(StudentsTable[[#This Row],[AverageScore]]-MIN(StudentsTable[AverageScore]))/(MAX(StudentsTable[AverageScore])-MIN(StudentsTable[AverageScore]))*100</f>
        <v>46.153846153846153</v>
      </c>
    </row>
    <row r="464" spans="1:15" x14ac:dyDescent="0.3">
      <c r="A464" t="s">
        <v>8</v>
      </c>
      <c r="B464" t="s">
        <v>24</v>
      </c>
      <c r="C464" t="s">
        <v>14</v>
      </c>
      <c r="D464" t="s">
        <v>11</v>
      </c>
      <c r="E464" t="s">
        <v>12</v>
      </c>
      <c r="F464">
        <v>71</v>
      </c>
      <c r="G464">
        <v>70</v>
      </c>
      <c r="H464">
        <v>76</v>
      </c>
      <c r="I464">
        <f>StudentsTable[[#This Row],[math score]]+StudentsTable[[#This Row],[reading score]]+StudentsTable[[#This Row],[writing score]]</f>
        <v>217</v>
      </c>
      <c r="J464">
        <f>StudentsTable[[#This Row],[TotalScore]]/3</f>
        <v>72.333333333333329</v>
      </c>
      <c r="K464" t="str" cm="1">
        <f t="array" ref="K464">_xlfn.IFS(StudentsTable[[#This Row],[AverageScore]]&gt;=90,"A",StudentsTable[[#This Row],[AverageScore]]&gt;=80,"B",StudentsTable[[#This Row],[AverageScore]]&gt;=70,"C",StudentsTable[[#This Row],[AverageScore]]&gt;=60,"D",TRUE,"F")</f>
        <v>C</v>
      </c>
      <c r="L464" t="str">
        <f>IF(StudentsTable[[#This Row],[AverageScore]]&gt;=60,"Pass","Fail")</f>
        <v>Pass</v>
      </c>
      <c r="M464" t="str" cm="1">
        <f t="array" ref="M464">_xlfn.IFS(StudentsTable[[#This Row],[AverageScore]]&gt;=85,"Advanced",StudentsTable[[#This Row],[AverageScore]]&gt;=70,"Intermediate",StudentsTable[[#This Row],[AverageScore]]&gt;=60,"Basic",TRUE,"Needs Help")</f>
        <v>Intermediate</v>
      </c>
      <c r="N464">
        <f>RANK(StudentsTable[[#This Row],[AverageScore]],StudentsTable[AverageScore])</f>
        <v>389</v>
      </c>
      <c r="O464">
        <f>(StudentsTable[[#This Row],[AverageScore]]-MIN(StudentsTable[AverageScore]))/(MAX(StudentsTable[AverageScore])-MIN(StudentsTable[AverageScore]))*100</f>
        <v>69.597069597069591</v>
      </c>
    </row>
    <row r="465" spans="1:15" x14ac:dyDescent="0.3">
      <c r="A465" t="s">
        <v>8</v>
      </c>
      <c r="B465" t="s">
        <v>13</v>
      </c>
      <c r="C465" t="s">
        <v>14</v>
      </c>
      <c r="D465" t="s">
        <v>20</v>
      </c>
      <c r="E465" t="s">
        <v>12</v>
      </c>
      <c r="F465">
        <v>77</v>
      </c>
      <c r="G465">
        <v>90</v>
      </c>
      <c r="H465">
        <v>91</v>
      </c>
      <c r="I465">
        <f>StudentsTable[[#This Row],[math score]]+StudentsTable[[#This Row],[reading score]]+StudentsTable[[#This Row],[writing score]]</f>
        <v>258</v>
      </c>
      <c r="J465">
        <f>StudentsTable[[#This Row],[TotalScore]]/3</f>
        <v>86</v>
      </c>
      <c r="K465" t="str" cm="1">
        <f t="array" ref="K465">_xlfn.IFS(StudentsTable[[#This Row],[AverageScore]]&gt;=90,"A",StudentsTable[[#This Row],[AverageScore]]&gt;=80,"B",StudentsTable[[#This Row],[AverageScore]]&gt;=70,"C",StudentsTable[[#This Row],[AverageScore]]&gt;=60,"D",TRUE,"F")</f>
        <v>B</v>
      </c>
      <c r="L465" t="str">
        <f>IF(StudentsTable[[#This Row],[AverageScore]]&gt;=60,"Pass","Fail")</f>
        <v>Pass</v>
      </c>
      <c r="M465" t="str" cm="1">
        <f t="array" ref="M465">_xlfn.IFS(StudentsTable[[#This Row],[AverageScore]]&gt;=85,"Advanced",StudentsTable[[#This Row],[AverageScore]]&gt;=70,"Intermediate",StudentsTable[[#This Row],[AverageScore]]&gt;=60,"Basic",TRUE,"Needs Help")</f>
        <v>Advanced</v>
      </c>
      <c r="N465">
        <f>RANK(StudentsTable[[#This Row],[AverageScore]],StudentsTable[AverageScore])</f>
        <v>99</v>
      </c>
      <c r="O465">
        <f>(StudentsTable[[#This Row],[AverageScore]]-MIN(StudentsTable[AverageScore]))/(MAX(StudentsTable[AverageScore])-MIN(StudentsTable[AverageScore]))*100</f>
        <v>84.615384615384613</v>
      </c>
    </row>
    <row r="466" spans="1:15" x14ac:dyDescent="0.3">
      <c r="A466" t="s">
        <v>17</v>
      </c>
      <c r="B466" t="s">
        <v>18</v>
      </c>
      <c r="C466" t="s">
        <v>10</v>
      </c>
      <c r="D466" t="s">
        <v>11</v>
      </c>
      <c r="E466" t="s">
        <v>15</v>
      </c>
      <c r="F466">
        <v>75</v>
      </c>
      <c r="G466">
        <v>58</v>
      </c>
      <c r="H466">
        <v>62</v>
      </c>
      <c r="I466">
        <f>StudentsTable[[#This Row],[math score]]+StudentsTable[[#This Row],[reading score]]+StudentsTable[[#This Row],[writing score]]</f>
        <v>195</v>
      </c>
      <c r="J466">
        <f>StudentsTable[[#This Row],[TotalScore]]/3</f>
        <v>65</v>
      </c>
      <c r="K466" t="str" cm="1">
        <f t="array" ref="K466">_xlfn.IFS(StudentsTable[[#This Row],[AverageScore]]&gt;=90,"A",StudentsTable[[#This Row],[AverageScore]]&gt;=80,"B",StudentsTable[[#This Row],[AverageScore]]&gt;=70,"C",StudentsTable[[#This Row],[AverageScore]]&gt;=60,"D",TRUE,"F")</f>
        <v>D</v>
      </c>
      <c r="L466" t="str">
        <f>IF(StudentsTable[[#This Row],[AverageScore]]&gt;=60,"Pass","Fail")</f>
        <v>Pass</v>
      </c>
      <c r="M466" t="str" cm="1">
        <f t="array" ref="M466">_xlfn.IFS(StudentsTable[[#This Row],[AverageScore]]&gt;=85,"Advanced",StudentsTable[[#This Row],[AverageScore]]&gt;=70,"Intermediate",StudentsTable[[#This Row],[AverageScore]]&gt;=60,"Basic",TRUE,"Needs Help")</f>
        <v>Basic</v>
      </c>
      <c r="N466">
        <f>RANK(StudentsTable[[#This Row],[AverageScore]],StudentsTable[AverageScore])</f>
        <v>593</v>
      </c>
      <c r="O466">
        <f>(StudentsTable[[#This Row],[AverageScore]]-MIN(StudentsTable[AverageScore]))/(MAX(StudentsTable[AverageScore])-MIN(StudentsTable[AverageScore]))*100</f>
        <v>61.53846153846154</v>
      </c>
    </row>
    <row r="467" spans="1:15" x14ac:dyDescent="0.3">
      <c r="A467" t="s">
        <v>8</v>
      </c>
      <c r="B467" t="s">
        <v>13</v>
      </c>
      <c r="C467" t="s">
        <v>14</v>
      </c>
      <c r="D467" t="s">
        <v>11</v>
      </c>
      <c r="E467" t="s">
        <v>12</v>
      </c>
      <c r="F467">
        <v>84</v>
      </c>
      <c r="G467">
        <v>87</v>
      </c>
      <c r="H467">
        <v>91</v>
      </c>
      <c r="I467">
        <f>StudentsTable[[#This Row],[math score]]+StudentsTable[[#This Row],[reading score]]+StudentsTable[[#This Row],[writing score]]</f>
        <v>262</v>
      </c>
      <c r="J467">
        <f>StudentsTable[[#This Row],[TotalScore]]/3</f>
        <v>87.333333333333329</v>
      </c>
      <c r="K467" t="str" cm="1">
        <f t="array" ref="K467">_xlfn.IFS(StudentsTable[[#This Row],[AverageScore]]&gt;=90,"A",StudentsTable[[#This Row],[AverageScore]]&gt;=80,"B",StudentsTable[[#This Row],[AverageScore]]&gt;=70,"C",StudentsTable[[#This Row],[AverageScore]]&gt;=60,"D",TRUE,"F")</f>
        <v>B</v>
      </c>
      <c r="L467" t="str">
        <f>IF(StudentsTable[[#This Row],[AverageScore]]&gt;=60,"Pass","Fail")</f>
        <v>Pass</v>
      </c>
      <c r="M467" t="str" cm="1">
        <f t="array" ref="M467">_xlfn.IFS(StudentsTable[[#This Row],[AverageScore]]&gt;=85,"Advanced",StudentsTable[[#This Row],[AverageScore]]&gt;=70,"Intermediate",StudentsTable[[#This Row],[AverageScore]]&gt;=60,"Basic",TRUE,"Needs Help")</f>
        <v>Advanced</v>
      </c>
      <c r="N467">
        <f>RANK(StudentsTable[[#This Row],[AverageScore]],StudentsTable[AverageScore])</f>
        <v>78</v>
      </c>
      <c r="O467">
        <f>(StudentsTable[[#This Row],[AverageScore]]-MIN(StudentsTable[AverageScore]))/(MAX(StudentsTable[AverageScore])-MIN(StudentsTable[AverageScore]))*100</f>
        <v>86.080586080586073</v>
      </c>
    </row>
    <row r="468" spans="1:15" x14ac:dyDescent="0.3">
      <c r="A468" t="s">
        <v>8</v>
      </c>
      <c r="B468" t="s">
        <v>21</v>
      </c>
      <c r="C468" t="s">
        <v>19</v>
      </c>
      <c r="D468" t="s">
        <v>20</v>
      </c>
      <c r="E468" t="s">
        <v>12</v>
      </c>
      <c r="F468">
        <v>26</v>
      </c>
      <c r="G468">
        <v>31</v>
      </c>
      <c r="H468">
        <v>38</v>
      </c>
      <c r="I468">
        <f>StudentsTable[[#This Row],[math score]]+StudentsTable[[#This Row],[reading score]]+StudentsTable[[#This Row],[writing score]]</f>
        <v>95</v>
      </c>
      <c r="J468">
        <f>StudentsTable[[#This Row],[TotalScore]]/3</f>
        <v>31.666666666666668</v>
      </c>
      <c r="K468" t="str" cm="1">
        <f t="array" ref="K468">_xlfn.IFS(StudentsTable[[#This Row],[AverageScore]]&gt;=90,"A",StudentsTable[[#This Row],[AverageScore]]&gt;=80,"B",StudentsTable[[#This Row],[AverageScore]]&gt;=70,"C",StudentsTable[[#This Row],[AverageScore]]&gt;=60,"D",TRUE,"F")</f>
        <v>F</v>
      </c>
      <c r="L468" t="str">
        <f>IF(StudentsTable[[#This Row],[AverageScore]]&gt;=60,"Pass","Fail")</f>
        <v>Fail</v>
      </c>
      <c r="M468" t="str" cm="1">
        <f t="array" ref="M468">_xlfn.IFS(StudentsTable[[#This Row],[AverageScore]]&gt;=85,"Advanced",StudentsTable[[#This Row],[AverageScore]]&gt;=70,"Intermediate",StudentsTable[[#This Row],[AverageScore]]&gt;=60,"Basic",TRUE,"Needs Help")</f>
        <v>Needs Help</v>
      </c>
      <c r="N468">
        <f>RANK(StudentsTable[[#This Row],[AverageScore]],StudentsTable[AverageScore])</f>
        <v>987</v>
      </c>
      <c r="O468">
        <f>(StudentsTable[[#This Row],[AverageScore]]-MIN(StudentsTable[AverageScore]))/(MAX(StudentsTable[AverageScore])-MIN(StudentsTable[AverageScore]))*100</f>
        <v>24.908424908424909</v>
      </c>
    </row>
    <row r="469" spans="1:15" x14ac:dyDescent="0.3">
      <c r="A469" t="s">
        <v>17</v>
      </c>
      <c r="B469" t="s">
        <v>18</v>
      </c>
      <c r="C469" t="s">
        <v>22</v>
      </c>
      <c r="D469" t="s">
        <v>20</v>
      </c>
      <c r="E469" t="s">
        <v>15</v>
      </c>
      <c r="F469">
        <v>72</v>
      </c>
      <c r="G469">
        <v>67</v>
      </c>
      <c r="H469">
        <v>65</v>
      </c>
      <c r="I469">
        <f>StudentsTable[[#This Row],[math score]]+StudentsTable[[#This Row],[reading score]]+StudentsTable[[#This Row],[writing score]]</f>
        <v>204</v>
      </c>
      <c r="J469">
        <f>StudentsTable[[#This Row],[TotalScore]]/3</f>
        <v>68</v>
      </c>
      <c r="K469" t="str" cm="1">
        <f t="array" ref="K469">_xlfn.IFS(StudentsTable[[#This Row],[AverageScore]]&gt;=90,"A",StudentsTable[[#This Row],[AverageScore]]&gt;=80,"B",StudentsTable[[#This Row],[AverageScore]]&gt;=70,"C",StudentsTable[[#This Row],[AverageScore]]&gt;=60,"D",TRUE,"F")</f>
        <v>D</v>
      </c>
      <c r="L469" t="str">
        <f>IF(StudentsTable[[#This Row],[AverageScore]]&gt;=60,"Pass","Fail")</f>
        <v>Pass</v>
      </c>
      <c r="M469" t="str" cm="1">
        <f t="array" ref="M469">_xlfn.IFS(StudentsTable[[#This Row],[AverageScore]]&gt;=85,"Advanced",StudentsTable[[#This Row],[AverageScore]]&gt;=70,"Intermediate",StudentsTable[[#This Row],[AverageScore]]&gt;=60,"Basic",TRUE,"Needs Help")</f>
        <v>Basic</v>
      </c>
      <c r="N469">
        <f>RANK(StudentsTable[[#This Row],[AverageScore]],StudentsTable[AverageScore])</f>
        <v>512</v>
      </c>
      <c r="O469">
        <f>(StudentsTable[[#This Row],[AverageScore]]-MIN(StudentsTable[AverageScore]))/(MAX(StudentsTable[AverageScore])-MIN(StudentsTable[AverageScore]))*100</f>
        <v>64.835164835164832</v>
      </c>
    </row>
    <row r="470" spans="1:15" x14ac:dyDescent="0.3">
      <c r="A470" t="s">
        <v>8</v>
      </c>
      <c r="B470" t="s">
        <v>18</v>
      </c>
      <c r="C470" t="s">
        <v>22</v>
      </c>
      <c r="D470" t="s">
        <v>20</v>
      </c>
      <c r="E470" t="s">
        <v>15</v>
      </c>
      <c r="F470">
        <v>77</v>
      </c>
      <c r="G470">
        <v>88</v>
      </c>
      <c r="H470">
        <v>85</v>
      </c>
      <c r="I470">
        <f>StudentsTable[[#This Row],[math score]]+StudentsTable[[#This Row],[reading score]]+StudentsTable[[#This Row],[writing score]]</f>
        <v>250</v>
      </c>
      <c r="J470">
        <f>StudentsTable[[#This Row],[TotalScore]]/3</f>
        <v>83.333333333333329</v>
      </c>
      <c r="K470" t="str" cm="1">
        <f t="array" ref="K470">_xlfn.IFS(StudentsTable[[#This Row],[AverageScore]]&gt;=90,"A",StudentsTable[[#This Row],[AverageScore]]&gt;=80,"B",StudentsTable[[#This Row],[AverageScore]]&gt;=70,"C",StudentsTable[[#This Row],[AverageScore]]&gt;=60,"D",TRUE,"F")</f>
        <v>B</v>
      </c>
      <c r="L470" t="str">
        <f>IF(StudentsTable[[#This Row],[AverageScore]]&gt;=60,"Pass","Fail")</f>
        <v>Pass</v>
      </c>
      <c r="M470" t="str" cm="1">
        <f t="array" ref="M470">_xlfn.IFS(StudentsTable[[#This Row],[AverageScore]]&gt;=85,"Advanced",StudentsTable[[#This Row],[AverageScore]]&gt;=70,"Intermediate",StudentsTable[[#This Row],[AverageScore]]&gt;=60,"Basic",TRUE,"Needs Help")</f>
        <v>Intermediate</v>
      </c>
      <c r="N470">
        <f>RANK(StudentsTable[[#This Row],[AverageScore]],StudentsTable[AverageScore])</f>
        <v>135</v>
      </c>
      <c r="O470">
        <f>(StudentsTable[[#This Row],[AverageScore]]-MIN(StudentsTable[AverageScore]))/(MAX(StudentsTable[AverageScore])-MIN(StudentsTable[AverageScore]))*100</f>
        <v>81.684981684981679</v>
      </c>
    </row>
    <row r="471" spans="1:15" x14ac:dyDescent="0.3">
      <c r="A471" t="s">
        <v>17</v>
      </c>
      <c r="B471" t="s">
        <v>13</v>
      </c>
      <c r="C471" t="s">
        <v>14</v>
      </c>
      <c r="D471" t="s">
        <v>11</v>
      </c>
      <c r="E471" t="s">
        <v>12</v>
      </c>
      <c r="F471">
        <v>91</v>
      </c>
      <c r="G471">
        <v>74</v>
      </c>
      <c r="H471">
        <v>76</v>
      </c>
      <c r="I471">
        <f>StudentsTable[[#This Row],[math score]]+StudentsTable[[#This Row],[reading score]]+StudentsTable[[#This Row],[writing score]]</f>
        <v>241</v>
      </c>
      <c r="J471">
        <f>StudentsTable[[#This Row],[TotalScore]]/3</f>
        <v>80.333333333333329</v>
      </c>
      <c r="K471" t="str" cm="1">
        <f t="array" ref="K471">_xlfn.IFS(StudentsTable[[#This Row],[AverageScore]]&gt;=90,"A",StudentsTable[[#This Row],[AverageScore]]&gt;=80,"B",StudentsTable[[#This Row],[AverageScore]]&gt;=70,"C",StudentsTable[[#This Row],[AverageScore]]&gt;=60,"D",TRUE,"F")</f>
        <v>B</v>
      </c>
      <c r="L471" t="str">
        <f>IF(StudentsTable[[#This Row],[AverageScore]]&gt;=60,"Pass","Fail")</f>
        <v>Pass</v>
      </c>
      <c r="M471" t="str" cm="1">
        <f t="array" ref="M471">_xlfn.IFS(StudentsTable[[#This Row],[AverageScore]]&gt;=85,"Advanced",StudentsTable[[#This Row],[AverageScore]]&gt;=70,"Intermediate",StudentsTable[[#This Row],[AverageScore]]&gt;=60,"Basic",TRUE,"Needs Help")</f>
        <v>Intermediate</v>
      </c>
      <c r="N471">
        <f>RANK(StudentsTable[[#This Row],[AverageScore]],StudentsTable[AverageScore])</f>
        <v>187</v>
      </c>
      <c r="O471">
        <f>(StudentsTable[[#This Row],[AverageScore]]-MIN(StudentsTable[AverageScore]))/(MAX(StudentsTable[AverageScore])-MIN(StudentsTable[AverageScore]))*100</f>
        <v>78.388278388278394</v>
      </c>
    </row>
    <row r="472" spans="1:15" x14ac:dyDescent="0.3">
      <c r="A472" t="s">
        <v>8</v>
      </c>
      <c r="B472" t="s">
        <v>13</v>
      </c>
      <c r="C472" t="s">
        <v>19</v>
      </c>
      <c r="D472" t="s">
        <v>11</v>
      </c>
      <c r="E472" t="s">
        <v>15</v>
      </c>
      <c r="F472">
        <v>83</v>
      </c>
      <c r="G472">
        <v>85</v>
      </c>
      <c r="H472">
        <v>90</v>
      </c>
      <c r="I472">
        <f>StudentsTable[[#This Row],[math score]]+StudentsTable[[#This Row],[reading score]]+StudentsTable[[#This Row],[writing score]]</f>
        <v>258</v>
      </c>
      <c r="J472">
        <f>StudentsTable[[#This Row],[TotalScore]]/3</f>
        <v>86</v>
      </c>
      <c r="K472" t="str" cm="1">
        <f t="array" ref="K472">_xlfn.IFS(StudentsTable[[#This Row],[AverageScore]]&gt;=90,"A",StudentsTable[[#This Row],[AverageScore]]&gt;=80,"B",StudentsTable[[#This Row],[AverageScore]]&gt;=70,"C",StudentsTable[[#This Row],[AverageScore]]&gt;=60,"D",TRUE,"F")</f>
        <v>B</v>
      </c>
      <c r="L472" t="str">
        <f>IF(StudentsTable[[#This Row],[AverageScore]]&gt;=60,"Pass","Fail")</f>
        <v>Pass</v>
      </c>
      <c r="M472" t="str" cm="1">
        <f t="array" ref="M472">_xlfn.IFS(StudentsTable[[#This Row],[AverageScore]]&gt;=85,"Advanced",StudentsTable[[#This Row],[AverageScore]]&gt;=70,"Intermediate",StudentsTable[[#This Row],[AverageScore]]&gt;=60,"Basic",TRUE,"Needs Help")</f>
        <v>Advanced</v>
      </c>
      <c r="N472">
        <f>RANK(StudentsTable[[#This Row],[AverageScore]],StudentsTable[AverageScore])</f>
        <v>99</v>
      </c>
      <c r="O472">
        <f>(StudentsTable[[#This Row],[AverageScore]]-MIN(StudentsTable[AverageScore]))/(MAX(StudentsTable[AverageScore])-MIN(StudentsTable[AverageScore]))*100</f>
        <v>84.615384615384613</v>
      </c>
    </row>
    <row r="473" spans="1:15" x14ac:dyDescent="0.3">
      <c r="A473" t="s">
        <v>8</v>
      </c>
      <c r="B473" t="s">
        <v>13</v>
      </c>
      <c r="C473" t="s">
        <v>22</v>
      </c>
      <c r="D473" t="s">
        <v>11</v>
      </c>
      <c r="E473" t="s">
        <v>12</v>
      </c>
      <c r="F473">
        <v>63</v>
      </c>
      <c r="G473">
        <v>69</v>
      </c>
      <c r="H473">
        <v>74</v>
      </c>
      <c r="I473">
        <f>StudentsTable[[#This Row],[math score]]+StudentsTable[[#This Row],[reading score]]+StudentsTable[[#This Row],[writing score]]</f>
        <v>206</v>
      </c>
      <c r="J473">
        <f>StudentsTable[[#This Row],[TotalScore]]/3</f>
        <v>68.666666666666671</v>
      </c>
      <c r="K473" t="str" cm="1">
        <f t="array" ref="K473">_xlfn.IFS(StudentsTable[[#This Row],[AverageScore]]&gt;=90,"A",StudentsTable[[#This Row],[AverageScore]]&gt;=80,"B",StudentsTable[[#This Row],[AverageScore]]&gt;=70,"C",StudentsTable[[#This Row],[AverageScore]]&gt;=60,"D",TRUE,"F")</f>
        <v>D</v>
      </c>
      <c r="L473" t="str">
        <f>IF(StudentsTable[[#This Row],[AverageScore]]&gt;=60,"Pass","Fail")</f>
        <v>Pass</v>
      </c>
      <c r="M473" t="str" cm="1">
        <f t="array" ref="M473">_xlfn.IFS(StudentsTable[[#This Row],[AverageScore]]&gt;=85,"Advanced",StudentsTable[[#This Row],[AverageScore]]&gt;=70,"Intermediate",StudentsTable[[#This Row],[AverageScore]]&gt;=60,"Basic",TRUE,"Needs Help")</f>
        <v>Basic</v>
      </c>
      <c r="N473">
        <f>RANK(StudentsTable[[#This Row],[AverageScore]],StudentsTable[AverageScore])</f>
        <v>487</v>
      </c>
      <c r="O473">
        <f>(StudentsTable[[#This Row],[AverageScore]]-MIN(StudentsTable[AverageScore]))/(MAX(StudentsTable[AverageScore])-MIN(StudentsTable[AverageScore]))*100</f>
        <v>65.567765567765562</v>
      </c>
    </row>
    <row r="474" spans="1:15" x14ac:dyDescent="0.3">
      <c r="A474" t="s">
        <v>8</v>
      </c>
      <c r="B474" t="s">
        <v>13</v>
      </c>
      <c r="C474" t="s">
        <v>19</v>
      </c>
      <c r="D474" t="s">
        <v>11</v>
      </c>
      <c r="E474" t="s">
        <v>15</v>
      </c>
      <c r="F474">
        <v>68</v>
      </c>
      <c r="G474">
        <v>86</v>
      </c>
      <c r="H474">
        <v>84</v>
      </c>
      <c r="I474">
        <f>StudentsTable[[#This Row],[math score]]+StudentsTable[[#This Row],[reading score]]+StudentsTable[[#This Row],[writing score]]</f>
        <v>238</v>
      </c>
      <c r="J474">
        <f>StudentsTable[[#This Row],[TotalScore]]/3</f>
        <v>79.333333333333329</v>
      </c>
      <c r="K474" t="str" cm="1">
        <f t="array" ref="K474">_xlfn.IFS(StudentsTable[[#This Row],[AverageScore]]&gt;=90,"A",StudentsTable[[#This Row],[AverageScore]]&gt;=80,"B",StudentsTable[[#This Row],[AverageScore]]&gt;=70,"C",StudentsTable[[#This Row],[AverageScore]]&gt;=60,"D",TRUE,"F")</f>
        <v>C</v>
      </c>
      <c r="L474" t="str">
        <f>IF(StudentsTable[[#This Row],[AverageScore]]&gt;=60,"Pass","Fail")</f>
        <v>Pass</v>
      </c>
      <c r="M474" t="str" cm="1">
        <f t="array" ref="M474">_xlfn.IFS(StudentsTable[[#This Row],[AverageScore]]&gt;=85,"Advanced",StudentsTable[[#This Row],[AverageScore]]&gt;=70,"Intermediate",StudentsTable[[#This Row],[AverageScore]]&gt;=60,"Basic",TRUE,"Needs Help")</f>
        <v>Intermediate</v>
      </c>
      <c r="N474">
        <f>RANK(StudentsTable[[#This Row],[AverageScore]],StudentsTable[AverageScore])</f>
        <v>207</v>
      </c>
      <c r="O474">
        <f>(StudentsTable[[#This Row],[AverageScore]]-MIN(StudentsTable[AverageScore]))/(MAX(StudentsTable[AverageScore])-MIN(StudentsTable[AverageScore]))*100</f>
        <v>77.289377289377285</v>
      </c>
    </row>
    <row r="475" spans="1:15" x14ac:dyDescent="0.3">
      <c r="A475" t="s">
        <v>8</v>
      </c>
      <c r="B475" t="s">
        <v>21</v>
      </c>
      <c r="C475" t="s">
        <v>23</v>
      </c>
      <c r="D475" t="s">
        <v>11</v>
      </c>
      <c r="E475" t="s">
        <v>12</v>
      </c>
      <c r="F475">
        <v>59</v>
      </c>
      <c r="G475">
        <v>67</v>
      </c>
      <c r="H475">
        <v>61</v>
      </c>
      <c r="I475">
        <f>StudentsTable[[#This Row],[math score]]+StudentsTable[[#This Row],[reading score]]+StudentsTable[[#This Row],[writing score]]</f>
        <v>187</v>
      </c>
      <c r="J475">
        <f>StudentsTable[[#This Row],[TotalScore]]/3</f>
        <v>62.333333333333336</v>
      </c>
      <c r="K475" t="str" cm="1">
        <f t="array" ref="K475">_xlfn.IFS(StudentsTable[[#This Row],[AverageScore]]&gt;=90,"A",StudentsTable[[#This Row],[AverageScore]]&gt;=80,"B",StudentsTable[[#This Row],[AverageScore]]&gt;=70,"C",StudentsTable[[#This Row],[AverageScore]]&gt;=60,"D",TRUE,"F")</f>
        <v>D</v>
      </c>
      <c r="L475" t="str">
        <f>IF(StudentsTable[[#This Row],[AverageScore]]&gt;=60,"Pass","Fail")</f>
        <v>Pass</v>
      </c>
      <c r="M475" t="str" cm="1">
        <f t="array" ref="M475">_xlfn.IFS(StudentsTable[[#This Row],[AverageScore]]&gt;=85,"Advanced",StudentsTable[[#This Row],[AverageScore]]&gt;=70,"Intermediate",StudentsTable[[#This Row],[AverageScore]]&gt;=60,"Basic",TRUE,"Needs Help")</f>
        <v>Basic</v>
      </c>
      <c r="N475">
        <f>RANK(StudentsTable[[#This Row],[AverageScore]],StudentsTable[AverageScore])</f>
        <v>657</v>
      </c>
      <c r="O475">
        <f>(StudentsTable[[#This Row],[AverageScore]]-MIN(StudentsTable[AverageScore]))/(MAX(StudentsTable[AverageScore])-MIN(StudentsTable[AverageScore]))*100</f>
        <v>58.608058608058613</v>
      </c>
    </row>
    <row r="476" spans="1:15" x14ac:dyDescent="0.3">
      <c r="A476" t="s">
        <v>8</v>
      </c>
      <c r="B476" t="s">
        <v>9</v>
      </c>
      <c r="C476" t="s">
        <v>19</v>
      </c>
      <c r="D476" t="s">
        <v>11</v>
      </c>
      <c r="E476" t="s">
        <v>15</v>
      </c>
      <c r="F476">
        <v>90</v>
      </c>
      <c r="G476">
        <v>90</v>
      </c>
      <c r="H476">
        <v>91</v>
      </c>
      <c r="I476">
        <f>StudentsTable[[#This Row],[math score]]+StudentsTable[[#This Row],[reading score]]+StudentsTable[[#This Row],[writing score]]</f>
        <v>271</v>
      </c>
      <c r="J476">
        <f>StudentsTable[[#This Row],[TotalScore]]/3</f>
        <v>90.333333333333329</v>
      </c>
      <c r="K476" t="str" cm="1">
        <f t="array" ref="K476">_xlfn.IFS(StudentsTable[[#This Row],[AverageScore]]&gt;=90,"A",StudentsTable[[#This Row],[AverageScore]]&gt;=80,"B",StudentsTable[[#This Row],[AverageScore]]&gt;=70,"C",StudentsTable[[#This Row],[AverageScore]]&gt;=60,"D",TRUE,"F")</f>
        <v>A</v>
      </c>
      <c r="L476" t="str">
        <f>IF(StudentsTable[[#This Row],[AverageScore]]&gt;=60,"Pass","Fail")</f>
        <v>Pass</v>
      </c>
      <c r="M476" t="str" cm="1">
        <f t="array" ref="M476">_xlfn.IFS(StudentsTable[[#This Row],[AverageScore]]&gt;=85,"Advanced",StudentsTable[[#This Row],[AverageScore]]&gt;=70,"Intermediate",StudentsTable[[#This Row],[AverageScore]]&gt;=60,"Basic",TRUE,"Needs Help")</f>
        <v>Advanced</v>
      </c>
      <c r="N476">
        <f>RANK(StudentsTable[[#This Row],[AverageScore]],StudentsTable[AverageScore])</f>
        <v>48</v>
      </c>
      <c r="O476">
        <f>(StudentsTable[[#This Row],[AverageScore]]-MIN(StudentsTable[AverageScore]))/(MAX(StudentsTable[AverageScore])-MIN(StudentsTable[AverageScore]))*100</f>
        <v>89.377289377289372</v>
      </c>
    </row>
    <row r="477" spans="1:15" x14ac:dyDescent="0.3">
      <c r="A477" t="s">
        <v>8</v>
      </c>
      <c r="B477" t="s">
        <v>21</v>
      </c>
      <c r="C477" t="s">
        <v>10</v>
      </c>
      <c r="D477" t="s">
        <v>11</v>
      </c>
      <c r="E477" t="s">
        <v>15</v>
      </c>
      <c r="F477">
        <v>71</v>
      </c>
      <c r="G477">
        <v>76</v>
      </c>
      <c r="H477">
        <v>83</v>
      </c>
      <c r="I477">
        <f>StudentsTable[[#This Row],[math score]]+StudentsTable[[#This Row],[reading score]]+StudentsTable[[#This Row],[writing score]]</f>
        <v>230</v>
      </c>
      <c r="J477">
        <f>StudentsTable[[#This Row],[TotalScore]]/3</f>
        <v>76.666666666666671</v>
      </c>
      <c r="K477" t="str" cm="1">
        <f t="array" ref="K477">_xlfn.IFS(StudentsTable[[#This Row],[AverageScore]]&gt;=90,"A",StudentsTable[[#This Row],[AverageScore]]&gt;=80,"B",StudentsTable[[#This Row],[AverageScore]]&gt;=70,"C",StudentsTable[[#This Row],[AverageScore]]&gt;=60,"D",TRUE,"F")</f>
        <v>C</v>
      </c>
      <c r="L477" t="str">
        <f>IF(StudentsTable[[#This Row],[AverageScore]]&gt;=60,"Pass","Fail")</f>
        <v>Pass</v>
      </c>
      <c r="M477" t="str" cm="1">
        <f t="array" ref="M477">_xlfn.IFS(StudentsTable[[#This Row],[AverageScore]]&gt;=85,"Advanced",StudentsTable[[#This Row],[AverageScore]]&gt;=70,"Intermediate",StudentsTable[[#This Row],[AverageScore]]&gt;=60,"Basic",TRUE,"Needs Help")</f>
        <v>Intermediate</v>
      </c>
      <c r="N477">
        <f>RANK(StudentsTable[[#This Row],[AverageScore]],StudentsTable[AverageScore])</f>
        <v>277</v>
      </c>
      <c r="O477">
        <f>(StudentsTable[[#This Row],[AverageScore]]-MIN(StudentsTable[AverageScore]))/(MAX(StudentsTable[AverageScore])-MIN(StudentsTable[AverageScore]))*100</f>
        <v>74.358974358974365</v>
      </c>
    </row>
    <row r="478" spans="1:15" x14ac:dyDescent="0.3">
      <c r="A478" t="s">
        <v>17</v>
      </c>
      <c r="B478" t="s">
        <v>24</v>
      </c>
      <c r="C478" t="s">
        <v>10</v>
      </c>
      <c r="D478" t="s">
        <v>11</v>
      </c>
      <c r="E478" t="s">
        <v>15</v>
      </c>
      <c r="F478">
        <v>76</v>
      </c>
      <c r="G478">
        <v>62</v>
      </c>
      <c r="H478">
        <v>66</v>
      </c>
      <c r="I478">
        <f>StudentsTable[[#This Row],[math score]]+StudentsTable[[#This Row],[reading score]]+StudentsTable[[#This Row],[writing score]]</f>
        <v>204</v>
      </c>
      <c r="J478">
        <f>StudentsTable[[#This Row],[TotalScore]]/3</f>
        <v>68</v>
      </c>
      <c r="K478" t="str" cm="1">
        <f t="array" ref="K478">_xlfn.IFS(StudentsTable[[#This Row],[AverageScore]]&gt;=90,"A",StudentsTable[[#This Row],[AverageScore]]&gt;=80,"B",StudentsTable[[#This Row],[AverageScore]]&gt;=70,"C",StudentsTable[[#This Row],[AverageScore]]&gt;=60,"D",TRUE,"F")</f>
        <v>D</v>
      </c>
      <c r="L478" t="str">
        <f>IF(StudentsTable[[#This Row],[AverageScore]]&gt;=60,"Pass","Fail")</f>
        <v>Pass</v>
      </c>
      <c r="M478" t="str" cm="1">
        <f t="array" ref="M478">_xlfn.IFS(StudentsTable[[#This Row],[AverageScore]]&gt;=85,"Advanced",StudentsTable[[#This Row],[AverageScore]]&gt;=70,"Intermediate",StudentsTable[[#This Row],[AverageScore]]&gt;=60,"Basic",TRUE,"Needs Help")</f>
        <v>Basic</v>
      </c>
      <c r="N478">
        <f>RANK(StudentsTable[[#This Row],[AverageScore]],StudentsTable[AverageScore])</f>
        <v>512</v>
      </c>
      <c r="O478">
        <f>(StudentsTable[[#This Row],[AverageScore]]-MIN(StudentsTable[AverageScore]))/(MAX(StudentsTable[AverageScore])-MIN(StudentsTable[AverageScore]))*100</f>
        <v>64.835164835164832</v>
      </c>
    </row>
    <row r="479" spans="1:15" x14ac:dyDescent="0.3">
      <c r="A479" t="s">
        <v>17</v>
      </c>
      <c r="B479" t="s">
        <v>21</v>
      </c>
      <c r="C479" t="s">
        <v>19</v>
      </c>
      <c r="D479" t="s">
        <v>11</v>
      </c>
      <c r="E479" t="s">
        <v>12</v>
      </c>
      <c r="F479">
        <v>80</v>
      </c>
      <c r="G479">
        <v>68</v>
      </c>
      <c r="H479">
        <v>72</v>
      </c>
      <c r="I479">
        <f>StudentsTable[[#This Row],[math score]]+StudentsTable[[#This Row],[reading score]]+StudentsTable[[#This Row],[writing score]]</f>
        <v>220</v>
      </c>
      <c r="J479">
        <f>StudentsTable[[#This Row],[TotalScore]]/3</f>
        <v>73.333333333333329</v>
      </c>
      <c r="K479" t="str" cm="1">
        <f t="array" ref="K479">_xlfn.IFS(StudentsTable[[#This Row],[AverageScore]]&gt;=90,"A",StudentsTable[[#This Row],[AverageScore]]&gt;=80,"B",StudentsTable[[#This Row],[AverageScore]]&gt;=70,"C",StudentsTable[[#This Row],[AverageScore]]&gt;=60,"D",TRUE,"F")</f>
        <v>C</v>
      </c>
      <c r="L479" t="str">
        <f>IF(StudentsTable[[#This Row],[AverageScore]]&gt;=60,"Pass","Fail")</f>
        <v>Pass</v>
      </c>
      <c r="M479" t="str" cm="1">
        <f t="array" ref="M479">_xlfn.IFS(StudentsTable[[#This Row],[AverageScore]]&gt;=85,"Advanced",StudentsTable[[#This Row],[AverageScore]]&gt;=70,"Intermediate",StudentsTable[[#This Row],[AverageScore]]&gt;=60,"Basic",TRUE,"Needs Help")</f>
        <v>Intermediate</v>
      </c>
      <c r="N479">
        <f>RANK(StudentsTable[[#This Row],[AverageScore]],StudentsTable[AverageScore])</f>
        <v>356</v>
      </c>
      <c r="O479">
        <f>(StudentsTable[[#This Row],[AverageScore]]-MIN(StudentsTable[AverageScore]))/(MAX(StudentsTable[AverageScore])-MIN(StudentsTable[AverageScore]))*100</f>
        <v>70.695970695970686</v>
      </c>
    </row>
    <row r="480" spans="1:15" x14ac:dyDescent="0.3">
      <c r="A480" t="s">
        <v>8</v>
      </c>
      <c r="B480" t="s">
        <v>21</v>
      </c>
      <c r="C480" t="s">
        <v>16</v>
      </c>
      <c r="D480" t="s">
        <v>11</v>
      </c>
      <c r="E480" t="s">
        <v>12</v>
      </c>
      <c r="F480">
        <v>55</v>
      </c>
      <c r="G480">
        <v>64</v>
      </c>
      <c r="H480">
        <v>70</v>
      </c>
      <c r="I480">
        <f>StudentsTable[[#This Row],[math score]]+StudentsTable[[#This Row],[reading score]]+StudentsTable[[#This Row],[writing score]]</f>
        <v>189</v>
      </c>
      <c r="J480">
        <f>StudentsTable[[#This Row],[TotalScore]]/3</f>
        <v>63</v>
      </c>
      <c r="K480" t="str" cm="1">
        <f t="array" ref="K480">_xlfn.IFS(StudentsTable[[#This Row],[AverageScore]]&gt;=90,"A",StudentsTable[[#This Row],[AverageScore]]&gt;=80,"B",StudentsTable[[#This Row],[AverageScore]]&gt;=70,"C",StudentsTable[[#This Row],[AverageScore]]&gt;=60,"D",TRUE,"F")</f>
        <v>D</v>
      </c>
      <c r="L480" t="str">
        <f>IF(StudentsTable[[#This Row],[AverageScore]]&gt;=60,"Pass","Fail")</f>
        <v>Pass</v>
      </c>
      <c r="M480" t="str" cm="1">
        <f t="array" ref="M480">_xlfn.IFS(StudentsTable[[#This Row],[AverageScore]]&gt;=85,"Advanced",StudentsTable[[#This Row],[AverageScore]]&gt;=70,"Intermediate",StudentsTable[[#This Row],[AverageScore]]&gt;=60,"Basic",TRUE,"Needs Help")</f>
        <v>Basic</v>
      </c>
      <c r="N480">
        <f>RANK(StudentsTable[[#This Row],[AverageScore]],StudentsTable[AverageScore])</f>
        <v>646</v>
      </c>
      <c r="O480">
        <f>(StudentsTable[[#This Row],[AverageScore]]-MIN(StudentsTable[AverageScore]))/(MAX(StudentsTable[AverageScore])-MIN(StudentsTable[AverageScore]))*100</f>
        <v>59.340659340659343</v>
      </c>
    </row>
    <row r="481" spans="1:15" x14ac:dyDescent="0.3">
      <c r="A481" t="s">
        <v>17</v>
      </c>
      <c r="B481" t="s">
        <v>24</v>
      </c>
      <c r="C481" t="s">
        <v>19</v>
      </c>
      <c r="D481" t="s">
        <v>11</v>
      </c>
      <c r="E481" t="s">
        <v>12</v>
      </c>
      <c r="F481">
        <v>76</v>
      </c>
      <c r="G481">
        <v>71</v>
      </c>
      <c r="H481">
        <v>67</v>
      </c>
      <c r="I481">
        <f>StudentsTable[[#This Row],[math score]]+StudentsTable[[#This Row],[reading score]]+StudentsTable[[#This Row],[writing score]]</f>
        <v>214</v>
      </c>
      <c r="J481">
        <f>StudentsTable[[#This Row],[TotalScore]]/3</f>
        <v>71.333333333333329</v>
      </c>
      <c r="K481" t="str" cm="1">
        <f t="array" ref="K481">_xlfn.IFS(StudentsTable[[#This Row],[AverageScore]]&gt;=90,"A",StudentsTable[[#This Row],[AverageScore]]&gt;=80,"B",StudentsTable[[#This Row],[AverageScore]]&gt;=70,"C",StudentsTable[[#This Row],[AverageScore]]&gt;=60,"D",TRUE,"F")</f>
        <v>C</v>
      </c>
      <c r="L481" t="str">
        <f>IF(StudentsTable[[#This Row],[AverageScore]]&gt;=60,"Pass","Fail")</f>
        <v>Pass</v>
      </c>
      <c r="M481" t="str" cm="1">
        <f t="array" ref="M481">_xlfn.IFS(StudentsTable[[#This Row],[AverageScore]]&gt;=85,"Advanced",StudentsTable[[#This Row],[AverageScore]]&gt;=70,"Intermediate",StudentsTable[[#This Row],[AverageScore]]&gt;=60,"Basic",TRUE,"Needs Help")</f>
        <v>Intermediate</v>
      </c>
      <c r="N481">
        <f>RANK(StudentsTable[[#This Row],[AverageScore]],StudentsTable[AverageScore])</f>
        <v>412</v>
      </c>
      <c r="O481">
        <f>(StudentsTable[[#This Row],[AverageScore]]-MIN(StudentsTable[AverageScore]))/(MAX(StudentsTable[AverageScore])-MIN(StudentsTable[AverageScore]))*100</f>
        <v>68.498168498168482</v>
      </c>
    </row>
    <row r="482" spans="1:15" x14ac:dyDescent="0.3">
      <c r="A482" t="s">
        <v>17</v>
      </c>
      <c r="B482" t="s">
        <v>9</v>
      </c>
      <c r="C482" t="s">
        <v>22</v>
      </c>
      <c r="D482" t="s">
        <v>11</v>
      </c>
      <c r="E482" t="s">
        <v>15</v>
      </c>
      <c r="F482">
        <v>73</v>
      </c>
      <c r="G482">
        <v>71</v>
      </c>
      <c r="H482">
        <v>68</v>
      </c>
      <c r="I482">
        <f>StudentsTable[[#This Row],[math score]]+StudentsTable[[#This Row],[reading score]]+StudentsTable[[#This Row],[writing score]]</f>
        <v>212</v>
      </c>
      <c r="J482">
        <f>StudentsTable[[#This Row],[TotalScore]]/3</f>
        <v>70.666666666666671</v>
      </c>
      <c r="K482" t="str" cm="1">
        <f t="array" ref="K482">_xlfn.IFS(StudentsTable[[#This Row],[AverageScore]]&gt;=90,"A",StudentsTable[[#This Row],[AverageScore]]&gt;=80,"B",StudentsTable[[#This Row],[AverageScore]]&gt;=70,"C",StudentsTable[[#This Row],[AverageScore]]&gt;=60,"D",TRUE,"F")</f>
        <v>C</v>
      </c>
      <c r="L482" t="str">
        <f>IF(StudentsTable[[#This Row],[AverageScore]]&gt;=60,"Pass","Fail")</f>
        <v>Pass</v>
      </c>
      <c r="M482" t="str" cm="1">
        <f t="array" ref="M482">_xlfn.IFS(StudentsTable[[#This Row],[AverageScore]]&gt;=85,"Advanced",StudentsTable[[#This Row],[AverageScore]]&gt;=70,"Intermediate",StudentsTable[[#This Row],[AverageScore]]&gt;=60,"Basic",TRUE,"Needs Help")</f>
        <v>Intermediate</v>
      </c>
      <c r="N482">
        <f>RANK(StudentsTable[[#This Row],[AverageScore]],StudentsTable[AverageScore])</f>
        <v>435</v>
      </c>
      <c r="O482">
        <f>(StudentsTable[[#This Row],[AverageScore]]-MIN(StudentsTable[AverageScore]))/(MAX(StudentsTable[AverageScore])-MIN(StudentsTable[AverageScore]))*100</f>
        <v>67.765567765567766</v>
      </c>
    </row>
    <row r="483" spans="1:15" x14ac:dyDescent="0.3">
      <c r="A483" t="s">
        <v>8</v>
      </c>
      <c r="B483" t="s">
        <v>21</v>
      </c>
      <c r="C483" t="s">
        <v>19</v>
      </c>
      <c r="D483" t="s">
        <v>20</v>
      </c>
      <c r="E483" t="s">
        <v>12</v>
      </c>
      <c r="F483">
        <v>52</v>
      </c>
      <c r="G483">
        <v>59</v>
      </c>
      <c r="H483">
        <v>56</v>
      </c>
      <c r="I483">
        <f>StudentsTable[[#This Row],[math score]]+StudentsTable[[#This Row],[reading score]]+StudentsTable[[#This Row],[writing score]]</f>
        <v>167</v>
      </c>
      <c r="J483">
        <f>StudentsTable[[#This Row],[TotalScore]]/3</f>
        <v>55.666666666666664</v>
      </c>
      <c r="K483" t="str" cm="1">
        <f t="array" ref="K483">_xlfn.IFS(StudentsTable[[#This Row],[AverageScore]]&gt;=90,"A",StudentsTable[[#This Row],[AverageScore]]&gt;=80,"B",StudentsTable[[#This Row],[AverageScore]]&gt;=70,"C",StudentsTable[[#This Row],[AverageScore]]&gt;=60,"D",TRUE,"F")</f>
        <v>F</v>
      </c>
      <c r="L483" t="str">
        <f>IF(StudentsTable[[#This Row],[AverageScore]]&gt;=60,"Pass","Fail")</f>
        <v>Fail</v>
      </c>
      <c r="M483" t="str" cm="1">
        <f t="array" ref="M483">_xlfn.IFS(StudentsTable[[#This Row],[AverageScore]]&gt;=85,"Advanced",StudentsTable[[#This Row],[AverageScore]]&gt;=70,"Intermediate",StudentsTable[[#This Row],[AverageScore]]&gt;=60,"Basic",TRUE,"Needs Help")</f>
        <v>Needs Help</v>
      </c>
      <c r="N483">
        <f>RANK(StudentsTable[[#This Row],[AverageScore]],StudentsTable[AverageScore])</f>
        <v>796</v>
      </c>
      <c r="O483">
        <f>(StudentsTable[[#This Row],[AverageScore]]-MIN(StudentsTable[AverageScore]))/(MAX(StudentsTable[AverageScore])-MIN(StudentsTable[AverageScore]))*100</f>
        <v>51.282051282051277</v>
      </c>
    </row>
    <row r="484" spans="1:15" x14ac:dyDescent="0.3">
      <c r="A484" t="s">
        <v>17</v>
      </c>
      <c r="B484" t="s">
        <v>13</v>
      </c>
      <c r="C484" t="s">
        <v>14</v>
      </c>
      <c r="D484" t="s">
        <v>20</v>
      </c>
      <c r="E484" t="s">
        <v>12</v>
      </c>
      <c r="F484">
        <v>68</v>
      </c>
      <c r="G484">
        <v>68</v>
      </c>
      <c r="H484">
        <v>61</v>
      </c>
      <c r="I484">
        <f>StudentsTable[[#This Row],[math score]]+StudentsTable[[#This Row],[reading score]]+StudentsTable[[#This Row],[writing score]]</f>
        <v>197</v>
      </c>
      <c r="J484">
        <f>StudentsTable[[#This Row],[TotalScore]]/3</f>
        <v>65.666666666666671</v>
      </c>
      <c r="K484" t="str" cm="1">
        <f t="array" ref="K484">_xlfn.IFS(StudentsTable[[#This Row],[AverageScore]]&gt;=90,"A",StudentsTable[[#This Row],[AverageScore]]&gt;=80,"B",StudentsTable[[#This Row],[AverageScore]]&gt;=70,"C",StudentsTable[[#This Row],[AverageScore]]&gt;=60,"D",TRUE,"F")</f>
        <v>D</v>
      </c>
      <c r="L484" t="str">
        <f>IF(StudentsTable[[#This Row],[AverageScore]]&gt;=60,"Pass","Fail")</f>
        <v>Pass</v>
      </c>
      <c r="M484" t="str" cm="1">
        <f t="array" ref="M484">_xlfn.IFS(StudentsTable[[#This Row],[AverageScore]]&gt;=85,"Advanced",StudentsTable[[#This Row],[AverageScore]]&gt;=70,"Intermediate",StudentsTable[[#This Row],[AverageScore]]&gt;=60,"Basic",TRUE,"Needs Help")</f>
        <v>Basic</v>
      </c>
      <c r="N484">
        <f>RANK(StudentsTable[[#This Row],[AverageScore]],StudentsTable[AverageScore])</f>
        <v>576</v>
      </c>
      <c r="O484">
        <f>(StudentsTable[[#This Row],[AverageScore]]-MIN(StudentsTable[AverageScore]))/(MAX(StudentsTable[AverageScore])-MIN(StudentsTable[AverageScore]))*100</f>
        <v>62.27106227106227</v>
      </c>
    </row>
    <row r="485" spans="1:15" x14ac:dyDescent="0.3">
      <c r="A485" t="s">
        <v>17</v>
      </c>
      <c r="B485" t="s">
        <v>18</v>
      </c>
      <c r="C485" t="s">
        <v>22</v>
      </c>
      <c r="D485" t="s">
        <v>11</v>
      </c>
      <c r="E485" t="s">
        <v>12</v>
      </c>
      <c r="F485">
        <v>59</v>
      </c>
      <c r="G485">
        <v>52</v>
      </c>
      <c r="H485">
        <v>46</v>
      </c>
      <c r="I485">
        <f>StudentsTable[[#This Row],[math score]]+StudentsTable[[#This Row],[reading score]]+StudentsTable[[#This Row],[writing score]]</f>
        <v>157</v>
      </c>
      <c r="J485">
        <f>StudentsTable[[#This Row],[TotalScore]]/3</f>
        <v>52.333333333333336</v>
      </c>
      <c r="K485" t="str" cm="1">
        <f t="array" ref="K485">_xlfn.IFS(StudentsTable[[#This Row],[AverageScore]]&gt;=90,"A",StudentsTable[[#This Row],[AverageScore]]&gt;=80,"B",StudentsTable[[#This Row],[AverageScore]]&gt;=70,"C",StudentsTable[[#This Row],[AverageScore]]&gt;=60,"D",TRUE,"F")</f>
        <v>F</v>
      </c>
      <c r="L485" t="str">
        <f>IF(StudentsTable[[#This Row],[AverageScore]]&gt;=60,"Pass","Fail")</f>
        <v>Fail</v>
      </c>
      <c r="M485" t="str" cm="1">
        <f t="array" ref="M485">_xlfn.IFS(StudentsTable[[#This Row],[AverageScore]]&gt;=85,"Advanced",StudentsTable[[#This Row],[AverageScore]]&gt;=70,"Intermediate",StudentsTable[[#This Row],[AverageScore]]&gt;=60,"Basic",TRUE,"Needs Help")</f>
        <v>Needs Help</v>
      </c>
      <c r="N485">
        <f>RANK(StudentsTable[[#This Row],[AverageScore]],StudentsTable[AverageScore])</f>
        <v>850</v>
      </c>
      <c r="O485">
        <f>(StudentsTable[[#This Row],[AverageScore]]-MIN(StudentsTable[AverageScore]))/(MAX(StudentsTable[AverageScore])-MIN(StudentsTable[AverageScore]))*100</f>
        <v>47.61904761904762</v>
      </c>
    </row>
    <row r="486" spans="1:15" x14ac:dyDescent="0.3">
      <c r="A486" t="s">
        <v>8</v>
      </c>
      <c r="B486" t="s">
        <v>9</v>
      </c>
      <c r="C486" t="s">
        <v>19</v>
      </c>
      <c r="D486" t="s">
        <v>11</v>
      </c>
      <c r="E486" t="s">
        <v>12</v>
      </c>
      <c r="F486">
        <v>49</v>
      </c>
      <c r="G486">
        <v>52</v>
      </c>
      <c r="H486">
        <v>54</v>
      </c>
      <c r="I486">
        <f>StudentsTable[[#This Row],[math score]]+StudentsTable[[#This Row],[reading score]]+StudentsTable[[#This Row],[writing score]]</f>
        <v>155</v>
      </c>
      <c r="J486">
        <f>StudentsTable[[#This Row],[TotalScore]]/3</f>
        <v>51.666666666666664</v>
      </c>
      <c r="K486" t="str" cm="1">
        <f t="array" ref="K486">_xlfn.IFS(StudentsTable[[#This Row],[AverageScore]]&gt;=90,"A",StudentsTable[[#This Row],[AverageScore]]&gt;=80,"B",StudentsTable[[#This Row],[AverageScore]]&gt;=70,"C",StudentsTable[[#This Row],[AverageScore]]&gt;=60,"D",TRUE,"F")</f>
        <v>F</v>
      </c>
      <c r="L486" t="str">
        <f>IF(StudentsTable[[#This Row],[AverageScore]]&gt;=60,"Pass","Fail")</f>
        <v>Fail</v>
      </c>
      <c r="M486" t="str" cm="1">
        <f t="array" ref="M486">_xlfn.IFS(StudentsTable[[#This Row],[AverageScore]]&gt;=85,"Advanced",StudentsTable[[#This Row],[AverageScore]]&gt;=70,"Intermediate",StudentsTable[[#This Row],[AverageScore]]&gt;=60,"Basic",TRUE,"Needs Help")</f>
        <v>Needs Help</v>
      </c>
      <c r="N486">
        <f>RANK(StudentsTable[[#This Row],[AverageScore]],StudentsTable[AverageScore])</f>
        <v>860</v>
      </c>
      <c r="O486">
        <f>(StudentsTable[[#This Row],[AverageScore]]-MIN(StudentsTable[AverageScore]))/(MAX(StudentsTable[AverageScore])-MIN(StudentsTable[AverageScore]))*100</f>
        <v>46.886446886446883</v>
      </c>
    </row>
    <row r="487" spans="1:15" x14ac:dyDescent="0.3">
      <c r="A487" t="s">
        <v>17</v>
      </c>
      <c r="B487" t="s">
        <v>13</v>
      </c>
      <c r="C487" t="s">
        <v>22</v>
      </c>
      <c r="D487" t="s">
        <v>11</v>
      </c>
      <c r="E487" t="s">
        <v>12</v>
      </c>
      <c r="F487">
        <v>70</v>
      </c>
      <c r="G487">
        <v>74</v>
      </c>
      <c r="H487">
        <v>71</v>
      </c>
      <c r="I487">
        <f>StudentsTable[[#This Row],[math score]]+StudentsTable[[#This Row],[reading score]]+StudentsTable[[#This Row],[writing score]]</f>
        <v>215</v>
      </c>
      <c r="J487">
        <f>StudentsTable[[#This Row],[TotalScore]]/3</f>
        <v>71.666666666666671</v>
      </c>
      <c r="K487" t="str" cm="1">
        <f t="array" ref="K487">_xlfn.IFS(StudentsTable[[#This Row],[AverageScore]]&gt;=90,"A",StudentsTable[[#This Row],[AverageScore]]&gt;=80,"B",StudentsTable[[#This Row],[AverageScore]]&gt;=70,"C",StudentsTable[[#This Row],[AverageScore]]&gt;=60,"D",TRUE,"F")</f>
        <v>C</v>
      </c>
      <c r="L487" t="str">
        <f>IF(StudentsTable[[#This Row],[AverageScore]]&gt;=60,"Pass","Fail")</f>
        <v>Pass</v>
      </c>
      <c r="M487" t="str" cm="1">
        <f t="array" ref="M487">_xlfn.IFS(StudentsTable[[#This Row],[AverageScore]]&gt;=85,"Advanced",StudentsTable[[#This Row],[AverageScore]]&gt;=70,"Intermediate",StudentsTable[[#This Row],[AverageScore]]&gt;=60,"Basic",TRUE,"Needs Help")</f>
        <v>Intermediate</v>
      </c>
      <c r="N487">
        <f>RANK(StudentsTable[[#This Row],[AverageScore]],StudentsTable[AverageScore])</f>
        <v>404</v>
      </c>
      <c r="O487">
        <f>(StudentsTable[[#This Row],[AverageScore]]-MIN(StudentsTable[AverageScore]))/(MAX(StudentsTable[AverageScore])-MIN(StudentsTable[AverageScore]))*100</f>
        <v>68.864468864468876</v>
      </c>
    </row>
    <row r="488" spans="1:15" x14ac:dyDescent="0.3">
      <c r="A488" t="s">
        <v>17</v>
      </c>
      <c r="B488" t="s">
        <v>21</v>
      </c>
      <c r="C488" t="s">
        <v>14</v>
      </c>
      <c r="D488" t="s">
        <v>20</v>
      </c>
      <c r="E488" t="s">
        <v>12</v>
      </c>
      <c r="F488">
        <v>61</v>
      </c>
      <c r="G488">
        <v>47</v>
      </c>
      <c r="H488">
        <v>56</v>
      </c>
      <c r="I488">
        <f>StudentsTable[[#This Row],[math score]]+StudentsTable[[#This Row],[reading score]]+StudentsTable[[#This Row],[writing score]]</f>
        <v>164</v>
      </c>
      <c r="J488">
        <f>StudentsTable[[#This Row],[TotalScore]]/3</f>
        <v>54.666666666666664</v>
      </c>
      <c r="K488" t="str" cm="1">
        <f t="array" ref="K488">_xlfn.IFS(StudentsTable[[#This Row],[AverageScore]]&gt;=90,"A",StudentsTable[[#This Row],[AverageScore]]&gt;=80,"B",StudentsTable[[#This Row],[AverageScore]]&gt;=70,"C",StudentsTable[[#This Row],[AverageScore]]&gt;=60,"D",TRUE,"F")</f>
        <v>F</v>
      </c>
      <c r="L488" t="str">
        <f>IF(StudentsTable[[#This Row],[AverageScore]]&gt;=60,"Pass","Fail")</f>
        <v>Fail</v>
      </c>
      <c r="M488" t="str" cm="1">
        <f t="array" ref="M488">_xlfn.IFS(StudentsTable[[#This Row],[AverageScore]]&gt;=85,"Advanced",StudentsTable[[#This Row],[AverageScore]]&gt;=70,"Intermediate",StudentsTable[[#This Row],[AverageScore]]&gt;=60,"Basic",TRUE,"Needs Help")</f>
        <v>Needs Help</v>
      </c>
      <c r="N488">
        <f>RANK(StudentsTable[[#This Row],[AverageScore]],StudentsTable[AverageScore])</f>
        <v>810</v>
      </c>
      <c r="O488">
        <f>(StudentsTable[[#This Row],[AverageScore]]-MIN(StudentsTable[AverageScore]))/(MAX(StudentsTable[AverageScore])-MIN(StudentsTable[AverageScore]))*100</f>
        <v>50.183150183150182</v>
      </c>
    </row>
    <row r="489" spans="1:15" x14ac:dyDescent="0.3">
      <c r="A489" t="s">
        <v>8</v>
      </c>
      <c r="B489" t="s">
        <v>13</v>
      </c>
      <c r="C489" t="s">
        <v>19</v>
      </c>
      <c r="D489" t="s">
        <v>20</v>
      </c>
      <c r="E489" t="s">
        <v>12</v>
      </c>
      <c r="F489">
        <v>60</v>
      </c>
      <c r="G489">
        <v>75</v>
      </c>
      <c r="H489">
        <v>74</v>
      </c>
      <c r="I489">
        <f>StudentsTable[[#This Row],[math score]]+StudentsTable[[#This Row],[reading score]]+StudentsTable[[#This Row],[writing score]]</f>
        <v>209</v>
      </c>
      <c r="J489">
        <f>StudentsTable[[#This Row],[TotalScore]]/3</f>
        <v>69.666666666666671</v>
      </c>
      <c r="K489" t="str" cm="1">
        <f t="array" ref="K489">_xlfn.IFS(StudentsTable[[#This Row],[AverageScore]]&gt;=90,"A",StudentsTable[[#This Row],[AverageScore]]&gt;=80,"B",StudentsTable[[#This Row],[AverageScore]]&gt;=70,"C",StudentsTable[[#This Row],[AverageScore]]&gt;=60,"D",TRUE,"F")</f>
        <v>D</v>
      </c>
      <c r="L489" t="str">
        <f>IF(StudentsTable[[#This Row],[AverageScore]]&gt;=60,"Pass","Fail")</f>
        <v>Pass</v>
      </c>
      <c r="M489" t="str" cm="1">
        <f t="array" ref="M489">_xlfn.IFS(StudentsTable[[#This Row],[AverageScore]]&gt;=85,"Advanced",StudentsTable[[#This Row],[AverageScore]]&gt;=70,"Intermediate",StudentsTable[[#This Row],[AverageScore]]&gt;=60,"Basic",TRUE,"Needs Help")</f>
        <v>Basic</v>
      </c>
      <c r="N489">
        <f>RANK(StudentsTable[[#This Row],[AverageScore]],StudentsTable[AverageScore])</f>
        <v>460</v>
      </c>
      <c r="O489">
        <f>(StudentsTable[[#This Row],[AverageScore]]-MIN(StudentsTable[AverageScore]))/(MAX(StudentsTable[AverageScore])-MIN(StudentsTable[AverageScore]))*100</f>
        <v>66.666666666666671</v>
      </c>
    </row>
    <row r="490" spans="1:15" x14ac:dyDescent="0.3">
      <c r="A490" t="s">
        <v>17</v>
      </c>
      <c r="B490" t="s">
        <v>9</v>
      </c>
      <c r="C490" t="s">
        <v>23</v>
      </c>
      <c r="D490" t="s">
        <v>11</v>
      </c>
      <c r="E490" t="s">
        <v>15</v>
      </c>
      <c r="F490">
        <v>64</v>
      </c>
      <c r="G490">
        <v>53</v>
      </c>
      <c r="H490">
        <v>57</v>
      </c>
      <c r="I490">
        <f>StudentsTable[[#This Row],[math score]]+StudentsTable[[#This Row],[reading score]]+StudentsTable[[#This Row],[writing score]]</f>
        <v>174</v>
      </c>
      <c r="J490">
        <f>StudentsTable[[#This Row],[TotalScore]]/3</f>
        <v>58</v>
      </c>
      <c r="K490" t="str" cm="1">
        <f t="array" ref="K490">_xlfn.IFS(StudentsTable[[#This Row],[AverageScore]]&gt;=90,"A",StudentsTable[[#This Row],[AverageScore]]&gt;=80,"B",StudentsTable[[#This Row],[AverageScore]]&gt;=70,"C",StudentsTable[[#This Row],[AverageScore]]&gt;=60,"D",TRUE,"F")</f>
        <v>F</v>
      </c>
      <c r="L490" t="str">
        <f>IF(StudentsTable[[#This Row],[AverageScore]]&gt;=60,"Pass","Fail")</f>
        <v>Fail</v>
      </c>
      <c r="M490" t="str" cm="1">
        <f t="array" ref="M490">_xlfn.IFS(StudentsTable[[#This Row],[AverageScore]]&gt;=85,"Advanced",StudentsTable[[#This Row],[AverageScore]]&gt;=70,"Intermediate",StudentsTable[[#This Row],[AverageScore]]&gt;=60,"Basic",TRUE,"Needs Help")</f>
        <v>Needs Help</v>
      </c>
      <c r="N490">
        <f>RANK(StudentsTable[[#This Row],[AverageScore]],StudentsTable[AverageScore])</f>
        <v>754</v>
      </c>
      <c r="O490">
        <f>(StudentsTable[[#This Row],[AverageScore]]-MIN(StudentsTable[AverageScore]))/(MAX(StudentsTable[AverageScore])-MIN(StudentsTable[AverageScore]))*100</f>
        <v>53.846153846153847</v>
      </c>
    </row>
    <row r="491" spans="1:15" x14ac:dyDescent="0.3">
      <c r="A491" t="s">
        <v>17</v>
      </c>
      <c r="B491" t="s">
        <v>18</v>
      </c>
      <c r="C491" t="s">
        <v>19</v>
      </c>
      <c r="D491" t="s">
        <v>20</v>
      </c>
      <c r="E491" t="s">
        <v>15</v>
      </c>
      <c r="F491">
        <v>79</v>
      </c>
      <c r="G491">
        <v>82</v>
      </c>
      <c r="H491">
        <v>82</v>
      </c>
      <c r="I491">
        <f>StudentsTable[[#This Row],[math score]]+StudentsTable[[#This Row],[reading score]]+StudentsTable[[#This Row],[writing score]]</f>
        <v>243</v>
      </c>
      <c r="J491">
        <f>StudentsTable[[#This Row],[TotalScore]]/3</f>
        <v>81</v>
      </c>
      <c r="K491" t="str" cm="1">
        <f t="array" ref="K491">_xlfn.IFS(StudentsTable[[#This Row],[AverageScore]]&gt;=90,"A",StudentsTable[[#This Row],[AverageScore]]&gt;=80,"B",StudentsTable[[#This Row],[AverageScore]]&gt;=70,"C",StudentsTable[[#This Row],[AverageScore]]&gt;=60,"D",TRUE,"F")</f>
        <v>B</v>
      </c>
      <c r="L491" t="str">
        <f>IF(StudentsTable[[#This Row],[AverageScore]]&gt;=60,"Pass","Fail")</f>
        <v>Pass</v>
      </c>
      <c r="M491" t="str" cm="1">
        <f t="array" ref="M491">_xlfn.IFS(StudentsTable[[#This Row],[AverageScore]]&gt;=85,"Advanced",StudentsTable[[#This Row],[AverageScore]]&gt;=70,"Intermediate",StudentsTable[[#This Row],[AverageScore]]&gt;=60,"Basic",TRUE,"Needs Help")</f>
        <v>Intermediate</v>
      </c>
      <c r="N491">
        <f>RANK(StudentsTable[[#This Row],[AverageScore]],StudentsTable[AverageScore])</f>
        <v>178</v>
      </c>
      <c r="O491">
        <f>(StudentsTable[[#This Row],[AverageScore]]-MIN(StudentsTable[AverageScore]))/(MAX(StudentsTable[AverageScore])-MIN(StudentsTable[AverageScore]))*100</f>
        <v>79.120879120879124</v>
      </c>
    </row>
    <row r="492" spans="1:15" x14ac:dyDescent="0.3">
      <c r="A492" t="s">
        <v>8</v>
      </c>
      <c r="B492" t="s">
        <v>18</v>
      </c>
      <c r="C492" t="s">
        <v>19</v>
      </c>
      <c r="D492" t="s">
        <v>20</v>
      </c>
      <c r="E492" t="s">
        <v>12</v>
      </c>
      <c r="F492">
        <v>65</v>
      </c>
      <c r="G492">
        <v>85</v>
      </c>
      <c r="H492">
        <v>76</v>
      </c>
      <c r="I492">
        <f>StudentsTable[[#This Row],[math score]]+StudentsTable[[#This Row],[reading score]]+StudentsTable[[#This Row],[writing score]]</f>
        <v>226</v>
      </c>
      <c r="J492">
        <f>StudentsTable[[#This Row],[TotalScore]]/3</f>
        <v>75.333333333333329</v>
      </c>
      <c r="K492" t="str" cm="1">
        <f t="array" ref="K492">_xlfn.IFS(StudentsTable[[#This Row],[AverageScore]]&gt;=90,"A",StudentsTable[[#This Row],[AverageScore]]&gt;=80,"B",StudentsTable[[#This Row],[AverageScore]]&gt;=70,"C",StudentsTable[[#This Row],[AverageScore]]&gt;=60,"D",TRUE,"F")</f>
        <v>C</v>
      </c>
      <c r="L492" t="str">
        <f>IF(StudentsTable[[#This Row],[AverageScore]]&gt;=60,"Pass","Fail")</f>
        <v>Pass</v>
      </c>
      <c r="M492" t="str" cm="1">
        <f t="array" ref="M492">_xlfn.IFS(StudentsTable[[#This Row],[AverageScore]]&gt;=85,"Advanced",StudentsTable[[#This Row],[AverageScore]]&gt;=70,"Intermediate",StudentsTable[[#This Row],[AverageScore]]&gt;=60,"Basic",TRUE,"Needs Help")</f>
        <v>Intermediate</v>
      </c>
      <c r="N492">
        <f>RANK(StudentsTable[[#This Row],[AverageScore]],StudentsTable[AverageScore])</f>
        <v>307</v>
      </c>
      <c r="O492">
        <f>(StudentsTable[[#This Row],[AverageScore]]-MIN(StudentsTable[AverageScore]))/(MAX(StudentsTable[AverageScore])-MIN(StudentsTable[AverageScore]))*100</f>
        <v>72.893772893772891</v>
      </c>
    </row>
    <row r="493" spans="1:15" x14ac:dyDescent="0.3">
      <c r="A493" t="s">
        <v>8</v>
      </c>
      <c r="B493" t="s">
        <v>13</v>
      </c>
      <c r="C493" t="s">
        <v>19</v>
      </c>
      <c r="D493" t="s">
        <v>11</v>
      </c>
      <c r="E493" t="s">
        <v>12</v>
      </c>
      <c r="F493">
        <v>64</v>
      </c>
      <c r="G493">
        <v>64</v>
      </c>
      <c r="H493">
        <v>70</v>
      </c>
      <c r="I493">
        <f>StudentsTable[[#This Row],[math score]]+StudentsTable[[#This Row],[reading score]]+StudentsTable[[#This Row],[writing score]]</f>
        <v>198</v>
      </c>
      <c r="J493">
        <f>StudentsTable[[#This Row],[TotalScore]]/3</f>
        <v>66</v>
      </c>
      <c r="K493" t="str" cm="1">
        <f t="array" ref="K493">_xlfn.IFS(StudentsTable[[#This Row],[AverageScore]]&gt;=90,"A",StudentsTable[[#This Row],[AverageScore]]&gt;=80,"B",StudentsTable[[#This Row],[AverageScore]]&gt;=70,"C",StudentsTable[[#This Row],[AverageScore]]&gt;=60,"D",TRUE,"F")</f>
        <v>D</v>
      </c>
      <c r="L493" t="str">
        <f>IF(StudentsTable[[#This Row],[AverageScore]]&gt;=60,"Pass","Fail")</f>
        <v>Pass</v>
      </c>
      <c r="M493" t="str" cm="1">
        <f t="array" ref="M493">_xlfn.IFS(StudentsTable[[#This Row],[AverageScore]]&gt;=85,"Advanced",StudentsTable[[#This Row],[AverageScore]]&gt;=70,"Intermediate",StudentsTable[[#This Row],[AverageScore]]&gt;=60,"Basic",TRUE,"Needs Help")</f>
        <v>Basic</v>
      </c>
      <c r="N493">
        <f>RANK(StudentsTable[[#This Row],[AverageScore]],StudentsTable[AverageScore])</f>
        <v>562</v>
      </c>
      <c r="O493">
        <f>(StudentsTable[[#This Row],[AverageScore]]-MIN(StudentsTable[AverageScore]))/(MAX(StudentsTable[AverageScore])-MIN(StudentsTable[AverageScore]))*100</f>
        <v>62.637362637362635</v>
      </c>
    </row>
    <row r="494" spans="1:15" x14ac:dyDescent="0.3">
      <c r="A494" t="s">
        <v>8</v>
      </c>
      <c r="B494" t="s">
        <v>13</v>
      </c>
      <c r="C494" t="s">
        <v>14</v>
      </c>
      <c r="D494" t="s">
        <v>11</v>
      </c>
      <c r="E494" t="s">
        <v>12</v>
      </c>
      <c r="F494">
        <v>83</v>
      </c>
      <c r="G494">
        <v>83</v>
      </c>
      <c r="H494">
        <v>90</v>
      </c>
      <c r="I494">
        <f>StudentsTable[[#This Row],[math score]]+StudentsTable[[#This Row],[reading score]]+StudentsTable[[#This Row],[writing score]]</f>
        <v>256</v>
      </c>
      <c r="J494">
        <f>StudentsTable[[#This Row],[TotalScore]]/3</f>
        <v>85.333333333333329</v>
      </c>
      <c r="K494" t="str" cm="1">
        <f t="array" ref="K494">_xlfn.IFS(StudentsTable[[#This Row],[AverageScore]]&gt;=90,"A",StudentsTable[[#This Row],[AverageScore]]&gt;=80,"B",StudentsTable[[#This Row],[AverageScore]]&gt;=70,"C",StudentsTable[[#This Row],[AverageScore]]&gt;=60,"D",TRUE,"F")</f>
        <v>B</v>
      </c>
      <c r="L494" t="str">
        <f>IF(StudentsTable[[#This Row],[AverageScore]]&gt;=60,"Pass","Fail")</f>
        <v>Pass</v>
      </c>
      <c r="M494" t="str" cm="1">
        <f t="array" ref="M494">_xlfn.IFS(StudentsTable[[#This Row],[AverageScore]]&gt;=85,"Advanced",StudentsTable[[#This Row],[AverageScore]]&gt;=70,"Intermediate",StudentsTable[[#This Row],[AverageScore]]&gt;=60,"Basic",TRUE,"Needs Help")</f>
        <v>Advanced</v>
      </c>
      <c r="N494">
        <f>RANK(StudentsTable[[#This Row],[AverageScore]],StudentsTable[AverageScore])</f>
        <v>109</v>
      </c>
      <c r="O494">
        <f>(StudentsTable[[#This Row],[AverageScore]]-MIN(StudentsTable[AverageScore]))/(MAX(StudentsTable[AverageScore])-MIN(StudentsTable[AverageScore]))*100</f>
        <v>83.882783882783869</v>
      </c>
    </row>
    <row r="495" spans="1:15" x14ac:dyDescent="0.3">
      <c r="A495" t="s">
        <v>8</v>
      </c>
      <c r="B495" t="s">
        <v>13</v>
      </c>
      <c r="C495" t="s">
        <v>10</v>
      </c>
      <c r="D495" t="s">
        <v>11</v>
      </c>
      <c r="E495" t="s">
        <v>12</v>
      </c>
      <c r="F495">
        <v>81</v>
      </c>
      <c r="G495">
        <v>88</v>
      </c>
      <c r="H495">
        <v>90</v>
      </c>
      <c r="I495">
        <f>StudentsTable[[#This Row],[math score]]+StudentsTable[[#This Row],[reading score]]+StudentsTable[[#This Row],[writing score]]</f>
        <v>259</v>
      </c>
      <c r="J495">
        <f>StudentsTable[[#This Row],[TotalScore]]/3</f>
        <v>86.333333333333329</v>
      </c>
      <c r="K495" t="str" cm="1">
        <f t="array" ref="K495">_xlfn.IFS(StudentsTable[[#This Row],[AverageScore]]&gt;=90,"A",StudentsTable[[#This Row],[AverageScore]]&gt;=80,"B",StudentsTable[[#This Row],[AverageScore]]&gt;=70,"C",StudentsTable[[#This Row],[AverageScore]]&gt;=60,"D",TRUE,"F")</f>
        <v>B</v>
      </c>
      <c r="L495" t="str">
        <f>IF(StudentsTable[[#This Row],[AverageScore]]&gt;=60,"Pass","Fail")</f>
        <v>Pass</v>
      </c>
      <c r="M495" t="str" cm="1">
        <f t="array" ref="M495">_xlfn.IFS(StudentsTable[[#This Row],[AverageScore]]&gt;=85,"Advanced",StudentsTable[[#This Row],[AverageScore]]&gt;=70,"Intermediate",StudentsTable[[#This Row],[AverageScore]]&gt;=60,"Basic",TRUE,"Needs Help")</f>
        <v>Advanced</v>
      </c>
      <c r="N495">
        <f>RANK(StudentsTable[[#This Row],[AverageScore]],StudentsTable[AverageScore])</f>
        <v>93</v>
      </c>
      <c r="O495">
        <f>(StudentsTable[[#This Row],[AverageScore]]-MIN(StudentsTable[AverageScore]))/(MAX(StudentsTable[AverageScore])-MIN(StudentsTable[AverageScore]))*100</f>
        <v>84.981684981684978</v>
      </c>
    </row>
    <row r="496" spans="1:15" x14ac:dyDescent="0.3">
      <c r="A496" t="s">
        <v>8</v>
      </c>
      <c r="B496" t="s">
        <v>9</v>
      </c>
      <c r="C496" t="s">
        <v>22</v>
      </c>
      <c r="D496" t="s">
        <v>11</v>
      </c>
      <c r="E496" t="s">
        <v>12</v>
      </c>
      <c r="F496">
        <v>54</v>
      </c>
      <c r="G496">
        <v>64</v>
      </c>
      <c r="H496">
        <v>68</v>
      </c>
      <c r="I496">
        <f>StudentsTable[[#This Row],[math score]]+StudentsTable[[#This Row],[reading score]]+StudentsTable[[#This Row],[writing score]]</f>
        <v>186</v>
      </c>
      <c r="J496">
        <f>StudentsTable[[#This Row],[TotalScore]]/3</f>
        <v>62</v>
      </c>
      <c r="K496" t="str" cm="1">
        <f t="array" ref="K496">_xlfn.IFS(StudentsTable[[#This Row],[AverageScore]]&gt;=90,"A",StudentsTable[[#This Row],[AverageScore]]&gt;=80,"B",StudentsTable[[#This Row],[AverageScore]]&gt;=70,"C",StudentsTable[[#This Row],[AverageScore]]&gt;=60,"D",TRUE,"F")</f>
        <v>D</v>
      </c>
      <c r="L496" t="str">
        <f>IF(StudentsTable[[#This Row],[AverageScore]]&gt;=60,"Pass","Fail")</f>
        <v>Pass</v>
      </c>
      <c r="M496" t="str" cm="1">
        <f t="array" ref="M496">_xlfn.IFS(StudentsTable[[#This Row],[AverageScore]]&gt;=85,"Advanced",StudentsTable[[#This Row],[AverageScore]]&gt;=70,"Intermediate",StudentsTable[[#This Row],[AverageScore]]&gt;=60,"Basic",TRUE,"Needs Help")</f>
        <v>Basic</v>
      </c>
      <c r="N496">
        <f>RANK(StudentsTable[[#This Row],[AverageScore]],StudentsTable[AverageScore])</f>
        <v>665</v>
      </c>
      <c r="O496">
        <f>(StudentsTable[[#This Row],[AverageScore]]-MIN(StudentsTable[AverageScore]))/(MAX(StudentsTable[AverageScore])-MIN(StudentsTable[AverageScore]))*100</f>
        <v>58.241758241758248</v>
      </c>
    </row>
    <row r="497" spans="1:15" x14ac:dyDescent="0.3">
      <c r="A497" t="s">
        <v>17</v>
      </c>
      <c r="B497" t="s">
        <v>21</v>
      </c>
      <c r="C497" t="s">
        <v>22</v>
      </c>
      <c r="D497" t="s">
        <v>11</v>
      </c>
      <c r="E497" t="s">
        <v>15</v>
      </c>
      <c r="F497">
        <v>68</v>
      </c>
      <c r="G497">
        <v>64</v>
      </c>
      <c r="H497">
        <v>66</v>
      </c>
      <c r="I497">
        <f>StudentsTable[[#This Row],[math score]]+StudentsTable[[#This Row],[reading score]]+StudentsTable[[#This Row],[writing score]]</f>
        <v>198</v>
      </c>
      <c r="J497">
        <f>StudentsTable[[#This Row],[TotalScore]]/3</f>
        <v>66</v>
      </c>
      <c r="K497" t="str" cm="1">
        <f t="array" ref="K497">_xlfn.IFS(StudentsTable[[#This Row],[AverageScore]]&gt;=90,"A",StudentsTable[[#This Row],[AverageScore]]&gt;=80,"B",StudentsTable[[#This Row],[AverageScore]]&gt;=70,"C",StudentsTable[[#This Row],[AverageScore]]&gt;=60,"D",TRUE,"F")</f>
        <v>D</v>
      </c>
      <c r="L497" t="str">
        <f>IF(StudentsTable[[#This Row],[AverageScore]]&gt;=60,"Pass","Fail")</f>
        <v>Pass</v>
      </c>
      <c r="M497" t="str" cm="1">
        <f t="array" ref="M497">_xlfn.IFS(StudentsTable[[#This Row],[AverageScore]]&gt;=85,"Advanced",StudentsTable[[#This Row],[AverageScore]]&gt;=70,"Intermediate",StudentsTable[[#This Row],[AverageScore]]&gt;=60,"Basic",TRUE,"Needs Help")</f>
        <v>Basic</v>
      </c>
      <c r="N497">
        <f>RANK(StudentsTable[[#This Row],[AverageScore]],StudentsTable[AverageScore])</f>
        <v>562</v>
      </c>
      <c r="O497">
        <f>(StudentsTable[[#This Row],[AverageScore]]-MIN(StudentsTable[AverageScore]))/(MAX(StudentsTable[AverageScore])-MIN(StudentsTable[AverageScore]))*100</f>
        <v>62.637362637362635</v>
      </c>
    </row>
    <row r="498" spans="1:15" x14ac:dyDescent="0.3">
      <c r="A498" t="s">
        <v>8</v>
      </c>
      <c r="B498" t="s">
        <v>13</v>
      </c>
      <c r="C498" t="s">
        <v>14</v>
      </c>
      <c r="D498" t="s">
        <v>11</v>
      </c>
      <c r="E498" t="s">
        <v>12</v>
      </c>
      <c r="F498">
        <v>54</v>
      </c>
      <c r="G498">
        <v>48</v>
      </c>
      <c r="H498">
        <v>52</v>
      </c>
      <c r="I498">
        <f>StudentsTable[[#This Row],[math score]]+StudentsTable[[#This Row],[reading score]]+StudentsTable[[#This Row],[writing score]]</f>
        <v>154</v>
      </c>
      <c r="J498">
        <f>StudentsTable[[#This Row],[TotalScore]]/3</f>
        <v>51.333333333333336</v>
      </c>
      <c r="K498" t="str" cm="1">
        <f t="array" ref="K498">_xlfn.IFS(StudentsTable[[#This Row],[AverageScore]]&gt;=90,"A",StudentsTable[[#This Row],[AverageScore]]&gt;=80,"B",StudentsTable[[#This Row],[AverageScore]]&gt;=70,"C",StudentsTable[[#This Row],[AverageScore]]&gt;=60,"D",TRUE,"F")</f>
        <v>F</v>
      </c>
      <c r="L498" t="str">
        <f>IF(StudentsTable[[#This Row],[AverageScore]]&gt;=60,"Pass","Fail")</f>
        <v>Fail</v>
      </c>
      <c r="M498" t="str" cm="1">
        <f t="array" ref="M498">_xlfn.IFS(StudentsTable[[#This Row],[AverageScore]]&gt;=85,"Advanced",StudentsTable[[#This Row],[AverageScore]]&gt;=70,"Intermediate",StudentsTable[[#This Row],[AverageScore]]&gt;=60,"Basic",TRUE,"Needs Help")</f>
        <v>Needs Help</v>
      </c>
      <c r="N498">
        <f>RANK(StudentsTable[[#This Row],[AverageScore]],StudentsTable[AverageScore])</f>
        <v>870</v>
      </c>
      <c r="O498">
        <f>(StudentsTable[[#This Row],[AverageScore]]-MIN(StudentsTable[AverageScore]))/(MAX(StudentsTable[AverageScore])-MIN(StudentsTable[AverageScore]))*100</f>
        <v>46.520146520146518</v>
      </c>
    </row>
    <row r="499" spans="1:15" x14ac:dyDescent="0.3">
      <c r="A499" t="s">
        <v>8</v>
      </c>
      <c r="B499" t="s">
        <v>21</v>
      </c>
      <c r="C499" t="s">
        <v>14</v>
      </c>
      <c r="D499" t="s">
        <v>20</v>
      </c>
      <c r="E499" t="s">
        <v>15</v>
      </c>
      <c r="F499">
        <v>59</v>
      </c>
      <c r="G499">
        <v>78</v>
      </c>
      <c r="H499">
        <v>76</v>
      </c>
      <c r="I499">
        <f>StudentsTable[[#This Row],[math score]]+StudentsTable[[#This Row],[reading score]]+StudentsTable[[#This Row],[writing score]]</f>
        <v>213</v>
      </c>
      <c r="J499">
        <f>StudentsTable[[#This Row],[TotalScore]]/3</f>
        <v>71</v>
      </c>
      <c r="K499" t="str" cm="1">
        <f t="array" ref="K499">_xlfn.IFS(StudentsTable[[#This Row],[AverageScore]]&gt;=90,"A",StudentsTable[[#This Row],[AverageScore]]&gt;=80,"B",StudentsTable[[#This Row],[AverageScore]]&gt;=70,"C",StudentsTable[[#This Row],[AverageScore]]&gt;=60,"D",TRUE,"F")</f>
        <v>C</v>
      </c>
      <c r="L499" t="str">
        <f>IF(StudentsTable[[#This Row],[AverageScore]]&gt;=60,"Pass","Fail")</f>
        <v>Pass</v>
      </c>
      <c r="M499" t="str" cm="1">
        <f t="array" ref="M499">_xlfn.IFS(StudentsTable[[#This Row],[AverageScore]]&gt;=85,"Advanced",StudentsTable[[#This Row],[AverageScore]]&gt;=70,"Intermediate",StudentsTable[[#This Row],[AverageScore]]&gt;=60,"Basic",TRUE,"Needs Help")</f>
        <v>Intermediate</v>
      </c>
      <c r="N499">
        <f>RANK(StudentsTable[[#This Row],[AverageScore]],StudentsTable[AverageScore])</f>
        <v>424</v>
      </c>
      <c r="O499">
        <f>(StudentsTable[[#This Row],[AverageScore]]-MIN(StudentsTable[AverageScore]))/(MAX(StudentsTable[AverageScore])-MIN(StudentsTable[AverageScore]))*100</f>
        <v>68.131868131868131</v>
      </c>
    </row>
    <row r="500" spans="1:15" x14ac:dyDescent="0.3">
      <c r="A500" t="s">
        <v>8</v>
      </c>
      <c r="B500" t="s">
        <v>9</v>
      </c>
      <c r="C500" t="s">
        <v>23</v>
      </c>
      <c r="D500" t="s">
        <v>11</v>
      </c>
      <c r="E500" t="s">
        <v>12</v>
      </c>
      <c r="F500">
        <v>66</v>
      </c>
      <c r="G500">
        <v>69</v>
      </c>
      <c r="H500">
        <v>68</v>
      </c>
      <c r="I500">
        <f>StudentsTable[[#This Row],[math score]]+StudentsTable[[#This Row],[reading score]]+StudentsTable[[#This Row],[writing score]]</f>
        <v>203</v>
      </c>
      <c r="J500">
        <f>StudentsTable[[#This Row],[TotalScore]]/3</f>
        <v>67.666666666666671</v>
      </c>
      <c r="K500" t="str" cm="1">
        <f t="array" ref="K500">_xlfn.IFS(StudentsTable[[#This Row],[AverageScore]]&gt;=90,"A",StudentsTable[[#This Row],[AverageScore]]&gt;=80,"B",StudentsTable[[#This Row],[AverageScore]]&gt;=70,"C",StudentsTable[[#This Row],[AverageScore]]&gt;=60,"D",TRUE,"F")</f>
        <v>D</v>
      </c>
      <c r="L500" t="str">
        <f>IF(StudentsTable[[#This Row],[AverageScore]]&gt;=60,"Pass","Fail")</f>
        <v>Pass</v>
      </c>
      <c r="M500" t="str" cm="1">
        <f t="array" ref="M500">_xlfn.IFS(StudentsTable[[#This Row],[AverageScore]]&gt;=85,"Advanced",StudentsTable[[#This Row],[AverageScore]]&gt;=70,"Intermediate",StudentsTable[[#This Row],[AverageScore]]&gt;=60,"Basic",TRUE,"Needs Help")</f>
        <v>Basic</v>
      </c>
      <c r="N500">
        <f>RANK(StudentsTable[[#This Row],[AverageScore]],StudentsTable[AverageScore])</f>
        <v>527</v>
      </c>
      <c r="O500">
        <f>(StudentsTable[[#This Row],[AverageScore]]-MIN(StudentsTable[AverageScore]))/(MAX(StudentsTable[AverageScore])-MIN(StudentsTable[AverageScore]))*100</f>
        <v>64.468864468864467</v>
      </c>
    </row>
    <row r="501" spans="1:15" x14ac:dyDescent="0.3">
      <c r="A501" t="s">
        <v>17</v>
      </c>
      <c r="B501" t="s">
        <v>24</v>
      </c>
      <c r="C501" t="s">
        <v>14</v>
      </c>
      <c r="D501" t="s">
        <v>11</v>
      </c>
      <c r="E501" t="s">
        <v>12</v>
      </c>
      <c r="F501">
        <v>76</v>
      </c>
      <c r="G501">
        <v>71</v>
      </c>
      <c r="H501">
        <v>72</v>
      </c>
      <c r="I501">
        <f>StudentsTable[[#This Row],[math score]]+StudentsTable[[#This Row],[reading score]]+StudentsTable[[#This Row],[writing score]]</f>
        <v>219</v>
      </c>
      <c r="J501">
        <f>StudentsTable[[#This Row],[TotalScore]]/3</f>
        <v>73</v>
      </c>
      <c r="K501" t="str" cm="1">
        <f t="array" ref="K501">_xlfn.IFS(StudentsTable[[#This Row],[AverageScore]]&gt;=90,"A",StudentsTable[[#This Row],[AverageScore]]&gt;=80,"B",StudentsTable[[#This Row],[AverageScore]]&gt;=70,"C",StudentsTable[[#This Row],[AverageScore]]&gt;=60,"D",TRUE,"F")</f>
        <v>C</v>
      </c>
      <c r="L501" t="str">
        <f>IF(StudentsTable[[#This Row],[AverageScore]]&gt;=60,"Pass","Fail")</f>
        <v>Pass</v>
      </c>
      <c r="M501" t="str" cm="1">
        <f t="array" ref="M501">_xlfn.IFS(StudentsTable[[#This Row],[AverageScore]]&gt;=85,"Advanced",StudentsTable[[#This Row],[AverageScore]]&gt;=70,"Intermediate",StudentsTable[[#This Row],[AverageScore]]&gt;=60,"Basic",TRUE,"Needs Help")</f>
        <v>Intermediate</v>
      </c>
      <c r="N501">
        <f>RANK(StudentsTable[[#This Row],[AverageScore]],StudentsTable[AverageScore])</f>
        <v>367</v>
      </c>
      <c r="O501">
        <f>(StudentsTable[[#This Row],[AverageScore]]-MIN(StudentsTable[AverageScore]))/(MAX(StudentsTable[AverageScore])-MIN(StudentsTable[AverageScore]))*100</f>
        <v>70.329670329670336</v>
      </c>
    </row>
    <row r="502" spans="1:15" x14ac:dyDescent="0.3">
      <c r="A502" t="s">
        <v>8</v>
      </c>
      <c r="B502" t="s">
        <v>21</v>
      </c>
      <c r="C502" t="s">
        <v>16</v>
      </c>
      <c r="D502" t="s">
        <v>11</v>
      </c>
      <c r="E502" t="s">
        <v>12</v>
      </c>
      <c r="F502">
        <v>74</v>
      </c>
      <c r="G502">
        <v>79</v>
      </c>
      <c r="H502">
        <v>82</v>
      </c>
      <c r="I502">
        <f>StudentsTable[[#This Row],[math score]]+StudentsTable[[#This Row],[reading score]]+StudentsTable[[#This Row],[writing score]]</f>
        <v>235</v>
      </c>
      <c r="J502">
        <f>StudentsTable[[#This Row],[TotalScore]]/3</f>
        <v>78.333333333333329</v>
      </c>
      <c r="K502" t="str" cm="1">
        <f t="array" ref="K502">_xlfn.IFS(StudentsTable[[#This Row],[AverageScore]]&gt;=90,"A",StudentsTable[[#This Row],[AverageScore]]&gt;=80,"B",StudentsTable[[#This Row],[AverageScore]]&gt;=70,"C",StudentsTable[[#This Row],[AverageScore]]&gt;=60,"D",TRUE,"F")</f>
        <v>C</v>
      </c>
      <c r="L502" t="str">
        <f>IF(StudentsTable[[#This Row],[AverageScore]]&gt;=60,"Pass","Fail")</f>
        <v>Pass</v>
      </c>
      <c r="M502" t="str" cm="1">
        <f t="array" ref="M502">_xlfn.IFS(StudentsTable[[#This Row],[AverageScore]]&gt;=85,"Advanced",StudentsTable[[#This Row],[AverageScore]]&gt;=70,"Intermediate",StudentsTable[[#This Row],[AverageScore]]&gt;=60,"Basic",TRUE,"Needs Help")</f>
        <v>Intermediate</v>
      </c>
      <c r="N502">
        <f>RANK(StudentsTable[[#This Row],[AverageScore]],StudentsTable[AverageScore])</f>
        <v>231</v>
      </c>
      <c r="O502">
        <f>(StudentsTable[[#This Row],[AverageScore]]-MIN(StudentsTable[AverageScore]))/(MAX(StudentsTable[AverageScore])-MIN(StudentsTable[AverageScore]))*100</f>
        <v>76.19047619047619</v>
      </c>
    </row>
    <row r="503" spans="1:15" x14ac:dyDescent="0.3">
      <c r="A503" t="s">
        <v>8</v>
      </c>
      <c r="B503" t="s">
        <v>9</v>
      </c>
      <c r="C503" t="s">
        <v>19</v>
      </c>
      <c r="D503" t="s">
        <v>11</v>
      </c>
      <c r="E503" t="s">
        <v>15</v>
      </c>
      <c r="F503">
        <v>94</v>
      </c>
      <c r="G503">
        <v>87</v>
      </c>
      <c r="H503">
        <v>92</v>
      </c>
      <c r="I503">
        <f>StudentsTable[[#This Row],[math score]]+StudentsTable[[#This Row],[reading score]]+StudentsTable[[#This Row],[writing score]]</f>
        <v>273</v>
      </c>
      <c r="J503">
        <f>StudentsTable[[#This Row],[TotalScore]]/3</f>
        <v>91</v>
      </c>
      <c r="K503" t="str" cm="1">
        <f t="array" ref="K503">_xlfn.IFS(StudentsTable[[#This Row],[AverageScore]]&gt;=90,"A",StudentsTable[[#This Row],[AverageScore]]&gt;=80,"B",StudentsTable[[#This Row],[AverageScore]]&gt;=70,"C",StudentsTable[[#This Row],[AverageScore]]&gt;=60,"D",TRUE,"F")</f>
        <v>A</v>
      </c>
      <c r="L503" t="str">
        <f>IF(StudentsTable[[#This Row],[AverageScore]]&gt;=60,"Pass","Fail")</f>
        <v>Pass</v>
      </c>
      <c r="M503" t="str" cm="1">
        <f t="array" ref="M503">_xlfn.IFS(StudentsTable[[#This Row],[AverageScore]]&gt;=85,"Advanced",StudentsTable[[#This Row],[AverageScore]]&gt;=70,"Intermediate",StudentsTable[[#This Row],[AverageScore]]&gt;=60,"Basic",TRUE,"Needs Help")</f>
        <v>Advanced</v>
      </c>
      <c r="N503">
        <f>RANK(StudentsTable[[#This Row],[AverageScore]],StudentsTable[AverageScore])</f>
        <v>46</v>
      </c>
      <c r="O503">
        <f>(StudentsTable[[#This Row],[AverageScore]]-MIN(StudentsTable[AverageScore]))/(MAX(StudentsTable[AverageScore])-MIN(StudentsTable[AverageScore]))*100</f>
        <v>90.109890109890117</v>
      </c>
    </row>
    <row r="504" spans="1:15" x14ac:dyDescent="0.3">
      <c r="A504" t="s">
        <v>17</v>
      </c>
      <c r="B504" t="s">
        <v>13</v>
      </c>
      <c r="C504" t="s">
        <v>14</v>
      </c>
      <c r="D504" t="s">
        <v>20</v>
      </c>
      <c r="E504" t="s">
        <v>12</v>
      </c>
      <c r="F504">
        <v>63</v>
      </c>
      <c r="G504">
        <v>61</v>
      </c>
      <c r="H504">
        <v>54</v>
      </c>
      <c r="I504">
        <f>StudentsTable[[#This Row],[math score]]+StudentsTable[[#This Row],[reading score]]+StudentsTable[[#This Row],[writing score]]</f>
        <v>178</v>
      </c>
      <c r="J504">
        <f>StudentsTable[[#This Row],[TotalScore]]/3</f>
        <v>59.333333333333336</v>
      </c>
      <c r="K504" t="str" cm="1">
        <f t="array" ref="K504">_xlfn.IFS(StudentsTable[[#This Row],[AverageScore]]&gt;=90,"A",StudentsTable[[#This Row],[AverageScore]]&gt;=80,"B",StudentsTable[[#This Row],[AverageScore]]&gt;=70,"C",StudentsTable[[#This Row],[AverageScore]]&gt;=60,"D",TRUE,"F")</f>
        <v>F</v>
      </c>
      <c r="L504" t="str">
        <f>IF(StudentsTable[[#This Row],[AverageScore]]&gt;=60,"Pass","Fail")</f>
        <v>Fail</v>
      </c>
      <c r="M504" t="str" cm="1">
        <f t="array" ref="M504">_xlfn.IFS(StudentsTable[[#This Row],[AverageScore]]&gt;=85,"Advanced",StudentsTable[[#This Row],[AverageScore]]&gt;=70,"Intermediate",StudentsTable[[#This Row],[AverageScore]]&gt;=60,"Basic",TRUE,"Needs Help")</f>
        <v>Needs Help</v>
      </c>
      <c r="N504">
        <f>RANK(StudentsTable[[#This Row],[AverageScore]],StudentsTable[AverageScore])</f>
        <v>721</v>
      </c>
      <c r="O504">
        <f>(StudentsTable[[#This Row],[AverageScore]]-MIN(StudentsTable[AverageScore]))/(MAX(StudentsTable[AverageScore])-MIN(StudentsTable[AverageScore]))*100</f>
        <v>55.311355311355314</v>
      </c>
    </row>
    <row r="505" spans="1:15" x14ac:dyDescent="0.3">
      <c r="A505" t="s">
        <v>8</v>
      </c>
      <c r="B505" t="s">
        <v>24</v>
      </c>
      <c r="C505" t="s">
        <v>19</v>
      </c>
      <c r="D505" t="s">
        <v>11</v>
      </c>
      <c r="E505" t="s">
        <v>15</v>
      </c>
      <c r="F505">
        <v>95</v>
      </c>
      <c r="G505">
        <v>89</v>
      </c>
      <c r="H505">
        <v>92</v>
      </c>
      <c r="I505">
        <f>StudentsTable[[#This Row],[math score]]+StudentsTable[[#This Row],[reading score]]+StudentsTable[[#This Row],[writing score]]</f>
        <v>276</v>
      </c>
      <c r="J505">
        <f>StudentsTable[[#This Row],[TotalScore]]/3</f>
        <v>92</v>
      </c>
      <c r="K505" t="str" cm="1">
        <f t="array" ref="K505">_xlfn.IFS(StudentsTable[[#This Row],[AverageScore]]&gt;=90,"A",StudentsTable[[#This Row],[AverageScore]]&gt;=80,"B",StudentsTable[[#This Row],[AverageScore]]&gt;=70,"C",StudentsTable[[#This Row],[AverageScore]]&gt;=60,"D",TRUE,"F")</f>
        <v>A</v>
      </c>
      <c r="L505" t="str">
        <f>IF(StudentsTable[[#This Row],[AverageScore]]&gt;=60,"Pass","Fail")</f>
        <v>Pass</v>
      </c>
      <c r="M505" t="str" cm="1">
        <f t="array" ref="M505">_xlfn.IFS(StudentsTable[[#This Row],[AverageScore]]&gt;=85,"Advanced",StudentsTable[[#This Row],[AverageScore]]&gt;=70,"Intermediate",StudentsTable[[#This Row],[AverageScore]]&gt;=60,"Basic",TRUE,"Needs Help")</f>
        <v>Advanced</v>
      </c>
      <c r="N505">
        <f>RANK(StudentsTable[[#This Row],[AverageScore]],StudentsTable[AverageScore])</f>
        <v>35</v>
      </c>
      <c r="O505">
        <f>(StudentsTable[[#This Row],[AverageScore]]-MIN(StudentsTable[AverageScore]))/(MAX(StudentsTable[AverageScore])-MIN(StudentsTable[AverageScore]))*100</f>
        <v>91.208791208791212</v>
      </c>
    </row>
    <row r="506" spans="1:15" x14ac:dyDescent="0.3">
      <c r="A506" t="s">
        <v>8</v>
      </c>
      <c r="B506" t="s">
        <v>21</v>
      </c>
      <c r="C506" t="s">
        <v>16</v>
      </c>
      <c r="D506" t="s">
        <v>20</v>
      </c>
      <c r="E506" t="s">
        <v>12</v>
      </c>
      <c r="F506">
        <v>40</v>
      </c>
      <c r="G506">
        <v>59</v>
      </c>
      <c r="H506">
        <v>54</v>
      </c>
      <c r="I506">
        <f>StudentsTable[[#This Row],[math score]]+StudentsTable[[#This Row],[reading score]]+StudentsTable[[#This Row],[writing score]]</f>
        <v>153</v>
      </c>
      <c r="J506">
        <f>StudentsTable[[#This Row],[TotalScore]]/3</f>
        <v>51</v>
      </c>
      <c r="K506" t="str" cm="1">
        <f t="array" ref="K506">_xlfn.IFS(StudentsTable[[#This Row],[AverageScore]]&gt;=90,"A",StudentsTable[[#This Row],[AverageScore]]&gt;=80,"B",StudentsTable[[#This Row],[AverageScore]]&gt;=70,"C",StudentsTable[[#This Row],[AverageScore]]&gt;=60,"D",TRUE,"F")</f>
        <v>F</v>
      </c>
      <c r="L506" t="str">
        <f>IF(StudentsTable[[#This Row],[AverageScore]]&gt;=60,"Pass","Fail")</f>
        <v>Fail</v>
      </c>
      <c r="M506" t="str" cm="1">
        <f t="array" ref="M506">_xlfn.IFS(StudentsTable[[#This Row],[AverageScore]]&gt;=85,"Advanced",StudentsTable[[#This Row],[AverageScore]]&gt;=70,"Intermediate",StudentsTable[[#This Row],[AverageScore]]&gt;=60,"Basic",TRUE,"Needs Help")</f>
        <v>Needs Help</v>
      </c>
      <c r="N506">
        <f>RANK(StudentsTable[[#This Row],[AverageScore]],StudentsTable[AverageScore])</f>
        <v>876</v>
      </c>
      <c r="O506">
        <f>(StudentsTable[[#This Row],[AverageScore]]-MIN(StudentsTable[AverageScore]))/(MAX(StudentsTable[AverageScore])-MIN(StudentsTable[AverageScore]))*100</f>
        <v>46.153846153846153</v>
      </c>
    </row>
    <row r="507" spans="1:15" x14ac:dyDescent="0.3">
      <c r="A507" t="s">
        <v>8</v>
      </c>
      <c r="B507" t="s">
        <v>9</v>
      </c>
      <c r="C507" t="s">
        <v>23</v>
      </c>
      <c r="D507" t="s">
        <v>11</v>
      </c>
      <c r="E507" t="s">
        <v>12</v>
      </c>
      <c r="F507">
        <v>82</v>
      </c>
      <c r="G507">
        <v>82</v>
      </c>
      <c r="H507">
        <v>80</v>
      </c>
      <c r="I507">
        <f>StudentsTable[[#This Row],[math score]]+StudentsTable[[#This Row],[reading score]]+StudentsTable[[#This Row],[writing score]]</f>
        <v>244</v>
      </c>
      <c r="J507">
        <f>StudentsTable[[#This Row],[TotalScore]]/3</f>
        <v>81.333333333333329</v>
      </c>
      <c r="K507" t="str" cm="1">
        <f t="array" ref="K507">_xlfn.IFS(StudentsTable[[#This Row],[AverageScore]]&gt;=90,"A",StudentsTable[[#This Row],[AverageScore]]&gt;=80,"B",StudentsTable[[#This Row],[AverageScore]]&gt;=70,"C",StudentsTable[[#This Row],[AverageScore]]&gt;=60,"D",TRUE,"F")</f>
        <v>B</v>
      </c>
      <c r="L507" t="str">
        <f>IF(StudentsTable[[#This Row],[AverageScore]]&gt;=60,"Pass","Fail")</f>
        <v>Pass</v>
      </c>
      <c r="M507" t="str" cm="1">
        <f t="array" ref="M507">_xlfn.IFS(StudentsTable[[#This Row],[AverageScore]]&gt;=85,"Advanced",StudentsTable[[#This Row],[AverageScore]]&gt;=70,"Intermediate",StudentsTable[[#This Row],[AverageScore]]&gt;=60,"Basic",TRUE,"Needs Help")</f>
        <v>Intermediate</v>
      </c>
      <c r="N507">
        <f>RANK(StudentsTable[[#This Row],[AverageScore]],StudentsTable[AverageScore])</f>
        <v>173</v>
      </c>
      <c r="O507">
        <f>(StudentsTable[[#This Row],[AverageScore]]-MIN(StudentsTable[AverageScore]))/(MAX(StudentsTable[AverageScore])-MIN(StudentsTable[AverageScore]))*100</f>
        <v>79.487179487179489</v>
      </c>
    </row>
    <row r="508" spans="1:15" x14ac:dyDescent="0.3">
      <c r="A508" t="s">
        <v>17</v>
      </c>
      <c r="B508" t="s">
        <v>18</v>
      </c>
      <c r="C508" t="s">
        <v>22</v>
      </c>
      <c r="D508" t="s">
        <v>11</v>
      </c>
      <c r="E508" t="s">
        <v>12</v>
      </c>
      <c r="F508">
        <v>68</v>
      </c>
      <c r="G508">
        <v>70</v>
      </c>
      <c r="H508">
        <v>66</v>
      </c>
      <c r="I508">
        <f>StudentsTable[[#This Row],[math score]]+StudentsTable[[#This Row],[reading score]]+StudentsTable[[#This Row],[writing score]]</f>
        <v>204</v>
      </c>
      <c r="J508">
        <f>StudentsTable[[#This Row],[TotalScore]]/3</f>
        <v>68</v>
      </c>
      <c r="K508" t="str" cm="1">
        <f t="array" ref="K508">_xlfn.IFS(StudentsTable[[#This Row],[AverageScore]]&gt;=90,"A",StudentsTable[[#This Row],[AverageScore]]&gt;=80,"B",StudentsTable[[#This Row],[AverageScore]]&gt;=70,"C",StudentsTable[[#This Row],[AverageScore]]&gt;=60,"D",TRUE,"F")</f>
        <v>D</v>
      </c>
      <c r="L508" t="str">
        <f>IF(StudentsTable[[#This Row],[AverageScore]]&gt;=60,"Pass","Fail")</f>
        <v>Pass</v>
      </c>
      <c r="M508" t="str" cm="1">
        <f t="array" ref="M508">_xlfn.IFS(StudentsTable[[#This Row],[AverageScore]]&gt;=85,"Advanced",StudentsTable[[#This Row],[AverageScore]]&gt;=70,"Intermediate",StudentsTable[[#This Row],[AverageScore]]&gt;=60,"Basic",TRUE,"Needs Help")</f>
        <v>Basic</v>
      </c>
      <c r="N508">
        <f>RANK(StudentsTable[[#This Row],[AverageScore]],StudentsTable[AverageScore])</f>
        <v>512</v>
      </c>
      <c r="O508">
        <f>(StudentsTable[[#This Row],[AverageScore]]-MIN(StudentsTable[AverageScore]))/(MAX(StudentsTable[AverageScore])-MIN(StudentsTable[AverageScore]))*100</f>
        <v>64.835164835164832</v>
      </c>
    </row>
    <row r="509" spans="1:15" x14ac:dyDescent="0.3">
      <c r="A509" t="s">
        <v>17</v>
      </c>
      <c r="B509" t="s">
        <v>9</v>
      </c>
      <c r="C509" t="s">
        <v>10</v>
      </c>
      <c r="D509" t="s">
        <v>20</v>
      </c>
      <c r="E509" t="s">
        <v>12</v>
      </c>
      <c r="F509">
        <v>55</v>
      </c>
      <c r="G509">
        <v>59</v>
      </c>
      <c r="H509">
        <v>54</v>
      </c>
      <c r="I509">
        <f>StudentsTable[[#This Row],[math score]]+StudentsTable[[#This Row],[reading score]]+StudentsTable[[#This Row],[writing score]]</f>
        <v>168</v>
      </c>
      <c r="J509">
        <f>StudentsTable[[#This Row],[TotalScore]]/3</f>
        <v>56</v>
      </c>
      <c r="K509" t="str" cm="1">
        <f t="array" ref="K509">_xlfn.IFS(StudentsTable[[#This Row],[AverageScore]]&gt;=90,"A",StudentsTable[[#This Row],[AverageScore]]&gt;=80,"B",StudentsTable[[#This Row],[AverageScore]]&gt;=70,"C",StudentsTable[[#This Row],[AverageScore]]&gt;=60,"D",TRUE,"F")</f>
        <v>F</v>
      </c>
      <c r="L509" t="str">
        <f>IF(StudentsTable[[#This Row],[AverageScore]]&gt;=60,"Pass","Fail")</f>
        <v>Fail</v>
      </c>
      <c r="M509" t="str" cm="1">
        <f t="array" ref="M509">_xlfn.IFS(StudentsTable[[#This Row],[AverageScore]]&gt;=85,"Advanced",StudentsTable[[#This Row],[AverageScore]]&gt;=70,"Intermediate",StudentsTable[[#This Row],[AverageScore]]&gt;=60,"Basic",TRUE,"Needs Help")</f>
        <v>Needs Help</v>
      </c>
      <c r="N509">
        <f>RANK(StudentsTable[[#This Row],[AverageScore]],StudentsTable[AverageScore])</f>
        <v>786</v>
      </c>
      <c r="O509">
        <f>(StudentsTable[[#This Row],[AverageScore]]-MIN(StudentsTable[AverageScore]))/(MAX(StudentsTable[AverageScore])-MIN(StudentsTable[AverageScore]))*100</f>
        <v>51.648351648351657</v>
      </c>
    </row>
    <row r="510" spans="1:15" x14ac:dyDescent="0.3">
      <c r="A510" t="s">
        <v>17</v>
      </c>
      <c r="B510" t="s">
        <v>13</v>
      </c>
      <c r="C510" t="s">
        <v>16</v>
      </c>
      <c r="D510" t="s">
        <v>11</v>
      </c>
      <c r="E510" t="s">
        <v>12</v>
      </c>
      <c r="F510">
        <v>79</v>
      </c>
      <c r="G510">
        <v>78</v>
      </c>
      <c r="H510">
        <v>77</v>
      </c>
      <c r="I510">
        <f>StudentsTable[[#This Row],[math score]]+StudentsTable[[#This Row],[reading score]]+StudentsTable[[#This Row],[writing score]]</f>
        <v>234</v>
      </c>
      <c r="J510">
        <f>StudentsTable[[#This Row],[TotalScore]]/3</f>
        <v>78</v>
      </c>
      <c r="K510" t="str" cm="1">
        <f t="array" ref="K510">_xlfn.IFS(StudentsTable[[#This Row],[AverageScore]]&gt;=90,"A",StudentsTable[[#This Row],[AverageScore]]&gt;=80,"B",StudentsTable[[#This Row],[AverageScore]]&gt;=70,"C",StudentsTable[[#This Row],[AverageScore]]&gt;=60,"D",TRUE,"F")</f>
        <v>C</v>
      </c>
      <c r="L510" t="str">
        <f>IF(StudentsTable[[#This Row],[AverageScore]]&gt;=60,"Pass","Fail")</f>
        <v>Pass</v>
      </c>
      <c r="M510" t="str" cm="1">
        <f t="array" ref="M510">_xlfn.IFS(StudentsTable[[#This Row],[AverageScore]]&gt;=85,"Advanced",StudentsTable[[#This Row],[AverageScore]]&gt;=70,"Intermediate",StudentsTable[[#This Row],[AverageScore]]&gt;=60,"Basic",TRUE,"Needs Help")</f>
        <v>Intermediate</v>
      </c>
      <c r="N510">
        <f>RANK(StudentsTable[[#This Row],[AverageScore]],StudentsTable[AverageScore])</f>
        <v>240</v>
      </c>
      <c r="O510">
        <f>(StudentsTable[[#This Row],[AverageScore]]-MIN(StudentsTable[AverageScore]))/(MAX(StudentsTable[AverageScore])-MIN(StudentsTable[AverageScore]))*100</f>
        <v>75.824175824175825</v>
      </c>
    </row>
    <row r="511" spans="1:15" x14ac:dyDescent="0.3">
      <c r="A511" t="s">
        <v>8</v>
      </c>
      <c r="B511" t="s">
        <v>13</v>
      </c>
      <c r="C511" t="s">
        <v>10</v>
      </c>
      <c r="D511" t="s">
        <v>11</v>
      </c>
      <c r="E511" t="s">
        <v>12</v>
      </c>
      <c r="F511">
        <v>86</v>
      </c>
      <c r="G511">
        <v>92</v>
      </c>
      <c r="H511">
        <v>87</v>
      </c>
      <c r="I511">
        <f>StudentsTable[[#This Row],[math score]]+StudentsTable[[#This Row],[reading score]]+StudentsTable[[#This Row],[writing score]]</f>
        <v>265</v>
      </c>
      <c r="J511">
        <f>StudentsTable[[#This Row],[TotalScore]]/3</f>
        <v>88.333333333333329</v>
      </c>
      <c r="K511" t="str" cm="1">
        <f t="array" ref="K511">_xlfn.IFS(StudentsTable[[#This Row],[AverageScore]]&gt;=90,"A",StudentsTable[[#This Row],[AverageScore]]&gt;=80,"B",StudentsTable[[#This Row],[AverageScore]]&gt;=70,"C",StudentsTable[[#This Row],[AverageScore]]&gt;=60,"D",TRUE,"F")</f>
        <v>B</v>
      </c>
      <c r="L511" t="str">
        <f>IF(StudentsTable[[#This Row],[AverageScore]]&gt;=60,"Pass","Fail")</f>
        <v>Pass</v>
      </c>
      <c r="M511" t="str" cm="1">
        <f t="array" ref="M511">_xlfn.IFS(StudentsTable[[#This Row],[AverageScore]]&gt;=85,"Advanced",StudentsTable[[#This Row],[AverageScore]]&gt;=70,"Intermediate",StudentsTable[[#This Row],[AverageScore]]&gt;=60,"Basic",TRUE,"Needs Help")</f>
        <v>Advanced</v>
      </c>
      <c r="N511">
        <f>RANK(StudentsTable[[#This Row],[AverageScore]],StudentsTable[AverageScore])</f>
        <v>69</v>
      </c>
      <c r="O511">
        <f>(StudentsTable[[#This Row],[AverageScore]]-MIN(StudentsTable[AverageScore]))/(MAX(StudentsTable[AverageScore])-MIN(StudentsTable[AverageScore]))*100</f>
        <v>87.179487179487168</v>
      </c>
    </row>
    <row r="512" spans="1:15" x14ac:dyDescent="0.3">
      <c r="A512" t="s">
        <v>17</v>
      </c>
      <c r="B512" t="s">
        <v>21</v>
      </c>
      <c r="C512" t="s">
        <v>14</v>
      </c>
      <c r="D512" t="s">
        <v>11</v>
      </c>
      <c r="E512" t="s">
        <v>12</v>
      </c>
      <c r="F512">
        <v>76</v>
      </c>
      <c r="G512">
        <v>71</v>
      </c>
      <c r="H512">
        <v>73</v>
      </c>
      <c r="I512">
        <f>StudentsTable[[#This Row],[math score]]+StudentsTable[[#This Row],[reading score]]+StudentsTable[[#This Row],[writing score]]</f>
        <v>220</v>
      </c>
      <c r="J512">
        <f>StudentsTable[[#This Row],[TotalScore]]/3</f>
        <v>73.333333333333329</v>
      </c>
      <c r="K512" t="str" cm="1">
        <f t="array" ref="K512">_xlfn.IFS(StudentsTable[[#This Row],[AverageScore]]&gt;=90,"A",StudentsTable[[#This Row],[AverageScore]]&gt;=80,"B",StudentsTable[[#This Row],[AverageScore]]&gt;=70,"C",StudentsTable[[#This Row],[AverageScore]]&gt;=60,"D",TRUE,"F")</f>
        <v>C</v>
      </c>
      <c r="L512" t="str">
        <f>IF(StudentsTable[[#This Row],[AverageScore]]&gt;=60,"Pass","Fail")</f>
        <v>Pass</v>
      </c>
      <c r="M512" t="str" cm="1">
        <f t="array" ref="M512">_xlfn.IFS(StudentsTable[[#This Row],[AverageScore]]&gt;=85,"Advanced",StudentsTable[[#This Row],[AverageScore]]&gt;=70,"Intermediate",StudentsTable[[#This Row],[AverageScore]]&gt;=60,"Basic",TRUE,"Needs Help")</f>
        <v>Intermediate</v>
      </c>
      <c r="N512">
        <f>RANK(StudentsTable[[#This Row],[AverageScore]],StudentsTable[AverageScore])</f>
        <v>356</v>
      </c>
      <c r="O512">
        <f>(StudentsTable[[#This Row],[AverageScore]]-MIN(StudentsTable[AverageScore]))/(MAX(StudentsTable[AverageScore])-MIN(StudentsTable[AverageScore]))*100</f>
        <v>70.695970695970686</v>
      </c>
    </row>
    <row r="513" spans="1:15" x14ac:dyDescent="0.3">
      <c r="A513" t="s">
        <v>17</v>
      </c>
      <c r="B513" t="s">
        <v>18</v>
      </c>
      <c r="C513" t="s">
        <v>23</v>
      </c>
      <c r="D513" t="s">
        <v>11</v>
      </c>
      <c r="E513" t="s">
        <v>12</v>
      </c>
      <c r="F513">
        <v>64</v>
      </c>
      <c r="G513">
        <v>50</v>
      </c>
      <c r="H513">
        <v>43</v>
      </c>
      <c r="I513">
        <f>StudentsTable[[#This Row],[math score]]+StudentsTable[[#This Row],[reading score]]+StudentsTable[[#This Row],[writing score]]</f>
        <v>157</v>
      </c>
      <c r="J513">
        <f>StudentsTable[[#This Row],[TotalScore]]/3</f>
        <v>52.333333333333336</v>
      </c>
      <c r="K513" t="str" cm="1">
        <f t="array" ref="K513">_xlfn.IFS(StudentsTable[[#This Row],[AverageScore]]&gt;=90,"A",StudentsTable[[#This Row],[AverageScore]]&gt;=80,"B",StudentsTable[[#This Row],[AverageScore]]&gt;=70,"C",StudentsTable[[#This Row],[AverageScore]]&gt;=60,"D",TRUE,"F")</f>
        <v>F</v>
      </c>
      <c r="L513" t="str">
        <f>IF(StudentsTable[[#This Row],[AverageScore]]&gt;=60,"Pass","Fail")</f>
        <v>Fail</v>
      </c>
      <c r="M513" t="str" cm="1">
        <f t="array" ref="M513">_xlfn.IFS(StudentsTable[[#This Row],[AverageScore]]&gt;=85,"Advanced",StudentsTable[[#This Row],[AverageScore]]&gt;=70,"Intermediate",StudentsTable[[#This Row],[AverageScore]]&gt;=60,"Basic",TRUE,"Needs Help")</f>
        <v>Needs Help</v>
      </c>
      <c r="N513">
        <f>RANK(StudentsTable[[#This Row],[AverageScore]],StudentsTable[AverageScore])</f>
        <v>850</v>
      </c>
      <c r="O513">
        <f>(StudentsTable[[#This Row],[AverageScore]]-MIN(StudentsTable[AverageScore]))/(MAX(StudentsTable[AverageScore])-MIN(StudentsTable[AverageScore]))*100</f>
        <v>47.61904761904762</v>
      </c>
    </row>
    <row r="514" spans="1:15" x14ac:dyDescent="0.3">
      <c r="A514" t="s">
        <v>17</v>
      </c>
      <c r="B514" t="s">
        <v>21</v>
      </c>
      <c r="C514" t="s">
        <v>23</v>
      </c>
      <c r="D514" t="s">
        <v>20</v>
      </c>
      <c r="E514" t="s">
        <v>12</v>
      </c>
      <c r="F514">
        <v>62</v>
      </c>
      <c r="G514">
        <v>49</v>
      </c>
      <c r="H514">
        <v>52</v>
      </c>
      <c r="I514">
        <f>StudentsTable[[#This Row],[math score]]+StudentsTable[[#This Row],[reading score]]+StudentsTable[[#This Row],[writing score]]</f>
        <v>163</v>
      </c>
      <c r="J514">
        <f>StudentsTable[[#This Row],[TotalScore]]/3</f>
        <v>54.333333333333336</v>
      </c>
      <c r="K514" t="str" cm="1">
        <f t="array" ref="K514">_xlfn.IFS(StudentsTable[[#This Row],[AverageScore]]&gt;=90,"A",StudentsTable[[#This Row],[AverageScore]]&gt;=80,"B",StudentsTable[[#This Row],[AverageScore]]&gt;=70,"C",StudentsTable[[#This Row],[AverageScore]]&gt;=60,"D",TRUE,"F")</f>
        <v>F</v>
      </c>
      <c r="L514" t="str">
        <f>IF(StudentsTable[[#This Row],[AverageScore]]&gt;=60,"Pass","Fail")</f>
        <v>Fail</v>
      </c>
      <c r="M514" t="str" cm="1">
        <f t="array" ref="M514">_xlfn.IFS(StudentsTable[[#This Row],[AverageScore]]&gt;=85,"Advanced",StudentsTable[[#This Row],[AverageScore]]&gt;=70,"Intermediate",StudentsTable[[#This Row],[AverageScore]]&gt;=60,"Basic",TRUE,"Needs Help")</f>
        <v>Needs Help</v>
      </c>
      <c r="N514">
        <f>RANK(StudentsTable[[#This Row],[AverageScore]],StudentsTable[AverageScore])</f>
        <v>819</v>
      </c>
      <c r="O514">
        <f>(StudentsTable[[#This Row],[AverageScore]]-MIN(StudentsTable[AverageScore]))/(MAX(StudentsTable[AverageScore])-MIN(StudentsTable[AverageScore]))*100</f>
        <v>49.816849816849818</v>
      </c>
    </row>
    <row r="515" spans="1:15" x14ac:dyDescent="0.3">
      <c r="A515" t="s">
        <v>8</v>
      </c>
      <c r="B515" t="s">
        <v>9</v>
      </c>
      <c r="C515" t="s">
        <v>23</v>
      </c>
      <c r="D515" t="s">
        <v>11</v>
      </c>
      <c r="E515" t="s">
        <v>15</v>
      </c>
      <c r="F515">
        <v>54</v>
      </c>
      <c r="G515">
        <v>61</v>
      </c>
      <c r="H515">
        <v>62</v>
      </c>
      <c r="I515">
        <f>StudentsTable[[#This Row],[math score]]+StudentsTable[[#This Row],[reading score]]+StudentsTable[[#This Row],[writing score]]</f>
        <v>177</v>
      </c>
      <c r="J515">
        <f>StudentsTable[[#This Row],[TotalScore]]/3</f>
        <v>59</v>
      </c>
      <c r="K515" t="str" cm="1">
        <f t="array" ref="K515">_xlfn.IFS(StudentsTable[[#This Row],[AverageScore]]&gt;=90,"A",StudentsTable[[#This Row],[AverageScore]]&gt;=80,"B",StudentsTable[[#This Row],[AverageScore]]&gt;=70,"C",StudentsTable[[#This Row],[AverageScore]]&gt;=60,"D",TRUE,"F")</f>
        <v>F</v>
      </c>
      <c r="L515" t="str">
        <f>IF(StudentsTable[[#This Row],[AverageScore]]&gt;=60,"Pass","Fail")</f>
        <v>Fail</v>
      </c>
      <c r="M515" t="str" cm="1">
        <f t="array" ref="M515">_xlfn.IFS(StudentsTable[[#This Row],[AverageScore]]&gt;=85,"Advanced",StudentsTable[[#This Row],[AverageScore]]&gt;=70,"Intermediate",StudentsTable[[#This Row],[AverageScore]]&gt;=60,"Basic",TRUE,"Needs Help")</f>
        <v>Needs Help</v>
      </c>
      <c r="N515">
        <f>RANK(StudentsTable[[#This Row],[AverageScore]],StudentsTable[AverageScore])</f>
        <v>727</v>
      </c>
      <c r="O515">
        <f>(StudentsTable[[#This Row],[AverageScore]]-MIN(StudentsTable[AverageScore]))/(MAX(StudentsTable[AverageScore])-MIN(StudentsTable[AverageScore]))*100</f>
        <v>54.945054945054949</v>
      </c>
    </row>
    <row r="516" spans="1:15" x14ac:dyDescent="0.3">
      <c r="A516" t="s">
        <v>8</v>
      </c>
      <c r="B516" t="s">
        <v>9</v>
      </c>
      <c r="C516" t="s">
        <v>16</v>
      </c>
      <c r="D516" t="s">
        <v>20</v>
      </c>
      <c r="E516" t="s">
        <v>15</v>
      </c>
      <c r="F516">
        <v>77</v>
      </c>
      <c r="G516">
        <v>97</v>
      </c>
      <c r="H516">
        <v>94</v>
      </c>
      <c r="I516">
        <f>StudentsTable[[#This Row],[math score]]+StudentsTable[[#This Row],[reading score]]+StudentsTable[[#This Row],[writing score]]</f>
        <v>268</v>
      </c>
      <c r="J516">
        <f>StudentsTable[[#This Row],[TotalScore]]/3</f>
        <v>89.333333333333329</v>
      </c>
      <c r="K516" t="str" cm="1">
        <f t="array" ref="K516">_xlfn.IFS(StudentsTable[[#This Row],[AverageScore]]&gt;=90,"A",StudentsTable[[#This Row],[AverageScore]]&gt;=80,"B",StudentsTable[[#This Row],[AverageScore]]&gt;=70,"C",StudentsTable[[#This Row],[AverageScore]]&gt;=60,"D",TRUE,"F")</f>
        <v>B</v>
      </c>
      <c r="L516" t="str">
        <f>IF(StudentsTable[[#This Row],[AverageScore]]&gt;=60,"Pass","Fail")</f>
        <v>Pass</v>
      </c>
      <c r="M516" t="str" cm="1">
        <f t="array" ref="M516">_xlfn.IFS(StudentsTable[[#This Row],[AverageScore]]&gt;=85,"Advanced",StudentsTable[[#This Row],[AverageScore]]&gt;=70,"Intermediate",StudentsTable[[#This Row],[AverageScore]]&gt;=60,"Basic",TRUE,"Needs Help")</f>
        <v>Advanced</v>
      </c>
      <c r="N516">
        <f>RANK(StudentsTable[[#This Row],[AverageScore]],StudentsTable[AverageScore])</f>
        <v>55</v>
      </c>
      <c r="O516">
        <f>(StudentsTable[[#This Row],[AverageScore]]-MIN(StudentsTable[AverageScore]))/(MAX(StudentsTable[AverageScore])-MIN(StudentsTable[AverageScore]))*100</f>
        <v>88.278388278388277</v>
      </c>
    </row>
    <row r="517" spans="1:15" x14ac:dyDescent="0.3">
      <c r="A517" t="s">
        <v>8</v>
      </c>
      <c r="B517" t="s">
        <v>13</v>
      </c>
      <c r="C517" t="s">
        <v>23</v>
      </c>
      <c r="D517" t="s">
        <v>11</v>
      </c>
      <c r="E517" t="s">
        <v>15</v>
      </c>
      <c r="F517">
        <v>76</v>
      </c>
      <c r="G517">
        <v>87</v>
      </c>
      <c r="H517">
        <v>85</v>
      </c>
      <c r="I517">
        <f>StudentsTable[[#This Row],[math score]]+StudentsTable[[#This Row],[reading score]]+StudentsTable[[#This Row],[writing score]]</f>
        <v>248</v>
      </c>
      <c r="J517">
        <f>StudentsTable[[#This Row],[TotalScore]]/3</f>
        <v>82.666666666666671</v>
      </c>
      <c r="K517" t="str" cm="1">
        <f t="array" ref="K517">_xlfn.IFS(StudentsTable[[#This Row],[AverageScore]]&gt;=90,"A",StudentsTable[[#This Row],[AverageScore]]&gt;=80,"B",StudentsTable[[#This Row],[AverageScore]]&gt;=70,"C",StudentsTable[[#This Row],[AverageScore]]&gt;=60,"D",TRUE,"F")</f>
        <v>B</v>
      </c>
      <c r="L517" t="str">
        <f>IF(StudentsTable[[#This Row],[AverageScore]]&gt;=60,"Pass","Fail")</f>
        <v>Pass</v>
      </c>
      <c r="M517" t="str" cm="1">
        <f t="array" ref="M517">_xlfn.IFS(StudentsTable[[#This Row],[AverageScore]]&gt;=85,"Advanced",StudentsTable[[#This Row],[AverageScore]]&gt;=70,"Intermediate",StudentsTable[[#This Row],[AverageScore]]&gt;=60,"Basic",TRUE,"Needs Help")</f>
        <v>Intermediate</v>
      </c>
      <c r="N517">
        <f>RANK(StudentsTable[[#This Row],[AverageScore]],StudentsTable[AverageScore])</f>
        <v>149</v>
      </c>
      <c r="O517">
        <f>(StudentsTable[[#This Row],[AverageScore]]-MIN(StudentsTable[AverageScore]))/(MAX(StudentsTable[AverageScore])-MIN(StudentsTable[AverageScore]))*100</f>
        <v>80.952380952380949</v>
      </c>
    </row>
    <row r="518" spans="1:15" x14ac:dyDescent="0.3">
      <c r="A518" t="s">
        <v>8</v>
      </c>
      <c r="B518" t="s">
        <v>21</v>
      </c>
      <c r="C518" t="s">
        <v>14</v>
      </c>
      <c r="D518" t="s">
        <v>11</v>
      </c>
      <c r="E518" t="s">
        <v>12</v>
      </c>
      <c r="F518">
        <v>74</v>
      </c>
      <c r="G518">
        <v>89</v>
      </c>
      <c r="H518">
        <v>84</v>
      </c>
      <c r="I518">
        <f>StudentsTable[[#This Row],[math score]]+StudentsTable[[#This Row],[reading score]]+StudentsTable[[#This Row],[writing score]]</f>
        <v>247</v>
      </c>
      <c r="J518">
        <f>StudentsTable[[#This Row],[TotalScore]]/3</f>
        <v>82.333333333333329</v>
      </c>
      <c r="K518" t="str" cm="1">
        <f t="array" ref="K518">_xlfn.IFS(StudentsTable[[#This Row],[AverageScore]]&gt;=90,"A",StudentsTable[[#This Row],[AverageScore]]&gt;=80,"B",StudentsTable[[#This Row],[AverageScore]]&gt;=70,"C",StudentsTable[[#This Row],[AverageScore]]&gt;=60,"D",TRUE,"F")</f>
        <v>B</v>
      </c>
      <c r="L518" t="str">
        <f>IF(StudentsTable[[#This Row],[AverageScore]]&gt;=60,"Pass","Fail")</f>
        <v>Pass</v>
      </c>
      <c r="M518" t="str" cm="1">
        <f t="array" ref="M518">_xlfn.IFS(StudentsTable[[#This Row],[AverageScore]]&gt;=85,"Advanced",StudentsTable[[#This Row],[AverageScore]]&gt;=70,"Intermediate",StudentsTable[[#This Row],[AverageScore]]&gt;=60,"Basic",TRUE,"Needs Help")</f>
        <v>Intermediate</v>
      </c>
      <c r="N518">
        <f>RANK(StudentsTable[[#This Row],[AverageScore]],StudentsTable[AverageScore])</f>
        <v>155</v>
      </c>
      <c r="O518">
        <f>(StudentsTable[[#This Row],[AverageScore]]-MIN(StudentsTable[AverageScore]))/(MAX(StudentsTable[AverageScore])-MIN(StudentsTable[AverageScore]))*100</f>
        <v>80.586080586080584</v>
      </c>
    </row>
    <row r="519" spans="1:15" x14ac:dyDescent="0.3">
      <c r="A519" t="s">
        <v>8</v>
      </c>
      <c r="B519" t="s">
        <v>24</v>
      </c>
      <c r="C519" t="s">
        <v>14</v>
      </c>
      <c r="D519" t="s">
        <v>11</v>
      </c>
      <c r="E519" t="s">
        <v>15</v>
      </c>
      <c r="F519">
        <v>66</v>
      </c>
      <c r="G519">
        <v>74</v>
      </c>
      <c r="H519">
        <v>73</v>
      </c>
      <c r="I519">
        <f>StudentsTable[[#This Row],[math score]]+StudentsTable[[#This Row],[reading score]]+StudentsTable[[#This Row],[writing score]]</f>
        <v>213</v>
      </c>
      <c r="J519">
        <f>StudentsTable[[#This Row],[TotalScore]]/3</f>
        <v>71</v>
      </c>
      <c r="K519" t="str" cm="1">
        <f t="array" ref="K519">_xlfn.IFS(StudentsTable[[#This Row],[AverageScore]]&gt;=90,"A",StudentsTable[[#This Row],[AverageScore]]&gt;=80,"B",StudentsTable[[#This Row],[AverageScore]]&gt;=70,"C",StudentsTable[[#This Row],[AverageScore]]&gt;=60,"D",TRUE,"F")</f>
        <v>C</v>
      </c>
      <c r="L519" t="str">
        <f>IF(StudentsTable[[#This Row],[AverageScore]]&gt;=60,"Pass","Fail")</f>
        <v>Pass</v>
      </c>
      <c r="M519" t="str" cm="1">
        <f t="array" ref="M519">_xlfn.IFS(StudentsTable[[#This Row],[AverageScore]]&gt;=85,"Advanced",StudentsTable[[#This Row],[AverageScore]]&gt;=70,"Intermediate",StudentsTable[[#This Row],[AverageScore]]&gt;=60,"Basic",TRUE,"Needs Help")</f>
        <v>Intermediate</v>
      </c>
      <c r="N519">
        <f>RANK(StudentsTable[[#This Row],[AverageScore]],StudentsTable[AverageScore])</f>
        <v>424</v>
      </c>
      <c r="O519">
        <f>(StudentsTable[[#This Row],[AverageScore]]-MIN(StudentsTable[AverageScore]))/(MAX(StudentsTable[AverageScore])-MIN(StudentsTable[AverageScore]))*100</f>
        <v>68.131868131868131</v>
      </c>
    </row>
    <row r="520" spans="1:15" x14ac:dyDescent="0.3">
      <c r="A520" t="s">
        <v>8</v>
      </c>
      <c r="B520" t="s">
        <v>21</v>
      </c>
      <c r="C520" t="s">
        <v>23</v>
      </c>
      <c r="D520" t="s">
        <v>11</v>
      </c>
      <c r="E520" t="s">
        <v>15</v>
      </c>
      <c r="F520">
        <v>66</v>
      </c>
      <c r="G520">
        <v>78</v>
      </c>
      <c r="H520">
        <v>78</v>
      </c>
      <c r="I520">
        <f>StudentsTable[[#This Row],[math score]]+StudentsTable[[#This Row],[reading score]]+StudentsTable[[#This Row],[writing score]]</f>
        <v>222</v>
      </c>
      <c r="J520">
        <f>StudentsTable[[#This Row],[TotalScore]]/3</f>
        <v>74</v>
      </c>
      <c r="K520" t="str" cm="1">
        <f t="array" ref="K520">_xlfn.IFS(StudentsTable[[#This Row],[AverageScore]]&gt;=90,"A",StudentsTable[[#This Row],[AverageScore]]&gt;=80,"B",StudentsTable[[#This Row],[AverageScore]]&gt;=70,"C",StudentsTable[[#This Row],[AverageScore]]&gt;=60,"D",TRUE,"F")</f>
        <v>C</v>
      </c>
      <c r="L520" t="str">
        <f>IF(StudentsTable[[#This Row],[AverageScore]]&gt;=60,"Pass","Fail")</f>
        <v>Pass</v>
      </c>
      <c r="M520" t="str" cm="1">
        <f t="array" ref="M520">_xlfn.IFS(StudentsTable[[#This Row],[AverageScore]]&gt;=85,"Advanced",StudentsTable[[#This Row],[AverageScore]]&gt;=70,"Intermediate",StudentsTable[[#This Row],[AverageScore]]&gt;=60,"Basic",TRUE,"Needs Help")</f>
        <v>Intermediate</v>
      </c>
      <c r="N520">
        <f>RANK(StudentsTable[[#This Row],[AverageScore]],StudentsTable[AverageScore])</f>
        <v>345</v>
      </c>
      <c r="O520">
        <f>(StudentsTable[[#This Row],[AverageScore]]-MIN(StudentsTable[AverageScore]))/(MAX(StudentsTable[AverageScore])-MIN(StudentsTable[AverageScore]))*100</f>
        <v>71.428571428571431</v>
      </c>
    </row>
    <row r="521" spans="1:15" x14ac:dyDescent="0.3">
      <c r="A521" t="s">
        <v>8</v>
      </c>
      <c r="B521" t="s">
        <v>9</v>
      </c>
      <c r="C521" t="s">
        <v>22</v>
      </c>
      <c r="D521" t="s">
        <v>20</v>
      </c>
      <c r="E521" t="s">
        <v>15</v>
      </c>
      <c r="F521">
        <v>67</v>
      </c>
      <c r="G521">
        <v>78</v>
      </c>
      <c r="H521">
        <v>79</v>
      </c>
      <c r="I521">
        <f>StudentsTable[[#This Row],[math score]]+StudentsTable[[#This Row],[reading score]]+StudentsTable[[#This Row],[writing score]]</f>
        <v>224</v>
      </c>
      <c r="J521">
        <f>StudentsTable[[#This Row],[TotalScore]]/3</f>
        <v>74.666666666666671</v>
      </c>
      <c r="K521" t="str" cm="1">
        <f t="array" ref="K521">_xlfn.IFS(StudentsTable[[#This Row],[AverageScore]]&gt;=90,"A",StudentsTable[[#This Row],[AverageScore]]&gt;=80,"B",StudentsTable[[#This Row],[AverageScore]]&gt;=70,"C",StudentsTable[[#This Row],[AverageScore]]&gt;=60,"D",TRUE,"F")</f>
        <v>C</v>
      </c>
      <c r="L521" t="str">
        <f>IF(StudentsTable[[#This Row],[AverageScore]]&gt;=60,"Pass","Fail")</f>
        <v>Pass</v>
      </c>
      <c r="M521" t="str" cm="1">
        <f t="array" ref="M521">_xlfn.IFS(StudentsTable[[#This Row],[AverageScore]]&gt;=85,"Advanced",StudentsTable[[#This Row],[AverageScore]]&gt;=70,"Intermediate",StudentsTable[[#This Row],[AverageScore]]&gt;=60,"Basic",TRUE,"Needs Help")</f>
        <v>Intermediate</v>
      </c>
      <c r="N521">
        <f>RANK(StudentsTable[[#This Row],[AverageScore]],StudentsTable[AverageScore])</f>
        <v>325</v>
      </c>
      <c r="O521">
        <f>(StudentsTable[[#This Row],[AverageScore]]-MIN(StudentsTable[AverageScore]))/(MAX(StudentsTable[AverageScore])-MIN(StudentsTable[AverageScore]))*100</f>
        <v>72.161172161172175</v>
      </c>
    </row>
    <row r="522" spans="1:15" x14ac:dyDescent="0.3">
      <c r="A522" t="s">
        <v>17</v>
      </c>
      <c r="B522" t="s">
        <v>21</v>
      </c>
      <c r="C522" t="s">
        <v>14</v>
      </c>
      <c r="D522" t="s">
        <v>11</v>
      </c>
      <c r="E522" t="s">
        <v>12</v>
      </c>
      <c r="F522">
        <v>71</v>
      </c>
      <c r="G522">
        <v>49</v>
      </c>
      <c r="H522">
        <v>52</v>
      </c>
      <c r="I522">
        <f>StudentsTable[[#This Row],[math score]]+StudentsTable[[#This Row],[reading score]]+StudentsTable[[#This Row],[writing score]]</f>
        <v>172</v>
      </c>
      <c r="J522">
        <f>StudentsTable[[#This Row],[TotalScore]]/3</f>
        <v>57.333333333333336</v>
      </c>
      <c r="K522" t="str" cm="1">
        <f t="array" ref="K522">_xlfn.IFS(StudentsTable[[#This Row],[AverageScore]]&gt;=90,"A",StudentsTable[[#This Row],[AverageScore]]&gt;=80,"B",StudentsTable[[#This Row],[AverageScore]]&gt;=70,"C",StudentsTable[[#This Row],[AverageScore]]&gt;=60,"D",TRUE,"F")</f>
        <v>F</v>
      </c>
      <c r="L522" t="str">
        <f>IF(StudentsTable[[#This Row],[AverageScore]]&gt;=60,"Pass","Fail")</f>
        <v>Fail</v>
      </c>
      <c r="M522" t="str" cm="1">
        <f t="array" ref="M522">_xlfn.IFS(StudentsTable[[#This Row],[AverageScore]]&gt;=85,"Advanced",StudentsTable[[#This Row],[AverageScore]]&gt;=70,"Intermediate",StudentsTable[[#This Row],[AverageScore]]&gt;=60,"Basic",TRUE,"Needs Help")</f>
        <v>Needs Help</v>
      </c>
      <c r="N522">
        <f>RANK(StudentsTable[[#This Row],[AverageScore]],StudentsTable[AverageScore])</f>
        <v>764</v>
      </c>
      <c r="O522">
        <f>(StudentsTable[[#This Row],[AverageScore]]-MIN(StudentsTable[AverageScore]))/(MAX(StudentsTable[AverageScore])-MIN(StudentsTable[AverageScore]))*100</f>
        <v>53.113553113553117</v>
      </c>
    </row>
    <row r="523" spans="1:15" x14ac:dyDescent="0.3">
      <c r="A523" t="s">
        <v>8</v>
      </c>
      <c r="B523" t="s">
        <v>13</v>
      </c>
      <c r="C523" t="s">
        <v>19</v>
      </c>
      <c r="D523" t="s">
        <v>11</v>
      </c>
      <c r="E523" t="s">
        <v>12</v>
      </c>
      <c r="F523">
        <v>91</v>
      </c>
      <c r="G523">
        <v>86</v>
      </c>
      <c r="H523">
        <v>84</v>
      </c>
      <c r="I523">
        <f>StudentsTable[[#This Row],[math score]]+StudentsTable[[#This Row],[reading score]]+StudentsTable[[#This Row],[writing score]]</f>
        <v>261</v>
      </c>
      <c r="J523">
        <f>StudentsTable[[#This Row],[TotalScore]]/3</f>
        <v>87</v>
      </c>
      <c r="K523" t="str" cm="1">
        <f t="array" ref="K523">_xlfn.IFS(StudentsTable[[#This Row],[AverageScore]]&gt;=90,"A",StudentsTable[[#This Row],[AverageScore]]&gt;=80,"B",StudentsTable[[#This Row],[AverageScore]]&gt;=70,"C",StudentsTable[[#This Row],[AverageScore]]&gt;=60,"D",TRUE,"F")</f>
        <v>B</v>
      </c>
      <c r="L523" t="str">
        <f>IF(StudentsTable[[#This Row],[AverageScore]]&gt;=60,"Pass","Fail")</f>
        <v>Pass</v>
      </c>
      <c r="M523" t="str" cm="1">
        <f t="array" ref="M523">_xlfn.IFS(StudentsTable[[#This Row],[AverageScore]]&gt;=85,"Advanced",StudentsTable[[#This Row],[AverageScore]]&gt;=70,"Intermediate",StudentsTable[[#This Row],[AverageScore]]&gt;=60,"Basic",TRUE,"Needs Help")</f>
        <v>Advanced</v>
      </c>
      <c r="N523">
        <f>RANK(StudentsTable[[#This Row],[AverageScore]],StudentsTable[AverageScore])</f>
        <v>83</v>
      </c>
      <c r="O523">
        <f>(StudentsTable[[#This Row],[AverageScore]]-MIN(StudentsTable[AverageScore]))/(MAX(StudentsTable[AverageScore])-MIN(StudentsTable[AverageScore]))*100</f>
        <v>85.714285714285708</v>
      </c>
    </row>
    <row r="524" spans="1:15" x14ac:dyDescent="0.3">
      <c r="A524" t="s">
        <v>17</v>
      </c>
      <c r="B524" t="s">
        <v>21</v>
      </c>
      <c r="C524" t="s">
        <v>10</v>
      </c>
      <c r="D524" t="s">
        <v>11</v>
      </c>
      <c r="E524" t="s">
        <v>12</v>
      </c>
      <c r="F524">
        <v>69</v>
      </c>
      <c r="G524">
        <v>58</v>
      </c>
      <c r="H524">
        <v>57</v>
      </c>
      <c r="I524">
        <f>StudentsTable[[#This Row],[math score]]+StudentsTable[[#This Row],[reading score]]+StudentsTable[[#This Row],[writing score]]</f>
        <v>184</v>
      </c>
      <c r="J524">
        <f>StudentsTable[[#This Row],[TotalScore]]/3</f>
        <v>61.333333333333336</v>
      </c>
      <c r="K524" t="str" cm="1">
        <f t="array" ref="K524">_xlfn.IFS(StudentsTable[[#This Row],[AverageScore]]&gt;=90,"A",StudentsTable[[#This Row],[AverageScore]]&gt;=80,"B",StudentsTable[[#This Row],[AverageScore]]&gt;=70,"C",StudentsTable[[#This Row],[AverageScore]]&gt;=60,"D",TRUE,"F")</f>
        <v>D</v>
      </c>
      <c r="L524" t="str">
        <f>IF(StudentsTable[[#This Row],[AverageScore]]&gt;=60,"Pass","Fail")</f>
        <v>Pass</v>
      </c>
      <c r="M524" t="str" cm="1">
        <f t="array" ref="M524">_xlfn.IFS(StudentsTable[[#This Row],[AverageScore]]&gt;=85,"Advanced",StudentsTable[[#This Row],[AverageScore]]&gt;=70,"Intermediate",StudentsTable[[#This Row],[AverageScore]]&gt;=60,"Basic",TRUE,"Needs Help")</f>
        <v>Basic</v>
      </c>
      <c r="N524">
        <f>RANK(StudentsTable[[#This Row],[AverageScore]],StudentsTable[AverageScore])</f>
        <v>678</v>
      </c>
      <c r="O524">
        <f>(StudentsTable[[#This Row],[AverageScore]]-MIN(StudentsTable[AverageScore]))/(MAX(StudentsTable[AverageScore])-MIN(StudentsTable[AverageScore]))*100</f>
        <v>57.509157509157518</v>
      </c>
    </row>
    <row r="525" spans="1:15" x14ac:dyDescent="0.3">
      <c r="A525" t="s">
        <v>17</v>
      </c>
      <c r="B525" t="s">
        <v>13</v>
      </c>
      <c r="C525" t="s">
        <v>16</v>
      </c>
      <c r="D525" t="s">
        <v>20</v>
      </c>
      <c r="E525" t="s">
        <v>12</v>
      </c>
      <c r="F525">
        <v>54</v>
      </c>
      <c r="G525">
        <v>59</v>
      </c>
      <c r="H525">
        <v>50</v>
      </c>
      <c r="I525">
        <f>StudentsTable[[#This Row],[math score]]+StudentsTable[[#This Row],[reading score]]+StudentsTable[[#This Row],[writing score]]</f>
        <v>163</v>
      </c>
      <c r="J525">
        <f>StudentsTable[[#This Row],[TotalScore]]/3</f>
        <v>54.333333333333336</v>
      </c>
      <c r="K525" t="str" cm="1">
        <f t="array" ref="K525">_xlfn.IFS(StudentsTable[[#This Row],[AverageScore]]&gt;=90,"A",StudentsTable[[#This Row],[AverageScore]]&gt;=80,"B",StudentsTable[[#This Row],[AverageScore]]&gt;=70,"C",StudentsTable[[#This Row],[AverageScore]]&gt;=60,"D",TRUE,"F")</f>
        <v>F</v>
      </c>
      <c r="L525" t="str">
        <f>IF(StudentsTable[[#This Row],[AverageScore]]&gt;=60,"Pass","Fail")</f>
        <v>Fail</v>
      </c>
      <c r="M525" t="str" cm="1">
        <f t="array" ref="M525">_xlfn.IFS(StudentsTable[[#This Row],[AverageScore]]&gt;=85,"Advanced",StudentsTable[[#This Row],[AverageScore]]&gt;=70,"Intermediate",StudentsTable[[#This Row],[AverageScore]]&gt;=60,"Basic",TRUE,"Needs Help")</f>
        <v>Needs Help</v>
      </c>
      <c r="N525">
        <f>RANK(StudentsTable[[#This Row],[AverageScore]],StudentsTable[AverageScore])</f>
        <v>819</v>
      </c>
      <c r="O525">
        <f>(StudentsTable[[#This Row],[AverageScore]]-MIN(StudentsTable[AverageScore]))/(MAX(StudentsTable[AverageScore])-MIN(StudentsTable[AverageScore]))*100</f>
        <v>49.816849816849818</v>
      </c>
    </row>
    <row r="526" spans="1:15" x14ac:dyDescent="0.3">
      <c r="A526" t="s">
        <v>17</v>
      </c>
      <c r="B526" t="s">
        <v>13</v>
      </c>
      <c r="C526" t="s">
        <v>22</v>
      </c>
      <c r="D526" t="s">
        <v>11</v>
      </c>
      <c r="E526" t="s">
        <v>15</v>
      </c>
      <c r="F526">
        <v>53</v>
      </c>
      <c r="G526">
        <v>52</v>
      </c>
      <c r="H526">
        <v>49</v>
      </c>
      <c r="I526">
        <f>StudentsTable[[#This Row],[math score]]+StudentsTable[[#This Row],[reading score]]+StudentsTable[[#This Row],[writing score]]</f>
        <v>154</v>
      </c>
      <c r="J526">
        <f>StudentsTable[[#This Row],[TotalScore]]/3</f>
        <v>51.333333333333336</v>
      </c>
      <c r="K526" t="str" cm="1">
        <f t="array" ref="K526">_xlfn.IFS(StudentsTable[[#This Row],[AverageScore]]&gt;=90,"A",StudentsTable[[#This Row],[AverageScore]]&gt;=80,"B",StudentsTable[[#This Row],[AverageScore]]&gt;=70,"C",StudentsTable[[#This Row],[AverageScore]]&gt;=60,"D",TRUE,"F")</f>
        <v>F</v>
      </c>
      <c r="L526" t="str">
        <f>IF(StudentsTable[[#This Row],[AverageScore]]&gt;=60,"Pass","Fail")</f>
        <v>Fail</v>
      </c>
      <c r="M526" t="str" cm="1">
        <f t="array" ref="M526">_xlfn.IFS(StudentsTable[[#This Row],[AverageScore]]&gt;=85,"Advanced",StudentsTable[[#This Row],[AverageScore]]&gt;=70,"Intermediate",StudentsTable[[#This Row],[AverageScore]]&gt;=60,"Basic",TRUE,"Needs Help")</f>
        <v>Needs Help</v>
      </c>
      <c r="N526">
        <f>RANK(StudentsTable[[#This Row],[AverageScore]],StudentsTable[AverageScore])</f>
        <v>870</v>
      </c>
      <c r="O526">
        <f>(StudentsTable[[#This Row],[AverageScore]]-MIN(StudentsTable[AverageScore]))/(MAX(StudentsTable[AverageScore])-MIN(StudentsTable[AverageScore]))*100</f>
        <v>46.520146520146518</v>
      </c>
    </row>
    <row r="527" spans="1:15" x14ac:dyDescent="0.3">
      <c r="A527" t="s">
        <v>17</v>
      </c>
      <c r="B527" t="s">
        <v>24</v>
      </c>
      <c r="C527" t="s">
        <v>14</v>
      </c>
      <c r="D527" t="s">
        <v>11</v>
      </c>
      <c r="E527" t="s">
        <v>12</v>
      </c>
      <c r="F527">
        <v>68</v>
      </c>
      <c r="G527">
        <v>60</v>
      </c>
      <c r="H527">
        <v>59</v>
      </c>
      <c r="I527">
        <f>StudentsTable[[#This Row],[math score]]+StudentsTable[[#This Row],[reading score]]+StudentsTable[[#This Row],[writing score]]</f>
        <v>187</v>
      </c>
      <c r="J527">
        <f>StudentsTable[[#This Row],[TotalScore]]/3</f>
        <v>62.333333333333336</v>
      </c>
      <c r="K527" t="str" cm="1">
        <f t="array" ref="K527">_xlfn.IFS(StudentsTable[[#This Row],[AverageScore]]&gt;=90,"A",StudentsTable[[#This Row],[AverageScore]]&gt;=80,"B",StudentsTable[[#This Row],[AverageScore]]&gt;=70,"C",StudentsTable[[#This Row],[AverageScore]]&gt;=60,"D",TRUE,"F")</f>
        <v>D</v>
      </c>
      <c r="L527" t="str">
        <f>IF(StudentsTable[[#This Row],[AverageScore]]&gt;=60,"Pass","Fail")</f>
        <v>Pass</v>
      </c>
      <c r="M527" t="str" cm="1">
        <f t="array" ref="M527">_xlfn.IFS(StudentsTable[[#This Row],[AverageScore]]&gt;=85,"Advanced",StudentsTable[[#This Row],[AverageScore]]&gt;=70,"Intermediate",StudentsTable[[#This Row],[AverageScore]]&gt;=60,"Basic",TRUE,"Needs Help")</f>
        <v>Basic</v>
      </c>
      <c r="N527">
        <f>RANK(StudentsTable[[#This Row],[AverageScore]],StudentsTable[AverageScore])</f>
        <v>657</v>
      </c>
      <c r="O527">
        <f>(StudentsTable[[#This Row],[AverageScore]]-MIN(StudentsTable[AverageScore]))/(MAX(StudentsTable[AverageScore])-MIN(StudentsTable[AverageScore]))*100</f>
        <v>58.608058608058613</v>
      </c>
    </row>
    <row r="528" spans="1:15" x14ac:dyDescent="0.3">
      <c r="A528" t="s">
        <v>17</v>
      </c>
      <c r="B528" t="s">
        <v>13</v>
      </c>
      <c r="C528" t="s">
        <v>23</v>
      </c>
      <c r="D528" t="s">
        <v>20</v>
      </c>
      <c r="E528" t="s">
        <v>15</v>
      </c>
      <c r="F528">
        <v>56</v>
      </c>
      <c r="G528">
        <v>61</v>
      </c>
      <c r="H528">
        <v>60</v>
      </c>
      <c r="I528">
        <f>StudentsTable[[#This Row],[math score]]+StudentsTable[[#This Row],[reading score]]+StudentsTable[[#This Row],[writing score]]</f>
        <v>177</v>
      </c>
      <c r="J528">
        <f>StudentsTable[[#This Row],[TotalScore]]/3</f>
        <v>59</v>
      </c>
      <c r="K528" t="str" cm="1">
        <f t="array" ref="K528">_xlfn.IFS(StudentsTable[[#This Row],[AverageScore]]&gt;=90,"A",StudentsTable[[#This Row],[AverageScore]]&gt;=80,"B",StudentsTable[[#This Row],[AverageScore]]&gt;=70,"C",StudentsTable[[#This Row],[AverageScore]]&gt;=60,"D",TRUE,"F")</f>
        <v>F</v>
      </c>
      <c r="L528" t="str">
        <f>IF(StudentsTable[[#This Row],[AverageScore]]&gt;=60,"Pass","Fail")</f>
        <v>Fail</v>
      </c>
      <c r="M528" t="str" cm="1">
        <f t="array" ref="M528">_xlfn.IFS(StudentsTable[[#This Row],[AverageScore]]&gt;=85,"Advanced",StudentsTable[[#This Row],[AverageScore]]&gt;=70,"Intermediate",StudentsTable[[#This Row],[AverageScore]]&gt;=60,"Basic",TRUE,"Needs Help")</f>
        <v>Needs Help</v>
      </c>
      <c r="N528">
        <f>RANK(StudentsTable[[#This Row],[AverageScore]],StudentsTable[AverageScore])</f>
        <v>727</v>
      </c>
      <c r="O528">
        <f>(StudentsTable[[#This Row],[AverageScore]]-MIN(StudentsTable[AverageScore]))/(MAX(StudentsTable[AverageScore])-MIN(StudentsTable[AverageScore]))*100</f>
        <v>54.945054945054949</v>
      </c>
    </row>
    <row r="529" spans="1:15" x14ac:dyDescent="0.3">
      <c r="A529" t="s">
        <v>8</v>
      </c>
      <c r="B529" t="s">
        <v>13</v>
      </c>
      <c r="C529" t="s">
        <v>22</v>
      </c>
      <c r="D529" t="s">
        <v>20</v>
      </c>
      <c r="E529" t="s">
        <v>12</v>
      </c>
      <c r="F529">
        <v>36</v>
      </c>
      <c r="G529">
        <v>53</v>
      </c>
      <c r="H529">
        <v>43</v>
      </c>
      <c r="I529">
        <f>StudentsTable[[#This Row],[math score]]+StudentsTable[[#This Row],[reading score]]+StudentsTable[[#This Row],[writing score]]</f>
        <v>132</v>
      </c>
      <c r="J529">
        <f>StudentsTable[[#This Row],[TotalScore]]/3</f>
        <v>44</v>
      </c>
      <c r="K529" t="str" cm="1">
        <f t="array" ref="K529">_xlfn.IFS(StudentsTable[[#This Row],[AverageScore]]&gt;=90,"A",StudentsTable[[#This Row],[AverageScore]]&gt;=80,"B",StudentsTable[[#This Row],[AverageScore]]&gt;=70,"C",StudentsTable[[#This Row],[AverageScore]]&gt;=60,"D",TRUE,"F")</f>
        <v>F</v>
      </c>
      <c r="L529" t="str">
        <f>IF(StudentsTable[[#This Row],[AverageScore]]&gt;=60,"Pass","Fail")</f>
        <v>Fail</v>
      </c>
      <c r="M529" t="str" cm="1">
        <f t="array" ref="M529">_xlfn.IFS(StudentsTable[[#This Row],[AverageScore]]&gt;=85,"Advanced",StudentsTable[[#This Row],[AverageScore]]&gt;=70,"Intermediate",StudentsTable[[#This Row],[AverageScore]]&gt;=60,"Basic",TRUE,"Needs Help")</f>
        <v>Needs Help</v>
      </c>
      <c r="N529">
        <f>RANK(StudentsTable[[#This Row],[AverageScore]],StudentsTable[AverageScore])</f>
        <v>952</v>
      </c>
      <c r="O529">
        <f>(StudentsTable[[#This Row],[AverageScore]]-MIN(StudentsTable[AverageScore]))/(MAX(StudentsTable[AverageScore])-MIN(StudentsTable[AverageScore]))*100</f>
        <v>38.461538461538467</v>
      </c>
    </row>
    <row r="530" spans="1:15" x14ac:dyDescent="0.3">
      <c r="A530" t="s">
        <v>8</v>
      </c>
      <c r="B530" t="s">
        <v>21</v>
      </c>
      <c r="C530" t="s">
        <v>10</v>
      </c>
      <c r="D530" t="s">
        <v>20</v>
      </c>
      <c r="E530" t="s">
        <v>12</v>
      </c>
      <c r="F530">
        <v>29</v>
      </c>
      <c r="G530">
        <v>41</v>
      </c>
      <c r="H530">
        <v>47</v>
      </c>
      <c r="I530">
        <f>StudentsTable[[#This Row],[math score]]+StudentsTable[[#This Row],[reading score]]+StudentsTable[[#This Row],[writing score]]</f>
        <v>117</v>
      </c>
      <c r="J530">
        <f>StudentsTable[[#This Row],[TotalScore]]/3</f>
        <v>39</v>
      </c>
      <c r="K530" t="str" cm="1">
        <f t="array" ref="K530">_xlfn.IFS(StudentsTable[[#This Row],[AverageScore]]&gt;=90,"A",StudentsTable[[#This Row],[AverageScore]]&gt;=80,"B",StudentsTable[[#This Row],[AverageScore]]&gt;=70,"C",StudentsTable[[#This Row],[AverageScore]]&gt;=60,"D",TRUE,"F")</f>
        <v>F</v>
      </c>
      <c r="L530" t="str">
        <f>IF(StudentsTable[[#This Row],[AverageScore]]&gt;=60,"Pass","Fail")</f>
        <v>Fail</v>
      </c>
      <c r="M530" t="str" cm="1">
        <f t="array" ref="M530">_xlfn.IFS(StudentsTable[[#This Row],[AverageScore]]&gt;=85,"Advanced",StudentsTable[[#This Row],[AverageScore]]&gt;=70,"Intermediate",StudentsTable[[#This Row],[AverageScore]]&gt;=60,"Basic",TRUE,"Needs Help")</f>
        <v>Needs Help</v>
      </c>
      <c r="N530">
        <f>RANK(StudentsTable[[#This Row],[AverageScore]],StudentsTable[AverageScore])</f>
        <v>975</v>
      </c>
      <c r="O530">
        <f>(StudentsTable[[#This Row],[AverageScore]]-MIN(StudentsTable[AverageScore]))/(MAX(StudentsTable[AverageScore])-MIN(StudentsTable[AverageScore]))*100</f>
        <v>32.967032967032964</v>
      </c>
    </row>
    <row r="531" spans="1:15" x14ac:dyDescent="0.3">
      <c r="A531" t="s">
        <v>8</v>
      </c>
      <c r="B531" t="s">
        <v>13</v>
      </c>
      <c r="C531" t="s">
        <v>19</v>
      </c>
      <c r="D531" t="s">
        <v>11</v>
      </c>
      <c r="E531" t="s">
        <v>12</v>
      </c>
      <c r="F531">
        <v>62</v>
      </c>
      <c r="G531">
        <v>74</v>
      </c>
      <c r="H531">
        <v>70</v>
      </c>
      <c r="I531">
        <f>StudentsTable[[#This Row],[math score]]+StudentsTable[[#This Row],[reading score]]+StudentsTable[[#This Row],[writing score]]</f>
        <v>206</v>
      </c>
      <c r="J531">
        <f>StudentsTable[[#This Row],[TotalScore]]/3</f>
        <v>68.666666666666671</v>
      </c>
      <c r="K531" t="str" cm="1">
        <f t="array" ref="K531">_xlfn.IFS(StudentsTable[[#This Row],[AverageScore]]&gt;=90,"A",StudentsTable[[#This Row],[AverageScore]]&gt;=80,"B",StudentsTable[[#This Row],[AverageScore]]&gt;=70,"C",StudentsTable[[#This Row],[AverageScore]]&gt;=60,"D",TRUE,"F")</f>
        <v>D</v>
      </c>
      <c r="L531" t="str">
        <f>IF(StudentsTable[[#This Row],[AverageScore]]&gt;=60,"Pass","Fail")</f>
        <v>Pass</v>
      </c>
      <c r="M531" t="str" cm="1">
        <f t="array" ref="M531">_xlfn.IFS(StudentsTable[[#This Row],[AverageScore]]&gt;=85,"Advanced",StudentsTable[[#This Row],[AverageScore]]&gt;=70,"Intermediate",StudentsTable[[#This Row],[AverageScore]]&gt;=60,"Basic",TRUE,"Needs Help")</f>
        <v>Basic</v>
      </c>
      <c r="N531">
        <f>RANK(StudentsTable[[#This Row],[AverageScore]],StudentsTable[AverageScore])</f>
        <v>487</v>
      </c>
      <c r="O531">
        <f>(StudentsTable[[#This Row],[AverageScore]]-MIN(StudentsTable[AverageScore]))/(MAX(StudentsTable[AverageScore])-MIN(StudentsTable[AverageScore]))*100</f>
        <v>65.567765567765562</v>
      </c>
    </row>
    <row r="532" spans="1:15" x14ac:dyDescent="0.3">
      <c r="A532" t="s">
        <v>8</v>
      </c>
      <c r="B532" t="s">
        <v>13</v>
      </c>
      <c r="C532" t="s">
        <v>19</v>
      </c>
      <c r="D532" t="s">
        <v>11</v>
      </c>
      <c r="E532" t="s">
        <v>15</v>
      </c>
      <c r="F532">
        <v>68</v>
      </c>
      <c r="G532">
        <v>67</v>
      </c>
      <c r="H532">
        <v>73</v>
      </c>
      <c r="I532">
        <f>StudentsTable[[#This Row],[math score]]+StudentsTable[[#This Row],[reading score]]+StudentsTable[[#This Row],[writing score]]</f>
        <v>208</v>
      </c>
      <c r="J532">
        <f>StudentsTable[[#This Row],[TotalScore]]/3</f>
        <v>69.333333333333329</v>
      </c>
      <c r="K532" t="str" cm="1">
        <f t="array" ref="K532">_xlfn.IFS(StudentsTable[[#This Row],[AverageScore]]&gt;=90,"A",StudentsTable[[#This Row],[AverageScore]]&gt;=80,"B",StudentsTable[[#This Row],[AverageScore]]&gt;=70,"C",StudentsTable[[#This Row],[AverageScore]]&gt;=60,"D",TRUE,"F")</f>
        <v>D</v>
      </c>
      <c r="L532" t="str">
        <f>IF(StudentsTable[[#This Row],[AverageScore]]&gt;=60,"Pass","Fail")</f>
        <v>Pass</v>
      </c>
      <c r="M532" t="str" cm="1">
        <f t="array" ref="M532">_xlfn.IFS(StudentsTable[[#This Row],[AverageScore]]&gt;=85,"Advanced",StudentsTable[[#This Row],[AverageScore]]&gt;=70,"Intermediate",StudentsTable[[#This Row],[AverageScore]]&gt;=60,"Basic",TRUE,"Needs Help")</f>
        <v>Basic</v>
      </c>
      <c r="N532">
        <f>RANK(StudentsTable[[#This Row],[AverageScore]],StudentsTable[AverageScore])</f>
        <v>465</v>
      </c>
      <c r="O532">
        <f>(StudentsTable[[#This Row],[AverageScore]]-MIN(StudentsTable[AverageScore]))/(MAX(StudentsTable[AverageScore])-MIN(StudentsTable[AverageScore]))*100</f>
        <v>66.300366300366292</v>
      </c>
    </row>
    <row r="533" spans="1:15" x14ac:dyDescent="0.3">
      <c r="A533" t="s">
        <v>8</v>
      </c>
      <c r="B533" t="s">
        <v>13</v>
      </c>
      <c r="C533" t="s">
        <v>23</v>
      </c>
      <c r="D533" t="s">
        <v>11</v>
      </c>
      <c r="E533" t="s">
        <v>12</v>
      </c>
      <c r="F533">
        <v>47</v>
      </c>
      <c r="G533">
        <v>54</v>
      </c>
      <c r="H533">
        <v>53</v>
      </c>
      <c r="I533">
        <f>StudentsTable[[#This Row],[math score]]+StudentsTable[[#This Row],[reading score]]+StudentsTable[[#This Row],[writing score]]</f>
        <v>154</v>
      </c>
      <c r="J533">
        <f>StudentsTable[[#This Row],[TotalScore]]/3</f>
        <v>51.333333333333336</v>
      </c>
      <c r="K533" t="str" cm="1">
        <f t="array" ref="K533">_xlfn.IFS(StudentsTable[[#This Row],[AverageScore]]&gt;=90,"A",StudentsTable[[#This Row],[AverageScore]]&gt;=80,"B",StudentsTable[[#This Row],[AverageScore]]&gt;=70,"C",StudentsTable[[#This Row],[AverageScore]]&gt;=60,"D",TRUE,"F")</f>
        <v>F</v>
      </c>
      <c r="L533" t="str">
        <f>IF(StudentsTable[[#This Row],[AverageScore]]&gt;=60,"Pass","Fail")</f>
        <v>Fail</v>
      </c>
      <c r="M533" t="str" cm="1">
        <f t="array" ref="M533">_xlfn.IFS(StudentsTable[[#This Row],[AverageScore]]&gt;=85,"Advanced",StudentsTable[[#This Row],[AverageScore]]&gt;=70,"Intermediate",StudentsTable[[#This Row],[AverageScore]]&gt;=60,"Basic",TRUE,"Needs Help")</f>
        <v>Needs Help</v>
      </c>
      <c r="N533">
        <f>RANK(StudentsTable[[#This Row],[AverageScore]],StudentsTable[AverageScore])</f>
        <v>870</v>
      </c>
      <c r="O533">
        <f>(StudentsTable[[#This Row],[AverageScore]]-MIN(StudentsTable[AverageScore]))/(MAX(StudentsTable[AverageScore])-MIN(StudentsTable[AverageScore]))*100</f>
        <v>46.520146520146518</v>
      </c>
    </row>
    <row r="534" spans="1:15" x14ac:dyDescent="0.3">
      <c r="A534" t="s">
        <v>17</v>
      </c>
      <c r="B534" t="s">
        <v>24</v>
      </c>
      <c r="C534" t="s">
        <v>19</v>
      </c>
      <c r="D534" t="s">
        <v>11</v>
      </c>
      <c r="E534" t="s">
        <v>15</v>
      </c>
      <c r="F534">
        <v>62</v>
      </c>
      <c r="G534">
        <v>61</v>
      </c>
      <c r="H534">
        <v>58</v>
      </c>
      <c r="I534">
        <f>StudentsTable[[#This Row],[math score]]+StudentsTable[[#This Row],[reading score]]+StudentsTable[[#This Row],[writing score]]</f>
        <v>181</v>
      </c>
      <c r="J534">
        <f>StudentsTable[[#This Row],[TotalScore]]/3</f>
        <v>60.333333333333336</v>
      </c>
      <c r="K534" t="str" cm="1">
        <f t="array" ref="K534">_xlfn.IFS(StudentsTable[[#This Row],[AverageScore]]&gt;=90,"A",StudentsTable[[#This Row],[AverageScore]]&gt;=80,"B",StudentsTable[[#This Row],[AverageScore]]&gt;=70,"C",StudentsTable[[#This Row],[AverageScore]]&gt;=60,"D",TRUE,"F")</f>
        <v>D</v>
      </c>
      <c r="L534" t="str">
        <f>IF(StudentsTable[[#This Row],[AverageScore]]&gt;=60,"Pass","Fail")</f>
        <v>Pass</v>
      </c>
      <c r="M534" t="str" cm="1">
        <f t="array" ref="M534">_xlfn.IFS(StudentsTable[[#This Row],[AverageScore]]&gt;=85,"Advanced",StudentsTable[[#This Row],[AverageScore]]&gt;=70,"Intermediate",StudentsTable[[#This Row],[AverageScore]]&gt;=60,"Basic",TRUE,"Needs Help")</f>
        <v>Basic</v>
      </c>
      <c r="N534">
        <f>RANK(StudentsTable[[#This Row],[AverageScore]],StudentsTable[AverageScore])</f>
        <v>700</v>
      </c>
      <c r="O534">
        <f>(StudentsTable[[#This Row],[AverageScore]]-MIN(StudentsTable[AverageScore]))/(MAX(StudentsTable[AverageScore])-MIN(StudentsTable[AverageScore]))*100</f>
        <v>56.410256410256409</v>
      </c>
    </row>
    <row r="535" spans="1:15" x14ac:dyDescent="0.3">
      <c r="A535" t="s">
        <v>8</v>
      </c>
      <c r="B535" t="s">
        <v>24</v>
      </c>
      <c r="C535" t="s">
        <v>19</v>
      </c>
      <c r="D535" t="s">
        <v>11</v>
      </c>
      <c r="E535" t="s">
        <v>15</v>
      </c>
      <c r="F535">
        <v>79</v>
      </c>
      <c r="G535">
        <v>88</v>
      </c>
      <c r="H535">
        <v>94</v>
      </c>
      <c r="I535">
        <f>StudentsTable[[#This Row],[math score]]+StudentsTable[[#This Row],[reading score]]+StudentsTable[[#This Row],[writing score]]</f>
        <v>261</v>
      </c>
      <c r="J535">
        <f>StudentsTable[[#This Row],[TotalScore]]/3</f>
        <v>87</v>
      </c>
      <c r="K535" t="str" cm="1">
        <f t="array" ref="K535">_xlfn.IFS(StudentsTable[[#This Row],[AverageScore]]&gt;=90,"A",StudentsTable[[#This Row],[AverageScore]]&gt;=80,"B",StudentsTable[[#This Row],[AverageScore]]&gt;=70,"C",StudentsTable[[#This Row],[AverageScore]]&gt;=60,"D",TRUE,"F")</f>
        <v>B</v>
      </c>
      <c r="L535" t="str">
        <f>IF(StudentsTable[[#This Row],[AverageScore]]&gt;=60,"Pass","Fail")</f>
        <v>Pass</v>
      </c>
      <c r="M535" t="str" cm="1">
        <f t="array" ref="M535">_xlfn.IFS(StudentsTable[[#This Row],[AverageScore]]&gt;=85,"Advanced",StudentsTable[[#This Row],[AverageScore]]&gt;=70,"Intermediate",StudentsTable[[#This Row],[AverageScore]]&gt;=60,"Basic",TRUE,"Needs Help")</f>
        <v>Advanced</v>
      </c>
      <c r="N535">
        <f>RANK(StudentsTable[[#This Row],[AverageScore]],StudentsTable[AverageScore])</f>
        <v>83</v>
      </c>
      <c r="O535">
        <f>(StudentsTable[[#This Row],[AverageScore]]-MIN(StudentsTable[AverageScore]))/(MAX(StudentsTable[AverageScore])-MIN(StudentsTable[AverageScore]))*100</f>
        <v>85.714285714285708</v>
      </c>
    </row>
    <row r="536" spans="1:15" x14ac:dyDescent="0.3">
      <c r="A536" t="s">
        <v>17</v>
      </c>
      <c r="B536" t="s">
        <v>9</v>
      </c>
      <c r="C536" t="s">
        <v>22</v>
      </c>
      <c r="D536" t="s">
        <v>11</v>
      </c>
      <c r="E536" t="s">
        <v>15</v>
      </c>
      <c r="F536">
        <v>73</v>
      </c>
      <c r="G536">
        <v>69</v>
      </c>
      <c r="H536">
        <v>68</v>
      </c>
      <c r="I536">
        <f>StudentsTable[[#This Row],[math score]]+StudentsTable[[#This Row],[reading score]]+StudentsTable[[#This Row],[writing score]]</f>
        <v>210</v>
      </c>
      <c r="J536">
        <f>StudentsTable[[#This Row],[TotalScore]]/3</f>
        <v>70</v>
      </c>
      <c r="K536" t="str" cm="1">
        <f t="array" ref="K536">_xlfn.IFS(StudentsTable[[#This Row],[AverageScore]]&gt;=90,"A",StudentsTable[[#This Row],[AverageScore]]&gt;=80,"B",StudentsTable[[#This Row],[AverageScore]]&gt;=70,"C",StudentsTable[[#This Row],[AverageScore]]&gt;=60,"D",TRUE,"F")</f>
        <v>C</v>
      </c>
      <c r="L536" t="str">
        <f>IF(StudentsTable[[#This Row],[AverageScore]]&gt;=60,"Pass","Fail")</f>
        <v>Pass</v>
      </c>
      <c r="M536" t="str" cm="1">
        <f t="array" ref="M536">_xlfn.IFS(StudentsTable[[#This Row],[AverageScore]]&gt;=85,"Advanced",StudentsTable[[#This Row],[AverageScore]]&gt;=70,"Intermediate",StudentsTable[[#This Row],[AverageScore]]&gt;=60,"Basic",TRUE,"Needs Help")</f>
        <v>Intermediate</v>
      </c>
      <c r="N536">
        <f>RANK(StudentsTable[[#This Row],[AverageScore]],StudentsTable[AverageScore])</f>
        <v>448</v>
      </c>
      <c r="O536">
        <f>(StudentsTable[[#This Row],[AverageScore]]-MIN(StudentsTable[AverageScore]))/(MAX(StudentsTable[AverageScore])-MIN(StudentsTable[AverageScore]))*100</f>
        <v>67.032967032967022</v>
      </c>
    </row>
    <row r="537" spans="1:15" x14ac:dyDescent="0.3">
      <c r="A537" t="s">
        <v>8</v>
      </c>
      <c r="B537" t="s">
        <v>13</v>
      </c>
      <c r="C537" t="s">
        <v>10</v>
      </c>
      <c r="D537" t="s">
        <v>20</v>
      </c>
      <c r="E537" t="s">
        <v>15</v>
      </c>
      <c r="F537">
        <v>66</v>
      </c>
      <c r="G537">
        <v>83</v>
      </c>
      <c r="H537">
        <v>83</v>
      </c>
      <c r="I537">
        <f>StudentsTable[[#This Row],[math score]]+StudentsTable[[#This Row],[reading score]]+StudentsTable[[#This Row],[writing score]]</f>
        <v>232</v>
      </c>
      <c r="J537">
        <f>StudentsTable[[#This Row],[TotalScore]]/3</f>
        <v>77.333333333333329</v>
      </c>
      <c r="K537" t="str" cm="1">
        <f t="array" ref="K537">_xlfn.IFS(StudentsTable[[#This Row],[AverageScore]]&gt;=90,"A",StudentsTable[[#This Row],[AverageScore]]&gt;=80,"B",StudentsTable[[#This Row],[AverageScore]]&gt;=70,"C",StudentsTable[[#This Row],[AverageScore]]&gt;=60,"D",TRUE,"F")</f>
        <v>C</v>
      </c>
      <c r="L537" t="str">
        <f>IF(StudentsTable[[#This Row],[AverageScore]]&gt;=60,"Pass","Fail")</f>
        <v>Pass</v>
      </c>
      <c r="M537" t="str" cm="1">
        <f t="array" ref="M537">_xlfn.IFS(StudentsTable[[#This Row],[AverageScore]]&gt;=85,"Advanced",StudentsTable[[#This Row],[AverageScore]]&gt;=70,"Intermediate",StudentsTable[[#This Row],[AverageScore]]&gt;=60,"Basic",TRUE,"Needs Help")</f>
        <v>Intermediate</v>
      </c>
      <c r="N537">
        <f>RANK(StudentsTable[[#This Row],[AverageScore]],StudentsTable[AverageScore])</f>
        <v>255</v>
      </c>
      <c r="O537">
        <f>(StudentsTable[[#This Row],[AverageScore]]-MIN(StudentsTable[AverageScore]))/(MAX(StudentsTable[AverageScore])-MIN(StudentsTable[AverageScore]))*100</f>
        <v>75.091575091575095</v>
      </c>
    </row>
    <row r="538" spans="1:15" x14ac:dyDescent="0.3">
      <c r="A538" t="s">
        <v>17</v>
      </c>
      <c r="B538" t="s">
        <v>13</v>
      </c>
      <c r="C538" t="s">
        <v>19</v>
      </c>
      <c r="D538" t="s">
        <v>11</v>
      </c>
      <c r="E538" t="s">
        <v>15</v>
      </c>
      <c r="F538">
        <v>51</v>
      </c>
      <c r="G538">
        <v>60</v>
      </c>
      <c r="H538">
        <v>58</v>
      </c>
      <c r="I538">
        <f>StudentsTable[[#This Row],[math score]]+StudentsTable[[#This Row],[reading score]]+StudentsTable[[#This Row],[writing score]]</f>
        <v>169</v>
      </c>
      <c r="J538">
        <f>StudentsTable[[#This Row],[TotalScore]]/3</f>
        <v>56.333333333333336</v>
      </c>
      <c r="K538" t="str" cm="1">
        <f t="array" ref="K538">_xlfn.IFS(StudentsTable[[#This Row],[AverageScore]]&gt;=90,"A",StudentsTable[[#This Row],[AverageScore]]&gt;=80,"B",StudentsTable[[#This Row],[AverageScore]]&gt;=70,"C",StudentsTable[[#This Row],[AverageScore]]&gt;=60,"D",TRUE,"F")</f>
        <v>F</v>
      </c>
      <c r="L538" t="str">
        <f>IF(StudentsTable[[#This Row],[AverageScore]]&gt;=60,"Pass","Fail")</f>
        <v>Fail</v>
      </c>
      <c r="M538" t="str" cm="1">
        <f t="array" ref="M538">_xlfn.IFS(StudentsTable[[#This Row],[AverageScore]]&gt;=85,"Advanced",StudentsTable[[#This Row],[AverageScore]]&gt;=70,"Intermediate",StudentsTable[[#This Row],[AverageScore]]&gt;=60,"Basic",TRUE,"Needs Help")</f>
        <v>Needs Help</v>
      </c>
      <c r="N538">
        <f>RANK(StudentsTable[[#This Row],[AverageScore]],StudentsTable[AverageScore])</f>
        <v>780</v>
      </c>
      <c r="O538">
        <f>(StudentsTable[[#This Row],[AverageScore]]-MIN(StudentsTable[AverageScore]))/(MAX(StudentsTable[AverageScore])-MIN(StudentsTable[AverageScore]))*100</f>
        <v>52.014652014652022</v>
      </c>
    </row>
    <row r="539" spans="1:15" x14ac:dyDescent="0.3">
      <c r="A539" t="s">
        <v>8</v>
      </c>
      <c r="B539" t="s">
        <v>21</v>
      </c>
      <c r="C539" t="s">
        <v>22</v>
      </c>
      <c r="D539" t="s">
        <v>11</v>
      </c>
      <c r="E539" t="s">
        <v>12</v>
      </c>
      <c r="F539">
        <v>51</v>
      </c>
      <c r="G539">
        <v>66</v>
      </c>
      <c r="H539">
        <v>62</v>
      </c>
      <c r="I539">
        <f>StudentsTable[[#This Row],[math score]]+StudentsTable[[#This Row],[reading score]]+StudentsTable[[#This Row],[writing score]]</f>
        <v>179</v>
      </c>
      <c r="J539">
        <f>StudentsTable[[#This Row],[TotalScore]]/3</f>
        <v>59.666666666666664</v>
      </c>
      <c r="K539" t="str" cm="1">
        <f t="array" ref="K539">_xlfn.IFS(StudentsTable[[#This Row],[AverageScore]]&gt;=90,"A",StudentsTable[[#This Row],[AverageScore]]&gt;=80,"B",StudentsTable[[#This Row],[AverageScore]]&gt;=70,"C",StudentsTable[[#This Row],[AverageScore]]&gt;=60,"D",TRUE,"F")</f>
        <v>F</v>
      </c>
      <c r="L539" t="str">
        <f>IF(StudentsTable[[#This Row],[AverageScore]]&gt;=60,"Pass","Fail")</f>
        <v>Fail</v>
      </c>
      <c r="M539" t="str" cm="1">
        <f t="array" ref="M539">_xlfn.IFS(StudentsTable[[#This Row],[AverageScore]]&gt;=85,"Advanced",StudentsTable[[#This Row],[AverageScore]]&gt;=70,"Intermediate",StudentsTable[[#This Row],[AverageScore]]&gt;=60,"Basic",TRUE,"Needs Help")</f>
        <v>Needs Help</v>
      </c>
      <c r="N539">
        <f>RANK(StudentsTable[[#This Row],[AverageScore]],StudentsTable[AverageScore])</f>
        <v>716</v>
      </c>
      <c r="O539">
        <f>(StudentsTable[[#This Row],[AverageScore]]-MIN(StudentsTable[AverageScore]))/(MAX(StudentsTable[AverageScore])-MIN(StudentsTable[AverageScore]))*100</f>
        <v>55.677655677655679</v>
      </c>
    </row>
    <row r="540" spans="1:15" x14ac:dyDescent="0.3">
      <c r="A540" t="s">
        <v>17</v>
      </c>
      <c r="B540" t="s">
        <v>24</v>
      </c>
      <c r="C540" t="s">
        <v>10</v>
      </c>
      <c r="D540" t="s">
        <v>11</v>
      </c>
      <c r="E540" t="s">
        <v>15</v>
      </c>
      <c r="F540">
        <v>85</v>
      </c>
      <c r="G540">
        <v>66</v>
      </c>
      <c r="H540">
        <v>71</v>
      </c>
      <c r="I540">
        <f>StudentsTable[[#This Row],[math score]]+StudentsTable[[#This Row],[reading score]]+StudentsTable[[#This Row],[writing score]]</f>
        <v>222</v>
      </c>
      <c r="J540">
        <f>StudentsTable[[#This Row],[TotalScore]]/3</f>
        <v>74</v>
      </c>
      <c r="K540" t="str" cm="1">
        <f t="array" ref="K540">_xlfn.IFS(StudentsTable[[#This Row],[AverageScore]]&gt;=90,"A",StudentsTable[[#This Row],[AverageScore]]&gt;=80,"B",StudentsTable[[#This Row],[AverageScore]]&gt;=70,"C",StudentsTable[[#This Row],[AverageScore]]&gt;=60,"D",TRUE,"F")</f>
        <v>C</v>
      </c>
      <c r="L540" t="str">
        <f>IF(StudentsTable[[#This Row],[AverageScore]]&gt;=60,"Pass","Fail")</f>
        <v>Pass</v>
      </c>
      <c r="M540" t="str" cm="1">
        <f t="array" ref="M540">_xlfn.IFS(StudentsTable[[#This Row],[AverageScore]]&gt;=85,"Advanced",StudentsTable[[#This Row],[AverageScore]]&gt;=70,"Intermediate",StudentsTable[[#This Row],[AverageScore]]&gt;=60,"Basic",TRUE,"Needs Help")</f>
        <v>Intermediate</v>
      </c>
      <c r="N540">
        <f>RANK(StudentsTable[[#This Row],[AverageScore]],StudentsTable[AverageScore])</f>
        <v>345</v>
      </c>
      <c r="O540">
        <f>(StudentsTable[[#This Row],[AverageScore]]-MIN(StudentsTable[AverageScore]))/(MAX(StudentsTable[AverageScore])-MIN(StudentsTable[AverageScore]))*100</f>
        <v>71.428571428571431</v>
      </c>
    </row>
    <row r="541" spans="1:15" x14ac:dyDescent="0.3">
      <c r="A541" t="s">
        <v>17</v>
      </c>
      <c r="B541" t="s">
        <v>18</v>
      </c>
      <c r="C541" t="s">
        <v>19</v>
      </c>
      <c r="D541" t="s">
        <v>11</v>
      </c>
      <c r="E541" t="s">
        <v>15</v>
      </c>
      <c r="F541">
        <v>97</v>
      </c>
      <c r="G541">
        <v>92</v>
      </c>
      <c r="H541">
        <v>86</v>
      </c>
      <c r="I541">
        <f>StudentsTable[[#This Row],[math score]]+StudentsTable[[#This Row],[reading score]]+StudentsTable[[#This Row],[writing score]]</f>
        <v>275</v>
      </c>
      <c r="J541">
        <f>StudentsTable[[#This Row],[TotalScore]]/3</f>
        <v>91.666666666666671</v>
      </c>
      <c r="K541" t="str" cm="1">
        <f t="array" ref="K541">_xlfn.IFS(StudentsTable[[#This Row],[AverageScore]]&gt;=90,"A",StudentsTable[[#This Row],[AverageScore]]&gt;=80,"B",StudentsTable[[#This Row],[AverageScore]]&gt;=70,"C",StudentsTable[[#This Row],[AverageScore]]&gt;=60,"D",TRUE,"F")</f>
        <v>A</v>
      </c>
      <c r="L541" t="str">
        <f>IF(StudentsTable[[#This Row],[AverageScore]]&gt;=60,"Pass","Fail")</f>
        <v>Pass</v>
      </c>
      <c r="M541" t="str" cm="1">
        <f t="array" ref="M541">_xlfn.IFS(StudentsTable[[#This Row],[AverageScore]]&gt;=85,"Advanced",StudentsTable[[#This Row],[AverageScore]]&gt;=70,"Intermediate",StudentsTable[[#This Row],[AverageScore]]&gt;=60,"Basic",TRUE,"Needs Help")</f>
        <v>Advanced</v>
      </c>
      <c r="N541">
        <f>RANK(StudentsTable[[#This Row],[AverageScore]],StudentsTable[AverageScore])</f>
        <v>37</v>
      </c>
      <c r="O541">
        <f>(StudentsTable[[#This Row],[AverageScore]]-MIN(StudentsTable[AverageScore]))/(MAX(StudentsTable[AverageScore])-MIN(StudentsTable[AverageScore]))*100</f>
        <v>90.842490842490847</v>
      </c>
    </row>
    <row r="542" spans="1:15" x14ac:dyDescent="0.3">
      <c r="A542" t="s">
        <v>17</v>
      </c>
      <c r="B542" t="s">
        <v>13</v>
      </c>
      <c r="C542" t="s">
        <v>22</v>
      </c>
      <c r="D542" t="s">
        <v>11</v>
      </c>
      <c r="E542" t="s">
        <v>15</v>
      </c>
      <c r="F542">
        <v>75</v>
      </c>
      <c r="G542">
        <v>69</v>
      </c>
      <c r="H542">
        <v>68</v>
      </c>
      <c r="I542">
        <f>StudentsTable[[#This Row],[math score]]+StudentsTable[[#This Row],[reading score]]+StudentsTable[[#This Row],[writing score]]</f>
        <v>212</v>
      </c>
      <c r="J542">
        <f>StudentsTable[[#This Row],[TotalScore]]/3</f>
        <v>70.666666666666671</v>
      </c>
      <c r="K542" t="str" cm="1">
        <f t="array" ref="K542">_xlfn.IFS(StudentsTable[[#This Row],[AverageScore]]&gt;=90,"A",StudentsTable[[#This Row],[AverageScore]]&gt;=80,"B",StudentsTable[[#This Row],[AverageScore]]&gt;=70,"C",StudentsTable[[#This Row],[AverageScore]]&gt;=60,"D",TRUE,"F")</f>
        <v>C</v>
      </c>
      <c r="L542" t="str">
        <f>IF(StudentsTable[[#This Row],[AverageScore]]&gt;=60,"Pass","Fail")</f>
        <v>Pass</v>
      </c>
      <c r="M542" t="str" cm="1">
        <f t="array" ref="M542">_xlfn.IFS(StudentsTable[[#This Row],[AverageScore]]&gt;=85,"Advanced",StudentsTable[[#This Row],[AverageScore]]&gt;=70,"Intermediate",StudentsTable[[#This Row],[AverageScore]]&gt;=60,"Basic",TRUE,"Needs Help")</f>
        <v>Intermediate</v>
      </c>
      <c r="N542">
        <f>RANK(StudentsTable[[#This Row],[AverageScore]],StudentsTable[AverageScore])</f>
        <v>435</v>
      </c>
      <c r="O542">
        <f>(StudentsTable[[#This Row],[AverageScore]]-MIN(StudentsTable[AverageScore]))/(MAX(StudentsTable[AverageScore])-MIN(StudentsTable[AverageScore]))*100</f>
        <v>67.765567765567766</v>
      </c>
    </row>
    <row r="543" spans="1:15" x14ac:dyDescent="0.3">
      <c r="A543" t="s">
        <v>17</v>
      </c>
      <c r="B543" t="s">
        <v>21</v>
      </c>
      <c r="C543" t="s">
        <v>19</v>
      </c>
      <c r="D543" t="s">
        <v>20</v>
      </c>
      <c r="E543" t="s">
        <v>15</v>
      </c>
      <c r="F543">
        <v>79</v>
      </c>
      <c r="G543">
        <v>82</v>
      </c>
      <c r="H543">
        <v>80</v>
      </c>
      <c r="I543">
        <f>StudentsTable[[#This Row],[math score]]+StudentsTable[[#This Row],[reading score]]+StudentsTable[[#This Row],[writing score]]</f>
        <v>241</v>
      </c>
      <c r="J543">
        <f>StudentsTable[[#This Row],[TotalScore]]/3</f>
        <v>80.333333333333329</v>
      </c>
      <c r="K543" t="str" cm="1">
        <f t="array" ref="K543">_xlfn.IFS(StudentsTable[[#This Row],[AverageScore]]&gt;=90,"A",StudentsTable[[#This Row],[AverageScore]]&gt;=80,"B",StudentsTable[[#This Row],[AverageScore]]&gt;=70,"C",StudentsTable[[#This Row],[AverageScore]]&gt;=60,"D",TRUE,"F")</f>
        <v>B</v>
      </c>
      <c r="L543" t="str">
        <f>IF(StudentsTable[[#This Row],[AverageScore]]&gt;=60,"Pass","Fail")</f>
        <v>Pass</v>
      </c>
      <c r="M543" t="str" cm="1">
        <f t="array" ref="M543">_xlfn.IFS(StudentsTable[[#This Row],[AverageScore]]&gt;=85,"Advanced",StudentsTable[[#This Row],[AverageScore]]&gt;=70,"Intermediate",StudentsTable[[#This Row],[AverageScore]]&gt;=60,"Basic",TRUE,"Needs Help")</f>
        <v>Intermediate</v>
      </c>
      <c r="N543">
        <f>RANK(StudentsTable[[#This Row],[AverageScore]],StudentsTable[AverageScore])</f>
        <v>187</v>
      </c>
      <c r="O543">
        <f>(StudentsTable[[#This Row],[AverageScore]]-MIN(StudentsTable[AverageScore]))/(MAX(StudentsTable[AverageScore])-MIN(StudentsTable[AverageScore]))*100</f>
        <v>78.388278388278394</v>
      </c>
    </row>
    <row r="544" spans="1:15" x14ac:dyDescent="0.3">
      <c r="A544" t="s">
        <v>8</v>
      </c>
      <c r="B544" t="s">
        <v>13</v>
      </c>
      <c r="C544" t="s">
        <v>19</v>
      </c>
      <c r="D544" t="s">
        <v>11</v>
      </c>
      <c r="E544" t="s">
        <v>12</v>
      </c>
      <c r="F544">
        <v>81</v>
      </c>
      <c r="G544">
        <v>77</v>
      </c>
      <c r="H544">
        <v>79</v>
      </c>
      <c r="I544">
        <f>StudentsTable[[#This Row],[math score]]+StudentsTable[[#This Row],[reading score]]+StudentsTable[[#This Row],[writing score]]</f>
        <v>237</v>
      </c>
      <c r="J544">
        <f>StudentsTable[[#This Row],[TotalScore]]/3</f>
        <v>79</v>
      </c>
      <c r="K544" t="str" cm="1">
        <f t="array" ref="K544">_xlfn.IFS(StudentsTable[[#This Row],[AverageScore]]&gt;=90,"A",StudentsTable[[#This Row],[AverageScore]]&gt;=80,"B",StudentsTable[[#This Row],[AverageScore]]&gt;=70,"C",StudentsTable[[#This Row],[AverageScore]]&gt;=60,"D",TRUE,"F")</f>
        <v>C</v>
      </c>
      <c r="L544" t="str">
        <f>IF(StudentsTable[[#This Row],[AverageScore]]&gt;=60,"Pass","Fail")</f>
        <v>Pass</v>
      </c>
      <c r="M544" t="str" cm="1">
        <f t="array" ref="M544">_xlfn.IFS(StudentsTable[[#This Row],[AverageScore]]&gt;=85,"Advanced",StudentsTable[[#This Row],[AverageScore]]&gt;=70,"Intermediate",StudentsTable[[#This Row],[AverageScore]]&gt;=60,"Basic",TRUE,"Needs Help")</f>
        <v>Intermediate</v>
      </c>
      <c r="N544">
        <f>RANK(StudentsTable[[#This Row],[AverageScore]],StudentsTable[AverageScore])</f>
        <v>215</v>
      </c>
      <c r="O544">
        <f>(StudentsTable[[#This Row],[AverageScore]]-MIN(StudentsTable[AverageScore]))/(MAX(StudentsTable[AverageScore])-MIN(StudentsTable[AverageScore]))*100</f>
        <v>76.923076923076934</v>
      </c>
    </row>
    <row r="545" spans="1:15" x14ac:dyDescent="0.3">
      <c r="A545" t="s">
        <v>8</v>
      </c>
      <c r="B545" t="s">
        <v>21</v>
      </c>
      <c r="C545" t="s">
        <v>19</v>
      </c>
      <c r="D545" t="s">
        <v>11</v>
      </c>
      <c r="E545" t="s">
        <v>12</v>
      </c>
      <c r="F545">
        <v>82</v>
      </c>
      <c r="G545">
        <v>95</v>
      </c>
      <c r="H545">
        <v>89</v>
      </c>
      <c r="I545">
        <f>StudentsTable[[#This Row],[math score]]+StudentsTable[[#This Row],[reading score]]+StudentsTable[[#This Row],[writing score]]</f>
        <v>266</v>
      </c>
      <c r="J545">
        <f>StudentsTable[[#This Row],[TotalScore]]/3</f>
        <v>88.666666666666671</v>
      </c>
      <c r="K545" t="str" cm="1">
        <f t="array" ref="K545">_xlfn.IFS(StudentsTable[[#This Row],[AverageScore]]&gt;=90,"A",StudentsTable[[#This Row],[AverageScore]]&gt;=80,"B",StudentsTable[[#This Row],[AverageScore]]&gt;=70,"C",StudentsTable[[#This Row],[AverageScore]]&gt;=60,"D",TRUE,"F")</f>
        <v>B</v>
      </c>
      <c r="L545" t="str">
        <f>IF(StudentsTable[[#This Row],[AverageScore]]&gt;=60,"Pass","Fail")</f>
        <v>Pass</v>
      </c>
      <c r="M545" t="str" cm="1">
        <f t="array" ref="M545">_xlfn.IFS(StudentsTable[[#This Row],[AverageScore]]&gt;=85,"Advanced",StudentsTable[[#This Row],[AverageScore]]&gt;=70,"Intermediate",StudentsTable[[#This Row],[AverageScore]]&gt;=60,"Basic",TRUE,"Needs Help")</f>
        <v>Advanced</v>
      </c>
      <c r="N545">
        <f>RANK(StudentsTable[[#This Row],[AverageScore]],StudentsTable[AverageScore])</f>
        <v>64</v>
      </c>
      <c r="O545">
        <f>(StudentsTable[[#This Row],[AverageScore]]-MIN(StudentsTable[AverageScore]))/(MAX(StudentsTable[AverageScore])-MIN(StudentsTable[AverageScore]))*100</f>
        <v>87.545787545787547</v>
      </c>
    </row>
    <row r="546" spans="1:15" x14ac:dyDescent="0.3">
      <c r="A546" t="s">
        <v>8</v>
      </c>
      <c r="B546" t="s">
        <v>21</v>
      </c>
      <c r="C546" t="s">
        <v>16</v>
      </c>
      <c r="D546" t="s">
        <v>11</v>
      </c>
      <c r="E546" t="s">
        <v>12</v>
      </c>
      <c r="F546">
        <v>64</v>
      </c>
      <c r="G546">
        <v>63</v>
      </c>
      <c r="H546">
        <v>66</v>
      </c>
      <c r="I546">
        <f>StudentsTable[[#This Row],[math score]]+StudentsTable[[#This Row],[reading score]]+StudentsTable[[#This Row],[writing score]]</f>
        <v>193</v>
      </c>
      <c r="J546">
        <f>StudentsTable[[#This Row],[TotalScore]]/3</f>
        <v>64.333333333333329</v>
      </c>
      <c r="K546" t="str" cm="1">
        <f t="array" ref="K546">_xlfn.IFS(StudentsTable[[#This Row],[AverageScore]]&gt;=90,"A",StudentsTable[[#This Row],[AverageScore]]&gt;=80,"B",StudentsTable[[#This Row],[AverageScore]]&gt;=70,"C",StudentsTable[[#This Row],[AverageScore]]&gt;=60,"D",TRUE,"F")</f>
        <v>D</v>
      </c>
      <c r="L546" t="str">
        <f>IF(StudentsTable[[#This Row],[AverageScore]]&gt;=60,"Pass","Fail")</f>
        <v>Pass</v>
      </c>
      <c r="M546" t="str" cm="1">
        <f t="array" ref="M546">_xlfn.IFS(StudentsTable[[#This Row],[AverageScore]]&gt;=85,"Advanced",StudentsTable[[#This Row],[AverageScore]]&gt;=70,"Intermediate",StudentsTable[[#This Row],[AverageScore]]&gt;=60,"Basic",TRUE,"Needs Help")</f>
        <v>Basic</v>
      </c>
      <c r="N546">
        <f>RANK(StudentsTable[[#This Row],[AverageScore]],StudentsTable[AverageScore])</f>
        <v>613</v>
      </c>
      <c r="O546">
        <f>(StudentsTable[[#This Row],[AverageScore]]-MIN(StudentsTable[AverageScore]))/(MAX(StudentsTable[AverageScore])-MIN(StudentsTable[AverageScore]))*100</f>
        <v>60.805860805860803</v>
      </c>
    </row>
    <row r="547" spans="1:15" x14ac:dyDescent="0.3">
      <c r="A547" t="s">
        <v>17</v>
      </c>
      <c r="B547" t="s">
        <v>24</v>
      </c>
      <c r="C547" t="s">
        <v>23</v>
      </c>
      <c r="D547" t="s">
        <v>20</v>
      </c>
      <c r="E547" t="s">
        <v>15</v>
      </c>
      <c r="F547">
        <v>78</v>
      </c>
      <c r="G547">
        <v>83</v>
      </c>
      <c r="H547">
        <v>80</v>
      </c>
      <c r="I547">
        <f>StudentsTable[[#This Row],[math score]]+StudentsTable[[#This Row],[reading score]]+StudentsTable[[#This Row],[writing score]]</f>
        <v>241</v>
      </c>
      <c r="J547">
        <f>StudentsTable[[#This Row],[TotalScore]]/3</f>
        <v>80.333333333333329</v>
      </c>
      <c r="K547" t="str" cm="1">
        <f t="array" ref="K547">_xlfn.IFS(StudentsTable[[#This Row],[AverageScore]]&gt;=90,"A",StudentsTable[[#This Row],[AverageScore]]&gt;=80,"B",StudentsTable[[#This Row],[AverageScore]]&gt;=70,"C",StudentsTable[[#This Row],[AverageScore]]&gt;=60,"D",TRUE,"F")</f>
        <v>B</v>
      </c>
      <c r="L547" t="str">
        <f>IF(StudentsTable[[#This Row],[AverageScore]]&gt;=60,"Pass","Fail")</f>
        <v>Pass</v>
      </c>
      <c r="M547" t="str" cm="1">
        <f t="array" ref="M547">_xlfn.IFS(StudentsTable[[#This Row],[AverageScore]]&gt;=85,"Advanced",StudentsTable[[#This Row],[AverageScore]]&gt;=70,"Intermediate",StudentsTable[[#This Row],[AverageScore]]&gt;=60,"Basic",TRUE,"Needs Help")</f>
        <v>Intermediate</v>
      </c>
      <c r="N547">
        <f>RANK(StudentsTable[[#This Row],[AverageScore]],StudentsTable[AverageScore])</f>
        <v>187</v>
      </c>
      <c r="O547">
        <f>(StudentsTable[[#This Row],[AverageScore]]-MIN(StudentsTable[AverageScore]))/(MAX(StudentsTable[AverageScore])-MIN(StudentsTable[AverageScore]))*100</f>
        <v>78.388278388278394</v>
      </c>
    </row>
    <row r="548" spans="1:15" x14ac:dyDescent="0.3">
      <c r="A548" t="s">
        <v>8</v>
      </c>
      <c r="B548" t="s">
        <v>18</v>
      </c>
      <c r="C548" t="s">
        <v>23</v>
      </c>
      <c r="D548" t="s">
        <v>11</v>
      </c>
      <c r="E548" t="s">
        <v>15</v>
      </c>
      <c r="F548">
        <v>92</v>
      </c>
      <c r="G548">
        <v>100</v>
      </c>
      <c r="H548">
        <v>97</v>
      </c>
      <c r="I548">
        <f>StudentsTable[[#This Row],[math score]]+StudentsTable[[#This Row],[reading score]]+StudentsTable[[#This Row],[writing score]]</f>
        <v>289</v>
      </c>
      <c r="J548">
        <f>StudentsTable[[#This Row],[TotalScore]]/3</f>
        <v>96.333333333333329</v>
      </c>
      <c r="K548" t="str" cm="1">
        <f t="array" ref="K548">_xlfn.IFS(StudentsTable[[#This Row],[AverageScore]]&gt;=90,"A",StudentsTable[[#This Row],[AverageScore]]&gt;=80,"B",StudentsTable[[#This Row],[AverageScore]]&gt;=70,"C",StudentsTable[[#This Row],[AverageScore]]&gt;=60,"D",TRUE,"F")</f>
        <v>A</v>
      </c>
      <c r="L548" t="str">
        <f>IF(StudentsTable[[#This Row],[AverageScore]]&gt;=60,"Pass","Fail")</f>
        <v>Pass</v>
      </c>
      <c r="M548" t="str" cm="1">
        <f t="array" ref="M548">_xlfn.IFS(StudentsTable[[#This Row],[AverageScore]]&gt;=85,"Advanced",StudentsTable[[#This Row],[AverageScore]]&gt;=70,"Intermediate",StudentsTable[[#This Row],[AverageScore]]&gt;=60,"Basic",TRUE,"Needs Help")</f>
        <v>Advanced</v>
      </c>
      <c r="N548">
        <f>RANK(StudentsTable[[#This Row],[AverageScore]],StudentsTable[AverageScore])</f>
        <v>17</v>
      </c>
      <c r="O548">
        <f>(StudentsTable[[#This Row],[AverageScore]]-MIN(StudentsTable[AverageScore]))/(MAX(StudentsTable[AverageScore])-MIN(StudentsTable[AverageScore]))*100</f>
        <v>95.970695970695957</v>
      </c>
    </row>
    <row r="549" spans="1:15" x14ac:dyDescent="0.3">
      <c r="A549" t="s">
        <v>17</v>
      </c>
      <c r="B549" t="s">
        <v>13</v>
      </c>
      <c r="C549" t="s">
        <v>22</v>
      </c>
      <c r="D549" t="s">
        <v>11</v>
      </c>
      <c r="E549" t="s">
        <v>15</v>
      </c>
      <c r="F549">
        <v>72</v>
      </c>
      <c r="G549">
        <v>67</v>
      </c>
      <c r="H549">
        <v>64</v>
      </c>
      <c r="I549">
        <f>StudentsTable[[#This Row],[math score]]+StudentsTable[[#This Row],[reading score]]+StudentsTable[[#This Row],[writing score]]</f>
        <v>203</v>
      </c>
      <c r="J549">
        <f>StudentsTable[[#This Row],[TotalScore]]/3</f>
        <v>67.666666666666671</v>
      </c>
      <c r="K549" t="str" cm="1">
        <f t="array" ref="K549">_xlfn.IFS(StudentsTable[[#This Row],[AverageScore]]&gt;=90,"A",StudentsTable[[#This Row],[AverageScore]]&gt;=80,"B",StudentsTable[[#This Row],[AverageScore]]&gt;=70,"C",StudentsTable[[#This Row],[AverageScore]]&gt;=60,"D",TRUE,"F")</f>
        <v>D</v>
      </c>
      <c r="L549" t="str">
        <f>IF(StudentsTable[[#This Row],[AverageScore]]&gt;=60,"Pass","Fail")</f>
        <v>Pass</v>
      </c>
      <c r="M549" t="str" cm="1">
        <f t="array" ref="M549">_xlfn.IFS(StudentsTable[[#This Row],[AverageScore]]&gt;=85,"Advanced",StudentsTable[[#This Row],[AverageScore]]&gt;=70,"Intermediate",StudentsTable[[#This Row],[AverageScore]]&gt;=60,"Basic",TRUE,"Needs Help")</f>
        <v>Basic</v>
      </c>
      <c r="N549">
        <f>RANK(StudentsTable[[#This Row],[AverageScore]],StudentsTable[AverageScore])</f>
        <v>527</v>
      </c>
      <c r="O549">
        <f>(StudentsTable[[#This Row],[AverageScore]]-MIN(StudentsTable[AverageScore]))/(MAX(StudentsTable[AverageScore])-MIN(StudentsTable[AverageScore]))*100</f>
        <v>64.468864468864467</v>
      </c>
    </row>
    <row r="550" spans="1:15" x14ac:dyDescent="0.3">
      <c r="A550" t="s">
        <v>8</v>
      </c>
      <c r="B550" t="s">
        <v>13</v>
      </c>
      <c r="C550" t="s">
        <v>22</v>
      </c>
      <c r="D550" t="s">
        <v>20</v>
      </c>
      <c r="E550" t="s">
        <v>12</v>
      </c>
      <c r="F550">
        <v>62</v>
      </c>
      <c r="G550">
        <v>67</v>
      </c>
      <c r="H550">
        <v>64</v>
      </c>
      <c r="I550">
        <f>StudentsTable[[#This Row],[math score]]+StudentsTable[[#This Row],[reading score]]+StudentsTable[[#This Row],[writing score]]</f>
        <v>193</v>
      </c>
      <c r="J550">
        <f>StudentsTable[[#This Row],[TotalScore]]/3</f>
        <v>64.333333333333329</v>
      </c>
      <c r="K550" t="str" cm="1">
        <f t="array" ref="K550">_xlfn.IFS(StudentsTable[[#This Row],[AverageScore]]&gt;=90,"A",StudentsTable[[#This Row],[AverageScore]]&gt;=80,"B",StudentsTable[[#This Row],[AverageScore]]&gt;=70,"C",StudentsTable[[#This Row],[AverageScore]]&gt;=60,"D",TRUE,"F")</f>
        <v>D</v>
      </c>
      <c r="L550" t="str">
        <f>IF(StudentsTable[[#This Row],[AverageScore]]&gt;=60,"Pass","Fail")</f>
        <v>Pass</v>
      </c>
      <c r="M550" t="str" cm="1">
        <f t="array" ref="M550">_xlfn.IFS(StudentsTable[[#This Row],[AverageScore]]&gt;=85,"Advanced",StudentsTable[[#This Row],[AverageScore]]&gt;=70,"Intermediate",StudentsTable[[#This Row],[AverageScore]]&gt;=60,"Basic",TRUE,"Needs Help")</f>
        <v>Basic</v>
      </c>
      <c r="N550">
        <f>RANK(StudentsTable[[#This Row],[AverageScore]],StudentsTable[AverageScore])</f>
        <v>613</v>
      </c>
      <c r="O550">
        <f>(StudentsTable[[#This Row],[AverageScore]]-MIN(StudentsTable[AverageScore]))/(MAX(StudentsTable[AverageScore])-MIN(StudentsTable[AverageScore]))*100</f>
        <v>60.805860805860803</v>
      </c>
    </row>
    <row r="551" spans="1:15" x14ac:dyDescent="0.3">
      <c r="A551" t="s">
        <v>17</v>
      </c>
      <c r="B551" t="s">
        <v>13</v>
      </c>
      <c r="C551" t="s">
        <v>16</v>
      </c>
      <c r="D551" t="s">
        <v>11</v>
      </c>
      <c r="E551" t="s">
        <v>12</v>
      </c>
      <c r="F551">
        <v>79</v>
      </c>
      <c r="G551">
        <v>72</v>
      </c>
      <c r="H551">
        <v>69</v>
      </c>
      <c r="I551">
        <f>StudentsTable[[#This Row],[math score]]+StudentsTable[[#This Row],[reading score]]+StudentsTable[[#This Row],[writing score]]</f>
        <v>220</v>
      </c>
      <c r="J551">
        <f>StudentsTable[[#This Row],[TotalScore]]/3</f>
        <v>73.333333333333329</v>
      </c>
      <c r="K551" t="str" cm="1">
        <f t="array" ref="K551">_xlfn.IFS(StudentsTable[[#This Row],[AverageScore]]&gt;=90,"A",StudentsTable[[#This Row],[AverageScore]]&gt;=80,"B",StudentsTable[[#This Row],[AverageScore]]&gt;=70,"C",StudentsTable[[#This Row],[AverageScore]]&gt;=60,"D",TRUE,"F")</f>
        <v>C</v>
      </c>
      <c r="L551" t="str">
        <f>IF(StudentsTable[[#This Row],[AverageScore]]&gt;=60,"Pass","Fail")</f>
        <v>Pass</v>
      </c>
      <c r="M551" t="str" cm="1">
        <f t="array" ref="M551">_xlfn.IFS(StudentsTable[[#This Row],[AverageScore]]&gt;=85,"Advanced",StudentsTable[[#This Row],[AverageScore]]&gt;=70,"Intermediate",StudentsTable[[#This Row],[AverageScore]]&gt;=60,"Basic",TRUE,"Needs Help")</f>
        <v>Intermediate</v>
      </c>
      <c r="N551">
        <f>RANK(StudentsTable[[#This Row],[AverageScore]],StudentsTable[AverageScore])</f>
        <v>356</v>
      </c>
      <c r="O551">
        <f>(StudentsTable[[#This Row],[AverageScore]]-MIN(StudentsTable[AverageScore]))/(MAX(StudentsTable[AverageScore])-MIN(StudentsTable[AverageScore]))*100</f>
        <v>70.695970695970686</v>
      </c>
    </row>
    <row r="552" spans="1:15" x14ac:dyDescent="0.3">
      <c r="A552" t="s">
        <v>17</v>
      </c>
      <c r="B552" t="s">
        <v>13</v>
      </c>
      <c r="C552" t="s">
        <v>23</v>
      </c>
      <c r="D552" t="s">
        <v>20</v>
      </c>
      <c r="E552" t="s">
        <v>12</v>
      </c>
      <c r="F552">
        <v>79</v>
      </c>
      <c r="G552">
        <v>76</v>
      </c>
      <c r="H552">
        <v>65</v>
      </c>
      <c r="I552">
        <f>StudentsTable[[#This Row],[math score]]+StudentsTable[[#This Row],[reading score]]+StudentsTable[[#This Row],[writing score]]</f>
        <v>220</v>
      </c>
      <c r="J552">
        <f>StudentsTable[[#This Row],[TotalScore]]/3</f>
        <v>73.333333333333329</v>
      </c>
      <c r="K552" t="str" cm="1">
        <f t="array" ref="K552">_xlfn.IFS(StudentsTable[[#This Row],[AverageScore]]&gt;=90,"A",StudentsTable[[#This Row],[AverageScore]]&gt;=80,"B",StudentsTable[[#This Row],[AverageScore]]&gt;=70,"C",StudentsTable[[#This Row],[AverageScore]]&gt;=60,"D",TRUE,"F")</f>
        <v>C</v>
      </c>
      <c r="L552" t="str">
        <f>IF(StudentsTable[[#This Row],[AverageScore]]&gt;=60,"Pass","Fail")</f>
        <v>Pass</v>
      </c>
      <c r="M552" t="str" cm="1">
        <f t="array" ref="M552">_xlfn.IFS(StudentsTable[[#This Row],[AverageScore]]&gt;=85,"Advanced",StudentsTable[[#This Row],[AverageScore]]&gt;=70,"Intermediate",StudentsTable[[#This Row],[AverageScore]]&gt;=60,"Basic",TRUE,"Needs Help")</f>
        <v>Intermediate</v>
      </c>
      <c r="N552">
        <f>RANK(StudentsTable[[#This Row],[AverageScore]],StudentsTable[AverageScore])</f>
        <v>356</v>
      </c>
      <c r="O552">
        <f>(StudentsTable[[#This Row],[AverageScore]]-MIN(StudentsTable[AverageScore]))/(MAX(StudentsTable[AverageScore])-MIN(StudentsTable[AverageScore]))*100</f>
        <v>70.695970695970686</v>
      </c>
    </row>
    <row r="553" spans="1:15" x14ac:dyDescent="0.3">
      <c r="A553" t="s">
        <v>17</v>
      </c>
      <c r="B553" t="s">
        <v>9</v>
      </c>
      <c r="C553" t="s">
        <v>10</v>
      </c>
      <c r="D553" t="s">
        <v>20</v>
      </c>
      <c r="E553" t="s">
        <v>15</v>
      </c>
      <c r="F553">
        <v>87</v>
      </c>
      <c r="G553">
        <v>90</v>
      </c>
      <c r="H553">
        <v>88</v>
      </c>
      <c r="I553">
        <f>StudentsTable[[#This Row],[math score]]+StudentsTable[[#This Row],[reading score]]+StudentsTable[[#This Row],[writing score]]</f>
        <v>265</v>
      </c>
      <c r="J553">
        <f>StudentsTable[[#This Row],[TotalScore]]/3</f>
        <v>88.333333333333329</v>
      </c>
      <c r="K553" t="str" cm="1">
        <f t="array" ref="K553">_xlfn.IFS(StudentsTable[[#This Row],[AverageScore]]&gt;=90,"A",StudentsTable[[#This Row],[AverageScore]]&gt;=80,"B",StudentsTable[[#This Row],[AverageScore]]&gt;=70,"C",StudentsTable[[#This Row],[AverageScore]]&gt;=60,"D",TRUE,"F")</f>
        <v>B</v>
      </c>
      <c r="L553" t="str">
        <f>IF(StudentsTable[[#This Row],[AverageScore]]&gt;=60,"Pass","Fail")</f>
        <v>Pass</v>
      </c>
      <c r="M553" t="str" cm="1">
        <f t="array" ref="M553">_xlfn.IFS(StudentsTable[[#This Row],[AverageScore]]&gt;=85,"Advanced",StudentsTable[[#This Row],[AverageScore]]&gt;=70,"Intermediate",StudentsTable[[#This Row],[AverageScore]]&gt;=60,"Basic",TRUE,"Needs Help")</f>
        <v>Advanced</v>
      </c>
      <c r="N553">
        <f>RANK(StudentsTable[[#This Row],[AverageScore]],StudentsTable[AverageScore])</f>
        <v>69</v>
      </c>
      <c r="O553">
        <f>(StudentsTable[[#This Row],[AverageScore]]-MIN(StudentsTable[AverageScore]))/(MAX(StudentsTable[AverageScore])-MIN(StudentsTable[AverageScore]))*100</f>
        <v>87.179487179487168</v>
      </c>
    </row>
    <row r="554" spans="1:15" x14ac:dyDescent="0.3">
      <c r="A554" t="s">
        <v>8</v>
      </c>
      <c r="B554" t="s">
        <v>9</v>
      </c>
      <c r="C554" t="s">
        <v>19</v>
      </c>
      <c r="D554" t="s">
        <v>11</v>
      </c>
      <c r="E554" t="s">
        <v>12</v>
      </c>
      <c r="F554">
        <v>40</v>
      </c>
      <c r="G554">
        <v>48</v>
      </c>
      <c r="H554">
        <v>50</v>
      </c>
      <c r="I554">
        <f>StudentsTable[[#This Row],[math score]]+StudentsTable[[#This Row],[reading score]]+StudentsTable[[#This Row],[writing score]]</f>
        <v>138</v>
      </c>
      <c r="J554">
        <f>StudentsTable[[#This Row],[TotalScore]]/3</f>
        <v>46</v>
      </c>
      <c r="K554" t="str" cm="1">
        <f t="array" ref="K554">_xlfn.IFS(StudentsTable[[#This Row],[AverageScore]]&gt;=90,"A",StudentsTable[[#This Row],[AverageScore]]&gt;=80,"B",StudentsTable[[#This Row],[AverageScore]]&gt;=70,"C",StudentsTable[[#This Row],[AverageScore]]&gt;=60,"D",TRUE,"F")</f>
        <v>F</v>
      </c>
      <c r="L554" t="str">
        <f>IF(StudentsTable[[#This Row],[AverageScore]]&gt;=60,"Pass","Fail")</f>
        <v>Fail</v>
      </c>
      <c r="M554" t="str" cm="1">
        <f t="array" ref="M554">_xlfn.IFS(StudentsTable[[#This Row],[AverageScore]]&gt;=85,"Advanced",StudentsTable[[#This Row],[AverageScore]]&gt;=70,"Intermediate",StudentsTable[[#This Row],[AverageScore]]&gt;=60,"Basic",TRUE,"Needs Help")</f>
        <v>Needs Help</v>
      </c>
      <c r="N554">
        <f>RANK(StudentsTable[[#This Row],[AverageScore]],StudentsTable[AverageScore])</f>
        <v>939</v>
      </c>
      <c r="O554">
        <f>(StudentsTable[[#This Row],[AverageScore]]-MIN(StudentsTable[AverageScore]))/(MAX(StudentsTable[AverageScore])-MIN(StudentsTable[AverageScore]))*100</f>
        <v>40.659340659340657</v>
      </c>
    </row>
    <row r="555" spans="1:15" x14ac:dyDescent="0.3">
      <c r="A555" t="s">
        <v>17</v>
      </c>
      <c r="B555" t="s">
        <v>21</v>
      </c>
      <c r="C555" t="s">
        <v>14</v>
      </c>
      <c r="D555" t="s">
        <v>20</v>
      </c>
      <c r="E555" t="s">
        <v>12</v>
      </c>
      <c r="F555">
        <v>77</v>
      </c>
      <c r="G555">
        <v>62</v>
      </c>
      <c r="H555">
        <v>64</v>
      </c>
      <c r="I555">
        <f>StudentsTable[[#This Row],[math score]]+StudentsTable[[#This Row],[reading score]]+StudentsTable[[#This Row],[writing score]]</f>
        <v>203</v>
      </c>
      <c r="J555">
        <f>StudentsTable[[#This Row],[TotalScore]]/3</f>
        <v>67.666666666666671</v>
      </c>
      <c r="K555" t="str" cm="1">
        <f t="array" ref="K555">_xlfn.IFS(StudentsTable[[#This Row],[AverageScore]]&gt;=90,"A",StudentsTable[[#This Row],[AverageScore]]&gt;=80,"B",StudentsTable[[#This Row],[AverageScore]]&gt;=70,"C",StudentsTable[[#This Row],[AverageScore]]&gt;=60,"D",TRUE,"F")</f>
        <v>D</v>
      </c>
      <c r="L555" t="str">
        <f>IF(StudentsTable[[#This Row],[AverageScore]]&gt;=60,"Pass","Fail")</f>
        <v>Pass</v>
      </c>
      <c r="M555" t="str" cm="1">
        <f t="array" ref="M555">_xlfn.IFS(StudentsTable[[#This Row],[AverageScore]]&gt;=85,"Advanced",StudentsTable[[#This Row],[AverageScore]]&gt;=70,"Intermediate",StudentsTable[[#This Row],[AverageScore]]&gt;=60,"Basic",TRUE,"Needs Help")</f>
        <v>Basic</v>
      </c>
      <c r="N555">
        <f>RANK(StudentsTable[[#This Row],[AverageScore]],StudentsTable[AverageScore])</f>
        <v>527</v>
      </c>
      <c r="O555">
        <f>(StudentsTable[[#This Row],[AverageScore]]-MIN(StudentsTable[AverageScore]))/(MAX(StudentsTable[AverageScore])-MIN(StudentsTable[AverageScore]))*100</f>
        <v>64.468864468864467</v>
      </c>
    </row>
    <row r="556" spans="1:15" x14ac:dyDescent="0.3">
      <c r="A556" t="s">
        <v>17</v>
      </c>
      <c r="B556" t="s">
        <v>24</v>
      </c>
      <c r="C556" t="s">
        <v>19</v>
      </c>
      <c r="D556" t="s">
        <v>11</v>
      </c>
      <c r="E556" t="s">
        <v>12</v>
      </c>
      <c r="F556">
        <v>53</v>
      </c>
      <c r="G556">
        <v>45</v>
      </c>
      <c r="H556">
        <v>40</v>
      </c>
      <c r="I556">
        <f>StudentsTable[[#This Row],[math score]]+StudentsTable[[#This Row],[reading score]]+StudentsTable[[#This Row],[writing score]]</f>
        <v>138</v>
      </c>
      <c r="J556">
        <f>StudentsTable[[#This Row],[TotalScore]]/3</f>
        <v>46</v>
      </c>
      <c r="K556" t="str" cm="1">
        <f t="array" ref="K556">_xlfn.IFS(StudentsTable[[#This Row],[AverageScore]]&gt;=90,"A",StudentsTable[[#This Row],[AverageScore]]&gt;=80,"B",StudentsTable[[#This Row],[AverageScore]]&gt;=70,"C",StudentsTable[[#This Row],[AverageScore]]&gt;=60,"D",TRUE,"F")</f>
        <v>F</v>
      </c>
      <c r="L556" t="str">
        <f>IF(StudentsTable[[#This Row],[AverageScore]]&gt;=60,"Pass","Fail")</f>
        <v>Fail</v>
      </c>
      <c r="M556" t="str" cm="1">
        <f t="array" ref="M556">_xlfn.IFS(StudentsTable[[#This Row],[AverageScore]]&gt;=85,"Advanced",StudentsTable[[#This Row],[AverageScore]]&gt;=70,"Intermediate",StudentsTable[[#This Row],[AverageScore]]&gt;=60,"Basic",TRUE,"Needs Help")</f>
        <v>Needs Help</v>
      </c>
      <c r="N556">
        <f>RANK(StudentsTable[[#This Row],[AverageScore]],StudentsTable[AverageScore])</f>
        <v>939</v>
      </c>
      <c r="O556">
        <f>(StudentsTable[[#This Row],[AverageScore]]-MIN(StudentsTable[AverageScore]))/(MAX(StudentsTable[AverageScore])-MIN(StudentsTable[AverageScore]))*100</f>
        <v>40.659340659340657</v>
      </c>
    </row>
    <row r="557" spans="1:15" x14ac:dyDescent="0.3">
      <c r="A557" t="s">
        <v>8</v>
      </c>
      <c r="B557" t="s">
        <v>13</v>
      </c>
      <c r="C557" t="s">
        <v>14</v>
      </c>
      <c r="D557" t="s">
        <v>20</v>
      </c>
      <c r="E557" t="s">
        <v>12</v>
      </c>
      <c r="F557">
        <v>32</v>
      </c>
      <c r="G557">
        <v>39</v>
      </c>
      <c r="H557">
        <v>33</v>
      </c>
      <c r="I557">
        <f>StudentsTable[[#This Row],[math score]]+StudentsTable[[#This Row],[reading score]]+StudentsTable[[#This Row],[writing score]]</f>
        <v>104</v>
      </c>
      <c r="J557">
        <f>StudentsTable[[#This Row],[TotalScore]]/3</f>
        <v>34.666666666666664</v>
      </c>
      <c r="K557" t="str" cm="1">
        <f t="array" ref="K557">_xlfn.IFS(StudentsTable[[#This Row],[AverageScore]]&gt;=90,"A",StudentsTable[[#This Row],[AverageScore]]&gt;=80,"B",StudentsTable[[#This Row],[AverageScore]]&gt;=70,"C",StudentsTable[[#This Row],[AverageScore]]&gt;=60,"D",TRUE,"F")</f>
        <v>F</v>
      </c>
      <c r="L557" t="str">
        <f>IF(StudentsTable[[#This Row],[AverageScore]]&gt;=60,"Pass","Fail")</f>
        <v>Fail</v>
      </c>
      <c r="M557" t="str" cm="1">
        <f t="array" ref="M557">_xlfn.IFS(StudentsTable[[#This Row],[AverageScore]]&gt;=85,"Advanced",StudentsTable[[#This Row],[AverageScore]]&gt;=70,"Intermediate",StudentsTable[[#This Row],[AverageScore]]&gt;=60,"Basic",TRUE,"Needs Help")</f>
        <v>Needs Help</v>
      </c>
      <c r="N557">
        <f>RANK(StudentsTable[[#This Row],[AverageScore]],StudentsTable[AverageScore])</f>
        <v>983</v>
      </c>
      <c r="O557">
        <f>(StudentsTable[[#This Row],[AverageScore]]-MIN(StudentsTable[AverageScore]))/(MAX(StudentsTable[AverageScore])-MIN(StudentsTable[AverageScore]))*100</f>
        <v>28.205128205128204</v>
      </c>
    </row>
    <row r="558" spans="1:15" x14ac:dyDescent="0.3">
      <c r="A558" t="s">
        <v>8</v>
      </c>
      <c r="B558" t="s">
        <v>13</v>
      </c>
      <c r="C558" t="s">
        <v>19</v>
      </c>
      <c r="D558" t="s">
        <v>11</v>
      </c>
      <c r="E558" t="s">
        <v>15</v>
      </c>
      <c r="F558">
        <v>55</v>
      </c>
      <c r="G558">
        <v>72</v>
      </c>
      <c r="H558">
        <v>79</v>
      </c>
      <c r="I558">
        <f>StudentsTable[[#This Row],[math score]]+StudentsTable[[#This Row],[reading score]]+StudentsTable[[#This Row],[writing score]]</f>
        <v>206</v>
      </c>
      <c r="J558">
        <f>StudentsTable[[#This Row],[TotalScore]]/3</f>
        <v>68.666666666666671</v>
      </c>
      <c r="K558" t="str" cm="1">
        <f t="array" ref="K558">_xlfn.IFS(StudentsTable[[#This Row],[AverageScore]]&gt;=90,"A",StudentsTable[[#This Row],[AverageScore]]&gt;=80,"B",StudentsTable[[#This Row],[AverageScore]]&gt;=70,"C",StudentsTable[[#This Row],[AverageScore]]&gt;=60,"D",TRUE,"F")</f>
        <v>D</v>
      </c>
      <c r="L558" t="str">
        <f>IF(StudentsTable[[#This Row],[AverageScore]]&gt;=60,"Pass","Fail")</f>
        <v>Pass</v>
      </c>
      <c r="M558" t="str" cm="1">
        <f t="array" ref="M558">_xlfn.IFS(StudentsTable[[#This Row],[AverageScore]]&gt;=85,"Advanced",StudentsTable[[#This Row],[AverageScore]]&gt;=70,"Intermediate",StudentsTable[[#This Row],[AverageScore]]&gt;=60,"Basic",TRUE,"Needs Help")</f>
        <v>Basic</v>
      </c>
      <c r="N558">
        <f>RANK(StudentsTable[[#This Row],[AverageScore]],StudentsTable[AverageScore])</f>
        <v>487</v>
      </c>
      <c r="O558">
        <f>(StudentsTable[[#This Row],[AverageScore]]-MIN(StudentsTable[AverageScore]))/(MAX(StudentsTable[AverageScore])-MIN(StudentsTable[AverageScore]))*100</f>
        <v>65.567765567765562</v>
      </c>
    </row>
    <row r="559" spans="1:15" x14ac:dyDescent="0.3">
      <c r="A559" t="s">
        <v>17</v>
      </c>
      <c r="B559" t="s">
        <v>13</v>
      </c>
      <c r="C559" t="s">
        <v>16</v>
      </c>
      <c r="D559" t="s">
        <v>20</v>
      </c>
      <c r="E559" t="s">
        <v>12</v>
      </c>
      <c r="F559">
        <v>61</v>
      </c>
      <c r="G559">
        <v>67</v>
      </c>
      <c r="H559">
        <v>66</v>
      </c>
      <c r="I559">
        <f>StudentsTable[[#This Row],[math score]]+StudentsTable[[#This Row],[reading score]]+StudentsTable[[#This Row],[writing score]]</f>
        <v>194</v>
      </c>
      <c r="J559">
        <f>StudentsTable[[#This Row],[TotalScore]]/3</f>
        <v>64.666666666666671</v>
      </c>
      <c r="K559" t="str" cm="1">
        <f t="array" ref="K559">_xlfn.IFS(StudentsTable[[#This Row],[AverageScore]]&gt;=90,"A",StudentsTable[[#This Row],[AverageScore]]&gt;=80,"B",StudentsTable[[#This Row],[AverageScore]]&gt;=70,"C",StudentsTable[[#This Row],[AverageScore]]&gt;=60,"D",TRUE,"F")</f>
        <v>D</v>
      </c>
      <c r="L559" t="str">
        <f>IF(StudentsTable[[#This Row],[AverageScore]]&gt;=60,"Pass","Fail")</f>
        <v>Pass</v>
      </c>
      <c r="M559" t="str" cm="1">
        <f t="array" ref="M559">_xlfn.IFS(StudentsTable[[#This Row],[AverageScore]]&gt;=85,"Advanced",StudentsTable[[#This Row],[AverageScore]]&gt;=70,"Intermediate",StudentsTable[[#This Row],[AverageScore]]&gt;=60,"Basic",TRUE,"Needs Help")</f>
        <v>Basic</v>
      </c>
      <c r="N559">
        <f>RANK(StudentsTable[[#This Row],[AverageScore]],StudentsTable[AverageScore])</f>
        <v>602</v>
      </c>
      <c r="O559">
        <f>(StudentsTable[[#This Row],[AverageScore]]-MIN(StudentsTable[AverageScore]))/(MAX(StudentsTable[AverageScore])-MIN(StudentsTable[AverageScore]))*100</f>
        <v>61.172161172161175</v>
      </c>
    </row>
    <row r="560" spans="1:15" x14ac:dyDescent="0.3">
      <c r="A560" t="s">
        <v>8</v>
      </c>
      <c r="B560" t="s">
        <v>9</v>
      </c>
      <c r="C560" t="s">
        <v>19</v>
      </c>
      <c r="D560" t="s">
        <v>20</v>
      </c>
      <c r="E560" t="s">
        <v>12</v>
      </c>
      <c r="F560">
        <v>53</v>
      </c>
      <c r="G560">
        <v>70</v>
      </c>
      <c r="H560">
        <v>70</v>
      </c>
      <c r="I560">
        <f>StudentsTable[[#This Row],[math score]]+StudentsTable[[#This Row],[reading score]]+StudentsTable[[#This Row],[writing score]]</f>
        <v>193</v>
      </c>
      <c r="J560">
        <f>StudentsTable[[#This Row],[TotalScore]]/3</f>
        <v>64.333333333333329</v>
      </c>
      <c r="K560" t="str" cm="1">
        <f t="array" ref="K560">_xlfn.IFS(StudentsTable[[#This Row],[AverageScore]]&gt;=90,"A",StudentsTable[[#This Row],[AverageScore]]&gt;=80,"B",StudentsTable[[#This Row],[AverageScore]]&gt;=70,"C",StudentsTable[[#This Row],[AverageScore]]&gt;=60,"D",TRUE,"F")</f>
        <v>D</v>
      </c>
      <c r="L560" t="str">
        <f>IF(StudentsTable[[#This Row],[AverageScore]]&gt;=60,"Pass","Fail")</f>
        <v>Pass</v>
      </c>
      <c r="M560" t="str" cm="1">
        <f t="array" ref="M560">_xlfn.IFS(StudentsTable[[#This Row],[AverageScore]]&gt;=85,"Advanced",StudentsTable[[#This Row],[AverageScore]]&gt;=70,"Intermediate",StudentsTable[[#This Row],[AverageScore]]&gt;=60,"Basic",TRUE,"Needs Help")</f>
        <v>Basic</v>
      </c>
      <c r="N560">
        <f>RANK(StudentsTable[[#This Row],[AverageScore]],StudentsTable[AverageScore])</f>
        <v>613</v>
      </c>
      <c r="O560">
        <f>(StudentsTable[[#This Row],[AverageScore]]-MIN(StudentsTable[AverageScore]))/(MAX(StudentsTable[AverageScore])-MIN(StudentsTable[AverageScore]))*100</f>
        <v>60.805860805860803</v>
      </c>
    </row>
    <row r="561" spans="1:15" x14ac:dyDescent="0.3">
      <c r="A561" t="s">
        <v>17</v>
      </c>
      <c r="B561" t="s">
        <v>21</v>
      </c>
      <c r="C561" t="s">
        <v>23</v>
      </c>
      <c r="D561" t="s">
        <v>11</v>
      </c>
      <c r="E561" t="s">
        <v>12</v>
      </c>
      <c r="F561">
        <v>73</v>
      </c>
      <c r="G561">
        <v>66</v>
      </c>
      <c r="H561">
        <v>62</v>
      </c>
      <c r="I561">
        <f>StudentsTable[[#This Row],[math score]]+StudentsTable[[#This Row],[reading score]]+StudentsTable[[#This Row],[writing score]]</f>
        <v>201</v>
      </c>
      <c r="J561">
        <f>StudentsTable[[#This Row],[TotalScore]]/3</f>
        <v>67</v>
      </c>
      <c r="K561" t="str" cm="1">
        <f t="array" ref="K561">_xlfn.IFS(StudentsTable[[#This Row],[AverageScore]]&gt;=90,"A",StudentsTable[[#This Row],[AverageScore]]&gt;=80,"B",StudentsTable[[#This Row],[AverageScore]]&gt;=70,"C",StudentsTable[[#This Row],[AverageScore]]&gt;=60,"D",TRUE,"F")</f>
        <v>D</v>
      </c>
      <c r="L561" t="str">
        <f>IF(StudentsTable[[#This Row],[AverageScore]]&gt;=60,"Pass","Fail")</f>
        <v>Pass</v>
      </c>
      <c r="M561" t="str" cm="1">
        <f t="array" ref="M561">_xlfn.IFS(StudentsTable[[#This Row],[AverageScore]]&gt;=85,"Advanced",StudentsTable[[#This Row],[AverageScore]]&gt;=70,"Intermediate",StudentsTable[[#This Row],[AverageScore]]&gt;=60,"Basic",TRUE,"Needs Help")</f>
        <v>Basic</v>
      </c>
      <c r="N561">
        <f>RANK(StudentsTable[[#This Row],[AverageScore]],StudentsTable[AverageScore])</f>
        <v>540</v>
      </c>
      <c r="O561">
        <f>(StudentsTable[[#This Row],[AverageScore]]-MIN(StudentsTable[AverageScore]))/(MAX(StudentsTable[AverageScore])-MIN(StudentsTable[AverageScore]))*100</f>
        <v>63.73626373626373</v>
      </c>
    </row>
    <row r="562" spans="1:15" x14ac:dyDescent="0.3">
      <c r="A562" t="s">
        <v>8</v>
      </c>
      <c r="B562" t="s">
        <v>21</v>
      </c>
      <c r="C562" t="s">
        <v>14</v>
      </c>
      <c r="D562" t="s">
        <v>11</v>
      </c>
      <c r="E562" t="s">
        <v>15</v>
      </c>
      <c r="F562">
        <v>74</v>
      </c>
      <c r="G562">
        <v>75</v>
      </c>
      <c r="H562">
        <v>79</v>
      </c>
      <c r="I562">
        <f>StudentsTable[[#This Row],[math score]]+StudentsTable[[#This Row],[reading score]]+StudentsTable[[#This Row],[writing score]]</f>
        <v>228</v>
      </c>
      <c r="J562">
        <f>StudentsTable[[#This Row],[TotalScore]]/3</f>
        <v>76</v>
      </c>
      <c r="K562" t="str" cm="1">
        <f t="array" ref="K562">_xlfn.IFS(StudentsTable[[#This Row],[AverageScore]]&gt;=90,"A",StudentsTable[[#This Row],[AverageScore]]&gt;=80,"B",StudentsTable[[#This Row],[AverageScore]]&gt;=70,"C",StudentsTable[[#This Row],[AverageScore]]&gt;=60,"D",TRUE,"F")</f>
        <v>C</v>
      </c>
      <c r="L562" t="str">
        <f>IF(StudentsTable[[#This Row],[AverageScore]]&gt;=60,"Pass","Fail")</f>
        <v>Pass</v>
      </c>
      <c r="M562" t="str" cm="1">
        <f t="array" ref="M562">_xlfn.IFS(StudentsTable[[#This Row],[AverageScore]]&gt;=85,"Advanced",StudentsTable[[#This Row],[AverageScore]]&gt;=70,"Intermediate",StudentsTable[[#This Row],[AverageScore]]&gt;=60,"Basic",TRUE,"Needs Help")</f>
        <v>Intermediate</v>
      </c>
      <c r="N562">
        <f>RANK(StudentsTable[[#This Row],[AverageScore]],StudentsTable[AverageScore])</f>
        <v>288</v>
      </c>
      <c r="O562">
        <f>(StudentsTable[[#This Row],[AverageScore]]-MIN(StudentsTable[AverageScore]))/(MAX(StudentsTable[AverageScore])-MIN(StudentsTable[AverageScore]))*100</f>
        <v>73.626373626373635</v>
      </c>
    </row>
    <row r="563" spans="1:15" x14ac:dyDescent="0.3">
      <c r="A563" t="s">
        <v>8</v>
      </c>
      <c r="B563" t="s">
        <v>13</v>
      </c>
      <c r="C563" t="s">
        <v>14</v>
      </c>
      <c r="D563" t="s">
        <v>11</v>
      </c>
      <c r="E563" t="s">
        <v>12</v>
      </c>
      <c r="F563">
        <v>63</v>
      </c>
      <c r="G563">
        <v>74</v>
      </c>
      <c r="H563">
        <v>74</v>
      </c>
      <c r="I563">
        <f>StudentsTable[[#This Row],[math score]]+StudentsTable[[#This Row],[reading score]]+StudentsTable[[#This Row],[writing score]]</f>
        <v>211</v>
      </c>
      <c r="J563">
        <f>StudentsTable[[#This Row],[TotalScore]]/3</f>
        <v>70.333333333333329</v>
      </c>
      <c r="K563" t="str" cm="1">
        <f t="array" ref="K563">_xlfn.IFS(StudentsTable[[#This Row],[AverageScore]]&gt;=90,"A",StudentsTable[[#This Row],[AverageScore]]&gt;=80,"B",StudentsTable[[#This Row],[AverageScore]]&gt;=70,"C",StudentsTable[[#This Row],[AverageScore]]&gt;=60,"D",TRUE,"F")</f>
        <v>C</v>
      </c>
      <c r="L563" t="str">
        <f>IF(StudentsTable[[#This Row],[AverageScore]]&gt;=60,"Pass","Fail")</f>
        <v>Pass</v>
      </c>
      <c r="M563" t="str" cm="1">
        <f t="array" ref="M563">_xlfn.IFS(StudentsTable[[#This Row],[AverageScore]]&gt;=85,"Advanced",StudentsTable[[#This Row],[AverageScore]]&gt;=70,"Intermediate",StudentsTable[[#This Row],[AverageScore]]&gt;=60,"Basic",TRUE,"Needs Help")</f>
        <v>Intermediate</v>
      </c>
      <c r="N563">
        <f>RANK(StudentsTable[[#This Row],[AverageScore]],StudentsTable[AverageScore])</f>
        <v>440</v>
      </c>
      <c r="O563">
        <f>(StudentsTable[[#This Row],[AverageScore]]-MIN(StudentsTable[AverageScore]))/(MAX(StudentsTable[AverageScore])-MIN(StudentsTable[AverageScore]))*100</f>
        <v>67.399267399267387</v>
      </c>
    </row>
    <row r="564" spans="1:15" x14ac:dyDescent="0.3">
      <c r="A564" t="s">
        <v>17</v>
      </c>
      <c r="B564" t="s">
        <v>13</v>
      </c>
      <c r="C564" t="s">
        <v>10</v>
      </c>
      <c r="D564" t="s">
        <v>11</v>
      </c>
      <c r="E564" t="s">
        <v>15</v>
      </c>
      <c r="F564">
        <v>96</v>
      </c>
      <c r="G564">
        <v>90</v>
      </c>
      <c r="H564">
        <v>92</v>
      </c>
      <c r="I564">
        <f>StudentsTable[[#This Row],[math score]]+StudentsTable[[#This Row],[reading score]]+StudentsTable[[#This Row],[writing score]]</f>
        <v>278</v>
      </c>
      <c r="J564">
        <f>StudentsTable[[#This Row],[TotalScore]]/3</f>
        <v>92.666666666666671</v>
      </c>
      <c r="K564" t="str" cm="1">
        <f t="array" ref="K564">_xlfn.IFS(StudentsTable[[#This Row],[AverageScore]]&gt;=90,"A",StudentsTable[[#This Row],[AverageScore]]&gt;=80,"B",StudentsTable[[#This Row],[AverageScore]]&gt;=70,"C",StudentsTable[[#This Row],[AverageScore]]&gt;=60,"D",TRUE,"F")</f>
        <v>A</v>
      </c>
      <c r="L564" t="str">
        <f>IF(StudentsTable[[#This Row],[AverageScore]]&gt;=60,"Pass","Fail")</f>
        <v>Pass</v>
      </c>
      <c r="M564" t="str" cm="1">
        <f t="array" ref="M564">_xlfn.IFS(StudentsTable[[#This Row],[AverageScore]]&gt;=85,"Advanced",StudentsTable[[#This Row],[AverageScore]]&gt;=70,"Intermediate",StudentsTable[[#This Row],[AverageScore]]&gt;=60,"Basic",TRUE,"Needs Help")</f>
        <v>Advanced</v>
      </c>
      <c r="N564">
        <f>RANK(StudentsTable[[#This Row],[AverageScore]],StudentsTable[AverageScore])</f>
        <v>31</v>
      </c>
      <c r="O564">
        <f>(StudentsTable[[#This Row],[AverageScore]]-MIN(StudentsTable[AverageScore]))/(MAX(StudentsTable[AverageScore])-MIN(StudentsTable[AverageScore]))*100</f>
        <v>91.941391941391942</v>
      </c>
    </row>
    <row r="565" spans="1:15" x14ac:dyDescent="0.3">
      <c r="A565" t="s">
        <v>8</v>
      </c>
      <c r="B565" t="s">
        <v>21</v>
      </c>
      <c r="C565" t="s">
        <v>14</v>
      </c>
      <c r="D565" t="s">
        <v>20</v>
      </c>
      <c r="E565" t="s">
        <v>15</v>
      </c>
      <c r="F565">
        <v>63</v>
      </c>
      <c r="G565">
        <v>80</v>
      </c>
      <c r="H565">
        <v>80</v>
      </c>
      <c r="I565">
        <f>StudentsTable[[#This Row],[math score]]+StudentsTable[[#This Row],[reading score]]+StudentsTable[[#This Row],[writing score]]</f>
        <v>223</v>
      </c>
      <c r="J565">
        <f>StudentsTable[[#This Row],[TotalScore]]/3</f>
        <v>74.333333333333329</v>
      </c>
      <c r="K565" t="str" cm="1">
        <f t="array" ref="K565">_xlfn.IFS(StudentsTable[[#This Row],[AverageScore]]&gt;=90,"A",StudentsTable[[#This Row],[AverageScore]]&gt;=80,"B",StudentsTable[[#This Row],[AverageScore]]&gt;=70,"C",StudentsTable[[#This Row],[AverageScore]]&gt;=60,"D",TRUE,"F")</f>
        <v>C</v>
      </c>
      <c r="L565" t="str">
        <f>IF(StudentsTable[[#This Row],[AverageScore]]&gt;=60,"Pass","Fail")</f>
        <v>Pass</v>
      </c>
      <c r="M565" t="str" cm="1">
        <f t="array" ref="M565">_xlfn.IFS(StudentsTable[[#This Row],[AverageScore]]&gt;=85,"Advanced",StudentsTable[[#This Row],[AverageScore]]&gt;=70,"Intermediate",StudentsTable[[#This Row],[AverageScore]]&gt;=60,"Basic",TRUE,"Needs Help")</f>
        <v>Intermediate</v>
      </c>
      <c r="N565">
        <f>RANK(StudentsTable[[#This Row],[AverageScore]],StudentsTable[AverageScore])</f>
        <v>333</v>
      </c>
      <c r="O565">
        <f>(StudentsTable[[#This Row],[AverageScore]]-MIN(StudentsTable[AverageScore]))/(MAX(StudentsTable[AverageScore])-MIN(StudentsTable[AverageScore]))*100</f>
        <v>71.794871794871796</v>
      </c>
    </row>
    <row r="566" spans="1:15" x14ac:dyDescent="0.3">
      <c r="A566" t="s">
        <v>17</v>
      </c>
      <c r="B566" t="s">
        <v>9</v>
      </c>
      <c r="C566" t="s">
        <v>10</v>
      </c>
      <c r="D566" t="s">
        <v>20</v>
      </c>
      <c r="E566" t="s">
        <v>12</v>
      </c>
      <c r="F566">
        <v>48</v>
      </c>
      <c r="G566">
        <v>51</v>
      </c>
      <c r="H566">
        <v>46</v>
      </c>
      <c r="I566">
        <f>StudentsTable[[#This Row],[math score]]+StudentsTable[[#This Row],[reading score]]+StudentsTable[[#This Row],[writing score]]</f>
        <v>145</v>
      </c>
      <c r="J566">
        <f>StudentsTable[[#This Row],[TotalScore]]/3</f>
        <v>48.333333333333336</v>
      </c>
      <c r="K566" t="str" cm="1">
        <f t="array" ref="K566">_xlfn.IFS(StudentsTable[[#This Row],[AverageScore]]&gt;=90,"A",StudentsTable[[#This Row],[AverageScore]]&gt;=80,"B",StudentsTable[[#This Row],[AverageScore]]&gt;=70,"C",StudentsTable[[#This Row],[AverageScore]]&gt;=60,"D",TRUE,"F")</f>
        <v>F</v>
      </c>
      <c r="L566" t="str">
        <f>IF(StudentsTable[[#This Row],[AverageScore]]&gt;=60,"Pass","Fail")</f>
        <v>Fail</v>
      </c>
      <c r="M566" t="str" cm="1">
        <f t="array" ref="M566">_xlfn.IFS(StudentsTable[[#This Row],[AverageScore]]&gt;=85,"Advanced",StudentsTable[[#This Row],[AverageScore]]&gt;=70,"Intermediate",StudentsTable[[#This Row],[AverageScore]]&gt;=60,"Basic",TRUE,"Needs Help")</f>
        <v>Needs Help</v>
      </c>
      <c r="N566">
        <f>RANK(StudentsTable[[#This Row],[AverageScore]],StudentsTable[AverageScore])</f>
        <v>915</v>
      </c>
      <c r="O566">
        <f>(StudentsTable[[#This Row],[AverageScore]]-MIN(StudentsTable[AverageScore]))/(MAX(StudentsTable[AverageScore])-MIN(StudentsTable[AverageScore]))*100</f>
        <v>43.223443223443226</v>
      </c>
    </row>
    <row r="567" spans="1:15" x14ac:dyDescent="0.3">
      <c r="A567" t="s">
        <v>17</v>
      </c>
      <c r="B567" t="s">
        <v>9</v>
      </c>
      <c r="C567" t="s">
        <v>19</v>
      </c>
      <c r="D567" t="s">
        <v>11</v>
      </c>
      <c r="E567" t="s">
        <v>12</v>
      </c>
      <c r="F567">
        <v>48</v>
      </c>
      <c r="G567">
        <v>43</v>
      </c>
      <c r="H567">
        <v>45</v>
      </c>
      <c r="I567">
        <f>StudentsTable[[#This Row],[math score]]+StudentsTable[[#This Row],[reading score]]+StudentsTable[[#This Row],[writing score]]</f>
        <v>136</v>
      </c>
      <c r="J567">
        <f>StudentsTable[[#This Row],[TotalScore]]/3</f>
        <v>45.333333333333336</v>
      </c>
      <c r="K567" t="str" cm="1">
        <f t="array" ref="K567">_xlfn.IFS(StudentsTable[[#This Row],[AverageScore]]&gt;=90,"A",StudentsTable[[#This Row],[AverageScore]]&gt;=80,"B",StudentsTable[[#This Row],[AverageScore]]&gt;=70,"C",StudentsTable[[#This Row],[AverageScore]]&gt;=60,"D",TRUE,"F")</f>
        <v>F</v>
      </c>
      <c r="L567" t="str">
        <f>IF(StudentsTable[[#This Row],[AverageScore]]&gt;=60,"Pass","Fail")</f>
        <v>Fail</v>
      </c>
      <c r="M567" t="str" cm="1">
        <f t="array" ref="M567">_xlfn.IFS(StudentsTable[[#This Row],[AverageScore]]&gt;=85,"Advanced",StudentsTable[[#This Row],[AverageScore]]&gt;=70,"Intermediate",StudentsTable[[#This Row],[AverageScore]]&gt;=60,"Basic",TRUE,"Needs Help")</f>
        <v>Needs Help</v>
      </c>
      <c r="N567">
        <f>RANK(StudentsTable[[#This Row],[AverageScore]],StudentsTable[AverageScore])</f>
        <v>943</v>
      </c>
      <c r="O567">
        <f>(StudentsTable[[#This Row],[AverageScore]]-MIN(StudentsTable[AverageScore]))/(MAX(StudentsTable[AverageScore])-MIN(StudentsTable[AverageScore]))*100</f>
        <v>39.926739926739927</v>
      </c>
    </row>
    <row r="568" spans="1:15" x14ac:dyDescent="0.3">
      <c r="A568" t="s">
        <v>8</v>
      </c>
      <c r="B568" t="s">
        <v>24</v>
      </c>
      <c r="C568" t="s">
        <v>10</v>
      </c>
      <c r="D568" t="s">
        <v>20</v>
      </c>
      <c r="E568" t="s">
        <v>15</v>
      </c>
      <c r="F568">
        <v>92</v>
      </c>
      <c r="G568">
        <v>100</v>
      </c>
      <c r="H568">
        <v>100</v>
      </c>
      <c r="I568">
        <f>StudentsTable[[#This Row],[math score]]+StudentsTable[[#This Row],[reading score]]+StudentsTable[[#This Row],[writing score]]</f>
        <v>292</v>
      </c>
      <c r="J568">
        <f>StudentsTable[[#This Row],[TotalScore]]/3</f>
        <v>97.333333333333329</v>
      </c>
      <c r="K568" t="str" cm="1">
        <f t="array" ref="K568">_xlfn.IFS(StudentsTable[[#This Row],[AverageScore]]&gt;=90,"A",StudentsTable[[#This Row],[AverageScore]]&gt;=80,"B",StudentsTable[[#This Row],[AverageScore]]&gt;=70,"C",StudentsTable[[#This Row],[AverageScore]]&gt;=60,"D",TRUE,"F")</f>
        <v>A</v>
      </c>
      <c r="L568" t="str">
        <f>IF(StudentsTable[[#This Row],[AverageScore]]&gt;=60,"Pass","Fail")</f>
        <v>Pass</v>
      </c>
      <c r="M568" t="str" cm="1">
        <f t="array" ref="M568">_xlfn.IFS(StudentsTable[[#This Row],[AverageScore]]&gt;=85,"Advanced",StudentsTable[[#This Row],[AverageScore]]&gt;=70,"Intermediate",StudentsTable[[#This Row],[AverageScore]]&gt;=60,"Basic",TRUE,"Needs Help")</f>
        <v>Advanced</v>
      </c>
      <c r="N568">
        <f>RANK(StudentsTable[[#This Row],[AverageScore]],StudentsTable[AverageScore])</f>
        <v>12</v>
      </c>
      <c r="O568">
        <f>(StudentsTable[[#This Row],[AverageScore]]-MIN(StudentsTable[AverageScore]))/(MAX(StudentsTable[AverageScore])-MIN(StudentsTable[AverageScore]))*100</f>
        <v>97.069597069597066</v>
      </c>
    </row>
    <row r="569" spans="1:15" x14ac:dyDescent="0.3">
      <c r="A569" t="s">
        <v>8</v>
      </c>
      <c r="B569" t="s">
        <v>21</v>
      </c>
      <c r="C569" t="s">
        <v>16</v>
      </c>
      <c r="D569" t="s">
        <v>20</v>
      </c>
      <c r="E569" t="s">
        <v>15</v>
      </c>
      <c r="F569">
        <v>61</v>
      </c>
      <c r="G569">
        <v>71</v>
      </c>
      <c r="H569">
        <v>78</v>
      </c>
      <c r="I569">
        <f>StudentsTable[[#This Row],[math score]]+StudentsTable[[#This Row],[reading score]]+StudentsTable[[#This Row],[writing score]]</f>
        <v>210</v>
      </c>
      <c r="J569">
        <f>StudentsTable[[#This Row],[TotalScore]]/3</f>
        <v>70</v>
      </c>
      <c r="K569" t="str" cm="1">
        <f t="array" ref="K569">_xlfn.IFS(StudentsTable[[#This Row],[AverageScore]]&gt;=90,"A",StudentsTable[[#This Row],[AverageScore]]&gt;=80,"B",StudentsTable[[#This Row],[AverageScore]]&gt;=70,"C",StudentsTable[[#This Row],[AverageScore]]&gt;=60,"D",TRUE,"F")</f>
        <v>C</v>
      </c>
      <c r="L569" t="str">
        <f>IF(StudentsTable[[#This Row],[AverageScore]]&gt;=60,"Pass","Fail")</f>
        <v>Pass</v>
      </c>
      <c r="M569" t="str" cm="1">
        <f t="array" ref="M569">_xlfn.IFS(StudentsTable[[#This Row],[AverageScore]]&gt;=85,"Advanced",StudentsTable[[#This Row],[AverageScore]]&gt;=70,"Intermediate",StudentsTable[[#This Row],[AverageScore]]&gt;=60,"Basic",TRUE,"Needs Help")</f>
        <v>Intermediate</v>
      </c>
      <c r="N569">
        <f>RANK(StudentsTable[[#This Row],[AverageScore]],StudentsTable[AverageScore])</f>
        <v>448</v>
      </c>
      <c r="O569">
        <f>(StudentsTable[[#This Row],[AverageScore]]-MIN(StudentsTable[AverageScore]))/(MAX(StudentsTable[AverageScore])-MIN(StudentsTable[AverageScore]))*100</f>
        <v>67.032967032967022</v>
      </c>
    </row>
    <row r="570" spans="1:15" x14ac:dyDescent="0.3">
      <c r="A570" t="s">
        <v>17</v>
      </c>
      <c r="B570" t="s">
        <v>9</v>
      </c>
      <c r="C570" t="s">
        <v>22</v>
      </c>
      <c r="D570" t="s">
        <v>20</v>
      </c>
      <c r="E570" t="s">
        <v>12</v>
      </c>
      <c r="F570">
        <v>63</v>
      </c>
      <c r="G570">
        <v>48</v>
      </c>
      <c r="H570">
        <v>47</v>
      </c>
      <c r="I570">
        <f>StudentsTable[[#This Row],[math score]]+StudentsTable[[#This Row],[reading score]]+StudentsTable[[#This Row],[writing score]]</f>
        <v>158</v>
      </c>
      <c r="J570">
        <f>StudentsTable[[#This Row],[TotalScore]]/3</f>
        <v>52.666666666666664</v>
      </c>
      <c r="K570" t="str" cm="1">
        <f t="array" ref="K570">_xlfn.IFS(StudentsTable[[#This Row],[AverageScore]]&gt;=90,"A",StudentsTable[[#This Row],[AverageScore]]&gt;=80,"B",StudentsTable[[#This Row],[AverageScore]]&gt;=70,"C",StudentsTable[[#This Row],[AverageScore]]&gt;=60,"D",TRUE,"F")</f>
        <v>F</v>
      </c>
      <c r="L570" t="str">
        <f>IF(StudentsTable[[#This Row],[AverageScore]]&gt;=60,"Pass","Fail")</f>
        <v>Fail</v>
      </c>
      <c r="M570" t="str" cm="1">
        <f t="array" ref="M570">_xlfn.IFS(StudentsTable[[#This Row],[AverageScore]]&gt;=85,"Advanced",StudentsTable[[#This Row],[AverageScore]]&gt;=70,"Intermediate",StudentsTable[[#This Row],[AverageScore]]&gt;=60,"Basic",TRUE,"Needs Help")</f>
        <v>Needs Help</v>
      </c>
      <c r="N570">
        <f>RANK(StudentsTable[[#This Row],[AverageScore]],StudentsTable[AverageScore])</f>
        <v>843</v>
      </c>
      <c r="O570">
        <f>(StudentsTable[[#This Row],[AverageScore]]-MIN(StudentsTable[AverageScore]))/(MAX(StudentsTable[AverageScore])-MIN(StudentsTable[AverageScore]))*100</f>
        <v>47.985347985347978</v>
      </c>
    </row>
    <row r="571" spans="1:15" x14ac:dyDescent="0.3">
      <c r="A571" t="s">
        <v>17</v>
      </c>
      <c r="B571" t="s">
        <v>21</v>
      </c>
      <c r="C571" t="s">
        <v>10</v>
      </c>
      <c r="D571" t="s">
        <v>20</v>
      </c>
      <c r="E571" t="s">
        <v>12</v>
      </c>
      <c r="F571">
        <v>68</v>
      </c>
      <c r="G571">
        <v>68</v>
      </c>
      <c r="H571">
        <v>67</v>
      </c>
      <c r="I571">
        <f>StudentsTable[[#This Row],[math score]]+StudentsTable[[#This Row],[reading score]]+StudentsTable[[#This Row],[writing score]]</f>
        <v>203</v>
      </c>
      <c r="J571">
        <f>StudentsTable[[#This Row],[TotalScore]]/3</f>
        <v>67.666666666666671</v>
      </c>
      <c r="K571" t="str" cm="1">
        <f t="array" ref="K571">_xlfn.IFS(StudentsTable[[#This Row],[AverageScore]]&gt;=90,"A",StudentsTable[[#This Row],[AverageScore]]&gt;=80,"B",StudentsTable[[#This Row],[AverageScore]]&gt;=70,"C",StudentsTable[[#This Row],[AverageScore]]&gt;=60,"D",TRUE,"F")</f>
        <v>D</v>
      </c>
      <c r="L571" t="str">
        <f>IF(StudentsTable[[#This Row],[AverageScore]]&gt;=60,"Pass","Fail")</f>
        <v>Pass</v>
      </c>
      <c r="M571" t="str" cm="1">
        <f t="array" ref="M571">_xlfn.IFS(StudentsTable[[#This Row],[AverageScore]]&gt;=85,"Advanced",StudentsTable[[#This Row],[AverageScore]]&gt;=70,"Intermediate",StudentsTable[[#This Row],[AverageScore]]&gt;=60,"Basic",TRUE,"Needs Help")</f>
        <v>Basic</v>
      </c>
      <c r="N571">
        <f>RANK(StudentsTable[[#This Row],[AverageScore]],StudentsTable[AverageScore])</f>
        <v>527</v>
      </c>
      <c r="O571">
        <f>(StudentsTable[[#This Row],[AverageScore]]-MIN(StudentsTable[AverageScore]))/(MAX(StudentsTable[AverageScore])-MIN(StudentsTable[AverageScore]))*100</f>
        <v>64.468864468864467</v>
      </c>
    </row>
    <row r="572" spans="1:15" x14ac:dyDescent="0.3">
      <c r="A572" t="s">
        <v>17</v>
      </c>
      <c r="B572" t="s">
        <v>9</v>
      </c>
      <c r="C572" t="s">
        <v>14</v>
      </c>
      <c r="D572" t="s">
        <v>11</v>
      </c>
      <c r="E572" t="s">
        <v>15</v>
      </c>
      <c r="F572">
        <v>71</v>
      </c>
      <c r="G572">
        <v>75</v>
      </c>
      <c r="H572">
        <v>70</v>
      </c>
      <c r="I572">
        <f>StudentsTable[[#This Row],[math score]]+StudentsTable[[#This Row],[reading score]]+StudentsTable[[#This Row],[writing score]]</f>
        <v>216</v>
      </c>
      <c r="J572">
        <f>StudentsTable[[#This Row],[TotalScore]]/3</f>
        <v>72</v>
      </c>
      <c r="K572" t="str" cm="1">
        <f t="array" ref="K572">_xlfn.IFS(StudentsTable[[#This Row],[AverageScore]]&gt;=90,"A",StudentsTable[[#This Row],[AverageScore]]&gt;=80,"B",StudentsTable[[#This Row],[AverageScore]]&gt;=70,"C",StudentsTable[[#This Row],[AverageScore]]&gt;=60,"D",TRUE,"F")</f>
        <v>C</v>
      </c>
      <c r="L572" t="str">
        <f>IF(StudentsTable[[#This Row],[AverageScore]]&gt;=60,"Pass","Fail")</f>
        <v>Pass</v>
      </c>
      <c r="M572" t="str" cm="1">
        <f t="array" ref="M572">_xlfn.IFS(StudentsTable[[#This Row],[AverageScore]]&gt;=85,"Advanced",StudentsTable[[#This Row],[AverageScore]]&gt;=70,"Intermediate",StudentsTable[[#This Row],[AverageScore]]&gt;=60,"Basic",TRUE,"Needs Help")</f>
        <v>Intermediate</v>
      </c>
      <c r="N572">
        <f>RANK(StudentsTable[[#This Row],[AverageScore]],StudentsTable[AverageScore])</f>
        <v>395</v>
      </c>
      <c r="O572">
        <f>(StudentsTable[[#This Row],[AverageScore]]-MIN(StudentsTable[AverageScore]))/(MAX(StudentsTable[AverageScore])-MIN(StudentsTable[AverageScore]))*100</f>
        <v>69.230769230769226</v>
      </c>
    </row>
    <row r="573" spans="1:15" x14ac:dyDescent="0.3">
      <c r="A573" t="s">
        <v>17</v>
      </c>
      <c r="B573" t="s">
        <v>18</v>
      </c>
      <c r="C573" t="s">
        <v>10</v>
      </c>
      <c r="D573" t="s">
        <v>11</v>
      </c>
      <c r="E573" t="s">
        <v>12</v>
      </c>
      <c r="F573">
        <v>91</v>
      </c>
      <c r="G573">
        <v>96</v>
      </c>
      <c r="H573">
        <v>92</v>
      </c>
      <c r="I573">
        <f>StudentsTable[[#This Row],[math score]]+StudentsTable[[#This Row],[reading score]]+StudentsTable[[#This Row],[writing score]]</f>
        <v>279</v>
      </c>
      <c r="J573">
        <f>StudentsTable[[#This Row],[TotalScore]]/3</f>
        <v>93</v>
      </c>
      <c r="K573" t="str" cm="1">
        <f t="array" ref="K573">_xlfn.IFS(StudentsTable[[#This Row],[AverageScore]]&gt;=90,"A",StudentsTable[[#This Row],[AverageScore]]&gt;=80,"B",StudentsTable[[#This Row],[AverageScore]]&gt;=70,"C",StudentsTable[[#This Row],[AverageScore]]&gt;=60,"D",TRUE,"F")</f>
        <v>A</v>
      </c>
      <c r="L573" t="str">
        <f>IF(StudentsTable[[#This Row],[AverageScore]]&gt;=60,"Pass","Fail")</f>
        <v>Pass</v>
      </c>
      <c r="M573" t="str" cm="1">
        <f t="array" ref="M573">_xlfn.IFS(StudentsTable[[#This Row],[AverageScore]]&gt;=85,"Advanced",StudentsTable[[#This Row],[AverageScore]]&gt;=70,"Intermediate",StudentsTable[[#This Row],[AverageScore]]&gt;=60,"Basic",TRUE,"Needs Help")</f>
        <v>Advanced</v>
      </c>
      <c r="N573">
        <f>RANK(StudentsTable[[#This Row],[AverageScore]],StudentsTable[AverageScore])</f>
        <v>30</v>
      </c>
      <c r="O573">
        <f>(StudentsTable[[#This Row],[AverageScore]]-MIN(StudentsTable[AverageScore]))/(MAX(StudentsTable[AverageScore])-MIN(StudentsTable[AverageScore]))*100</f>
        <v>92.307692307692307</v>
      </c>
    </row>
    <row r="574" spans="1:15" x14ac:dyDescent="0.3">
      <c r="A574" t="s">
        <v>8</v>
      </c>
      <c r="B574" t="s">
        <v>13</v>
      </c>
      <c r="C574" t="s">
        <v>14</v>
      </c>
      <c r="D574" t="s">
        <v>11</v>
      </c>
      <c r="E574" t="s">
        <v>12</v>
      </c>
      <c r="F574">
        <v>53</v>
      </c>
      <c r="G574">
        <v>62</v>
      </c>
      <c r="H574">
        <v>56</v>
      </c>
      <c r="I574">
        <f>StudentsTable[[#This Row],[math score]]+StudentsTable[[#This Row],[reading score]]+StudentsTable[[#This Row],[writing score]]</f>
        <v>171</v>
      </c>
      <c r="J574">
        <f>StudentsTable[[#This Row],[TotalScore]]/3</f>
        <v>57</v>
      </c>
      <c r="K574" t="str" cm="1">
        <f t="array" ref="K574">_xlfn.IFS(StudentsTable[[#This Row],[AverageScore]]&gt;=90,"A",StudentsTable[[#This Row],[AverageScore]]&gt;=80,"B",StudentsTable[[#This Row],[AverageScore]]&gt;=70,"C",StudentsTable[[#This Row],[AverageScore]]&gt;=60,"D",TRUE,"F")</f>
        <v>F</v>
      </c>
      <c r="L574" t="str">
        <f>IF(StudentsTable[[#This Row],[AverageScore]]&gt;=60,"Pass","Fail")</f>
        <v>Fail</v>
      </c>
      <c r="M574" t="str" cm="1">
        <f t="array" ref="M574">_xlfn.IFS(StudentsTable[[#This Row],[AverageScore]]&gt;=85,"Advanced",StudentsTable[[#This Row],[AverageScore]]&gt;=70,"Intermediate",StudentsTable[[#This Row],[AverageScore]]&gt;=60,"Basic",TRUE,"Needs Help")</f>
        <v>Needs Help</v>
      </c>
      <c r="N574">
        <f>RANK(StudentsTable[[#This Row],[AverageScore]],StudentsTable[AverageScore])</f>
        <v>772</v>
      </c>
      <c r="O574">
        <f>(StudentsTable[[#This Row],[AverageScore]]-MIN(StudentsTable[AverageScore]))/(MAX(StudentsTable[AverageScore])-MIN(StudentsTable[AverageScore]))*100</f>
        <v>52.747252747252752</v>
      </c>
    </row>
    <row r="575" spans="1:15" x14ac:dyDescent="0.3">
      <c r="A575" t="s">
        <v>8</v>
      </c>
      <c r="B575" t="s">
        <v>13</v>
      </c>
      <c r="C575" t="s">
        <v>22</v>
      </c>
      <c r="D575" t="s">
        <v>20</v>
      </c>
      <c r="E575" t="s">
        <v>15</v>
      </c>
      <c r="F575">
        <v>50</v>
      </c>
      <c r="G575">
        <v>66</v>
      </c>
      <c r="H575">
        <v>64</v>
      </c>
      <c r="I575">
        <f>StudentsTable[[#This Row],[math score]]+StudentsTable[[#This Row],[reading score]]+StudentsTable[[#This Row],[writing score]]</f>
        <v>180</v>
      </c>
      <c r="J575">
        <f>StudentsTable[[#This Row],[TotalScore]]/3</f>
        <v>60</v>
      </c>
      <c r="K575" t="str" cm="1">
        <f t="array" ref="K575">_xlfn.IFS(StudentsTable[[#This Row],[AverageScore]]&gt;=90,"A",StudentsTable[[#This Row],[AverageScore]]&gt;=80,"B",StudentsTable[[#This Row],[AverageScore]]&gt;=70,"C",StudentsTable[[#This Row],[AverageScore]]&gt;=60,"D",TRUE,"F")</f>
        <v>D</v>
      </c>
      <c r="L575" t="str">
        <f>IF(StudentsTable[[#This Row],[AverageScore]]&gt;=60,"Pass","Fail")</f>
        <v>Pass</v>
      </c>
      <c r="M575" t="str" cm="1">
        <f t="array" ref="M575">_xlfn.IFS(StudentsTable[[#This Row],[AverageScore]]&gt;=85,"Advanced",StudentsTable[[#This Row],[AverageScore]]&gt;=70,"Intermediate",StudentsTable[[#This Row],[AverageScore]]&gt;=60,"Basic",TRUE,"Needs Help")</f>
        <v>Basic</v>
      </c>
      <c r="N575">
        <f>RANK(StudentsTable[[#This Row],[AverageScore]],StudentsTable[AverageScore])</f>
        <v>708</v>
      </c>
      <c r="O575">
        <f>(StudentsTable[[#This Row],[AverageScore]]-MIN(StudentsTable[AverageScore]))/(MAX(StudentsTable[AverageScore])-MIN(StudentsTable[AverageScore]))*100</f>
        <v>56.043956043956044</v>
      </c>
    </row>
    <row r="576" spans="1:15" x14ac:dyDescent="0.3">
      <c r="A576" t="s">
        <v>8</v>
      </c>
      <c r="B576" t="s">
        <v>24</v>
      </c>
      <c r="C576" t="s">
        <v>22</v>
      </c>
      <c r="D576" t="s">
        <v>11</v>
      </c>
      <c r="E576" t="s">
        <v>12</v>
      </c>
      <c r="F576">
        <v>74</v>
      </c>
      <c r="G576">
        <v>81</v>
      </c>
      <c r="H576">
        <v>71</v>
      </c>
      <c r="I576">
        <f>StudentsTable[[#This Row],[math score]]+StudentsTable[[#This Row],[reading score]]+StudentsTable[[#This Row],[writing score]]</f>
        <v>226</v>
      </c>
      <c r="J576">
        <f>StudentsTable[[#This Row],[TotalScore]]/3</f>
        <v>75.333333333333329</v>
      </c>
      <c r="K576" t="str" cm="1">
        <f t="array" ref="K576">_xlfn.IFS(StudentsTable[[#This Row],[AverageScore]]&gt;=90,"A",StudentsTable[[#This Row],[AverageScore]]&gt;=80,"B",StudentsTable[[#This Row],[AverageScore]]&gt;=70,"C",StudentsTable[[#This Row],[AverageScore]]&gt;=60,"D",TRUE,"F")</f>
        <v>C</v>
      </c>
      <c r="L576" t="str">
        <f>IF(StudentsTable[[#This Row],[AverageScore]]&gt;=60,"Pass","Fail")</f>
        <v>Pass</v>
      </c>
      <c r="M576" t="str" cm="1">
        <f t="array" ref="M576">_xlfn.IFS(StudentsTable[[#This Row],[AverageScore]]&gt;=85,"Advanced",StudentsTable[[#This Row],[AverageScore]]&gt;=70,"Intermediate",StudentsTable[[#This Row],[AverageScore]]&gt;=60,"Basic",TRUE,"Needs Help")</f>
        <v>Intermediate</v>
      </c>
      <c r="N576">
        <f>RANK(StudentsTable[[#This Row],[AverageScore]],StudentsTable[AverageScore])</f>
        <v>307</v>
      </c>
      <c r="O576">
        <f>(StudentsTable[[#This Row],[AverageScore]]-MIN(StudentsTable[AverageScore]))/(MAX(StudentsTable[AverageScore])-MIN(StudentsTable[AverageScore]))*100</f>
        <v>72.893772893772891</v>
      </c>
    </row>
    <row r="577" spans="1:15" x14ac:dyDescent="0.3">
      <c r="A577" t="s">
        <v>17</v>
      </c>
      <c r="B577" t="s">
        <v>18</v>
      </c>
      <c r="C577" t="s">
        <v>19</v>
      </c>
      <c r="D577" t="s">
        <v>20</v>
      </c>
      <c r="E577" t="s">
        <v>15</v>
      </c>
      <c r="F577">
        <v>40</v>
      </c>
      <c r="G577">
        <v>55</v>
      </c>
      <c r="H577">
        <v>53</v>
      </c>
      <c r="I577">
        <f>StudentsTable[[#This Row],[math score]]+StudentsTable[[#This Row],[reading score]]+StudentsTable[[#This Row],[writing score]]</f>
        <v>148</v>
      </c>
      <c r="J577">
        <f>StudentsTable[[#This Row],[TotalScore]]/3</f>
        <v>49.333333333333336</v>
      </c>
      <c r="K577" t="str" cm="1">
        <f t="array" ref="K577">_xlfn.IFS(StudentsTable[[#This Row],[AverageScore]]&gt;=90,"A",StudentsTable[[#This Row],[AverageScore]]&gt;=80,"B",StudentsTable[[#This Row],[AverageScore]]&gt;=70,"C",StudentsTable[[#This Row],[AverageScore]]&gt;=60,"D",TRUE,"F")</f>
        <v>F</v>
      </c>
      <c r="L577" t="str">
        <f>IF(StudentsTable[[#This Row],[AverageScore]]&gt;=60,"Pass","Fail")</f>
        <v>Fail</v>
      </c>
      <c r="M577" t="str" cm="1">
        <f t="array" ref="M577">_xlfn.IFS(StudentsTable[[#This Row],[AverageScore]]&gt;=85,"Advanced",StudentsTable[[#This Row],[AverageScore]]&gt;=70,"Intermediate",StudentsTable[[#This Row],[AverageScore]]&gt;=60,"Basic",TRUE,"Needs Help")</f>
        <v>Needs Help</v>
      </c>
      <c r="N577">
        <f>RANK(StudentsTable[[#This Row],[AverageScore]],StudentsTable[AverageScore])</f>
        <v>901</v>
      </c>
      <c r="O577">
        <f>(StudentsTable[[#This Row],[AverageScore]]-MIN(StudentsTable[AverageScore]))/(MAX(StudentsTable[AverageScore])-MIN(StudentsTable[AverageScore]))*100</f>
        <v>44.322344322344328</v>
      </c>
    </row>
    <row r="578" spans="1:15" x14ac:dyDescent="0.3">
      <c r="A578" t="s">
        <v>17</v>
      </c>
      <c r="B578" t="s">
        <v>18</v>
      </c>
      <c r="C578" t="s">
        <v>14</v>
      </c>
      <c r="D578" t="s">
        <v>11</v>
      </c>
      <c r="E578" t="s">
        <v>15</v>
      </c>
      <c r="F578">
        <v>61</v>
      </c>
      <c r="G578">
        <v>51</v>
      </c>
      <c r="H578">
        <v>52</v>
      </c>
      <c r="I578">
        <f>StudentsTable[[#This Row],[math score]]+StudentsTable[[#This Row],[reading score]]+StudentsTable[[#This Row],[writing score]]</f>
        <v>164</v>
      </c>
      <c r="J578">
        <f>StudentsTable[[#This Row],[TotalScore]]/3</f>
        <v>54.666666666666664</v>
      </c>
      <c r="K578" t="str" cm="1">
        <f t="array" ref="K578">_xlfn.IFS(StudentsTable[[#This Row],[AverageScore]]&gt;=90,"A",StudentsTable[[#This Row],[AverageScore]]&gt;=80,"B",StudentsTable[[#This Row],[AverageScore]]&gt;=70,"C",StudentsTable[[#This Row],[AverageScore]]&gt;=60,"D",TRUE,"F")</f>
        <v>F</v>
      </c>
      <c r="L578" t="str">
        <f>IF(StudentsTable[[#This Row],[AverageScore]]&gt;=60,"Pass","Fail")</f>
        <v>Fail</v>
      </c>
      <c r="M578" t="str" cm="1">
        <f t="array" ref="M578">_xlfn.IFS(StudentsTable[[#This Row],[AverageScore]]&gt;=85,"Advanced",StudentsTable[[#This Row],[AverageScore]]&gt;=70,"Intermediate",StudentsTable[[#This Row],[AverageScore]]&gt;=60,"Basic",TRUE,"Needs Help")</f>
        <v>Needs Help</v>
      </c>
      <c r="N578">
        <f>RANK(StudentsTable[[#This Row],[AverageScore]],StudentsTable[AverageScore])</f>
        <v>810</v>
      </c>
      <c r="O578">
        <f>(StudentsTable[[#This Row],[AverageScore]]-MIN(StudentsTable[AverageScore]))/(MAX(StudentsTable[AverageScore])-MIN(StudentsTable[AverageScore]))*100</f>
        <v>50.183150183150182</v>
      </c>
    </row>
    <row r="579" spans="1:15" x14ac:dyDescent="0.3">
      <c r="A579" t="s">
        <v>8</v>
      </c>
      <c r="B579" t="s">
        <v>9</v>
      </c>
      <c r="C579" t="s">
        <v>22</v>
      </c>
      <c r="D579" t="s">
        <v>11</v>
      </c>
      <c r="E579" t="s">
        <v>12</v>
      </c>
      <c r="F579">
        <v>81</v>
      </c>
      <c r="G579">
        <v>91</v>
      </c>
      <c r="H579">
        <v>89</v>
      </c>
      <c r="I579">
        <f>StudentsTable[[#This Row],[math score]]+StudentsTable[[#This Row],[reading score]]+StudentsTable[[#This Row],[writing score]]</f>
        <v>261</v>
      </c>
      <c r="J579">
        <f>StudentsTable[[#This Row],[TotalScore]]/3</f>
        <v>87</v>
      </c>
      <c r="K579" t="str" cm="1">
        <f t="array" ref="K579">_xlfn.IFS(StudentsTable[[#This Row],[AverageScore]]&gt;=90,"A",StudentsTable[[#This Row],[AverageScore]]&gt;=80,"B",StudentsTable[[#This Row],[AverageScore]]&gt;=70,"C",StudentsTable[[#This Row],[AverageScore]]&gt;=60,"D",TRUE,"F")</f>
        <v>B</v>
      </c>
      <c r="L579" t="str">
        <f>IF(StudentsTable[[#This Row],[AverageScore]]&gt;=60,"Pass","Fail")</f>
        <v>Pass</v>
      </c>
      <c r="M579" t="str" cm="1">
        <f t="array" ref="M579">_xlfn.IFS(StudentsTable[[#This Row],[AverageScore]]&gt;=85,"Advanced",StudentsTable[[#This Row],[AverageScore]]&gt;=70,"Intermediate",StudentsTable[[#This Row],[AverageScore]]&gt;=60,"Basic",TRUE,"Needs Help")</f>
        <v>Advanced</v>
      </c>
      <c r="N579">
        <f>RANK(StudentsTable[[#This Row],[AverageScore]],StudentsTable[AverageScore])</f>
        <v>83</v>
      </c>
      <c r="O579">
        <f>(StudentsTable[[#This Row],[AverageScore]]-MIN(StudentsTable[AverageScore]))/(MAX(StudentsTable[AverageScore])-MIN(StudentsTable[AverageScore]))*100</f>
        <v>85.714285714285708</v>
      </c>
    </row>
    <row r="580" spans="1:15" x14ac:dyDescent="0.3">
      <c r="A580" t="s">
        <v>8</v>
      </c>
      <c r="B580" t="s">
        <v>9</v>
      </c>
      <c r="C580" t="s">
        <v>14</v>
      </c>
      <c r="D580" t="s">
        <v>20</v>
      </c>
      <c r="E580" t="s">
        <v>15</v>
      </c>
      <c r="F580">
        <v>48</v>
      </c>
      <c r="G580">
        <v>56</v>
      </c>
      <c r="H580">
        <v>58</v>
      </c>
      <c r="I580">
        <f>StudentsTable[[#This Row],[math score]]+StudentsTable[[#This Row],[reading score]]+StudentsTable[[#This Row],[writing score]]</f>
        <v>162</v>
      </c>
      <c r="J580">
        <f>StudentsTable[[#This Row],[TotalScore]]/3</f>
        <v>54</v>
      </c>
      <c r="K580" t="str" cm="1">
        <f t="array" ref="K580">_xlfn.IFS(StudentsTable[[#This Row],[AverageScore]]&gt;=90,"A",StudentsTable[[#This Row],[AverageScore]]&gt;=80,"B",StudentsTable[[#This Row],[AverageScore]]&gt;=70,"C",StudentsTable[[#This Row],[AverageScore]]&gt;=60,"D",TRUE,"F")</f>
        <v>F</v>
      </c>
      <c r="L580" t="str">
        <f>IF(StudentsTable[[#This Row],[AverageScore]]&gt;=60,"Pass","Fail")</f>
        <v>Fail</v>
      </c>
      <c r="M580" t="str" cm="1">
        <f t="array" ref="M580">_xlfn.IFS(StudentsTable[[#This Row],[AverageScore]]&gt;=85,"Advanced",StudentsTable[[#This Row],[AverageScore]]&gt;=70,"Intermediate",StudentsTable[[#This Row],[AverageScore]]&gt;=60,"Basic",TRUE,"Needs Help")</f>
        <v>Needs Help</v>
      </c>
      <c r="N580">
        <f>RANK(StudentsTable[[#This Row],[AverageScore]],StudentsTable[AverageScore])</f>
        <v>824</v>
      </c>
      <c r="O580">
        <f>(StudentsTable[[#This Row],[AverageScore]]-MIN(StudentsTable[AverageScore]))/(MAX(StudentsTable[AverageScore])-MIN(StudentsTable[AverageScore]))*100</f>
        <v>49.450549450549453</v>
      </c>
    </row>
    <row r="581" spans="1:15" x14ac:dyDescent="0.3">
      <c r="A581" t="s">
        <v>8</v>
      </c>
      <c r="B581" t="s">
        <v>21</v>
      </c>
      <c r="C581" t="s">
        <v>16</v>
      </c>
      <c r="D581" t="s">
        <v>11</v>
      </c>
      <c r="E581" t="s">
        <v>12</v>
      </c>
      <c r="F581">
        <v>53</v>
      </c>
      <c r="G581">
        <v>61</v>
      </c>
      <c r="H581">
        <v>68</v>
      </c>
      <c r="I581">
        <f>StudentsTable[[#This Row],[math score]]+StudentsTable[[#This Row],[reading score]]+StudentsTable[[#This Row],[writing score]]</f>
        <v>182</v>
      </c>
      <c r="J581">
        <f>StudentsTable[[#This Row],[TotalScore]]/3</f>
        <v>60.666666666666664</v>
      </c>
      <c r="K581" t="str" cm="1">
        <f t="array" ref="K581">_xlfn.IFS(StudentsTable[[#This Row],[AverageScore]]&gt;=90,"A",StudentsTable[[#This Row],[AverageScore]]&gt;=80,"B",StudentsTable[[#This Row],[AverageScore]]&gt;=70,"C",StudentsTable[[#This Row],[AverageScore]]&gt;=60,"D",TRUE,"F")</f>
        <v>D</v>
      </c>
      <c r="L581" t="str">
        <f>IF(StudentsTable[[#This Row],[AverageScore]]&gt;=60,"Pass","Fail")</f>
        <v>Pass</v>
      </c>
      <c r="M581" t="str" cm="1">
        <f t="array" ref="M581">_xlfn.IFS(StudentsTable[[#This Row],[AverageScore]]&gt;=85,"Advanced",StudentsTable[[#This Row],[AverageScore]]&gt;=70,"Intermediate",StudentsTable[[#This Row],[AverageScore]]&gt;=60,"Basic",TRUE,"Needs Help")</f>
        <v>Basic</v>
      </c>
      <c r="N581">
        <f>RANK(StudentsTable[[#This Row],[AverageScore]],StudentsTable[AverageScore])</f>
        <v>693</v>
      </c>
      <c r="O581">
        <f>(StudentsTable[[#This Row],[AverageScore]]-MIN(StudentsTable[AverageScore]))/(MAX(StudentsTable[AverageScore])-MIN(StudentsTable[AverageScore]))*100</f>
        <v>56.776556776556774</v>
      </c>
    </row>
    <row r="582" spans="1:15" x14ac:dyDescent="0.3">
      <c r="A582" t="s">
        <v>8</v>
      </c>
      <c r="B582" t="s">
        <v>21</v>
      </c>
      <c r="C582" t="s">
        <v>23</v>
      </c>
      <c r="D582" t="s">
        <v>11</v>
      </c>
      <c r="E582" t="s">
        <v>12</v>
      </c>
      <c r="F582">
        <v>81</v>
      </c>
      <c r="G582">
        <v>97</v>
      </c>
      <c r="H582">
        <v>96</v>
      </c>
      <c r="I582">
        <f>StudentsTable[[#This Row],[math score]]+StudentsTable[[#This Row],[reading score]]+StudentsTable[[#This Row],[writing score]]</f>
        <v>274</v>
      </c>
      <c r="J582">
        <f>StudentsTable[[#This Row],[TotalScore]]/3</f>
        <v>91.333333333333329</v>
      </c>
      <c r="K582" t="str" cm="1">
        <f t="array" ref="K582">_xlfn.IFS(StudentsTable[[#This Row],[AverageScore]]&gt;=90,"A",StudentsTable[[#This Row],[AverageScore]]&gt;=80,"B",StudentsTable[[#This Row],[AverageScore]]&gt;=70,"C",StudentsTable[[#This Row],[AverageScore]]&gt;=60,"D",TRUE,"F")</f>
        <v>A</v>
      </c>
      <c r="L582" t="str">
        <f>IF(StudentsTable[[#This Row],[AverageScore]]&gt;=60,"Pass","Fail")</f>
        <v>Pass</v>
      </c>
      <c r="M582" t="str" cm="1">
        <f t="array" ref="M582">_xlfn.IFS(StudentsTable[[#This Row],[AverageScore]]&gt;=85,"Advanced",StudentsTable[[#This Row],[AverageScore]]&gt;=70,"Intermediate",StudentsTable[[#This Row],[AverageScore]]&gt;=60,"Basic",TRUE,"Needs Help")</f>
        <v>Advanced</v>
      </c>
      <c r="N582">
        <f>RANK(StudentsTable[[#This Row],[AverageScore]],StudentsTable[AverageScore])</f>
        <v>43</v>
      </c>
      <c r="O582">
        <f>(StudentsTable[[#This Row],[AverageScore]]-MIN(StudentsTable[AverageScore]))/(MAX(StudentsTable[AverageScore])-MIN(StudentsTable[AverageScore]))*100</f>
        <v>90.476190476190467</v>
      </c>
    </row>
    <row r="583" spans="1:15" x14ac:dyDescent="0.3">
      <c r="A583" t="s">
        <v>8</v>
      </c>
      <c r="B583" t="s">
        <v>24</v>
      </c>
      <c r="C583" t="s">
        <v>23</v>
      </c>
      <c r="D583" t="s">
        <v>11</v>
      </c>
      <c r="E583" t="s">
        <v>12</v>
      </c>
      <c r="F583">
        <v>77</v>
      </c>
      <c r="G583">
        <v>79</v>
      </c>
      <c r="H583">
        <v>80</v>
      </c>
      <c r="I583">
        <f>StudentsTable[[#This Row],[math score]]+StudentsTable[[#This Row],[reading score]]+StudentsTable[[#This Row],[writing score]]</f>
        <v>236</v>
      </c>
      <c r="J583">
        <f>StudentsTable[[#This Row],[TotalScore]]/3</f>
        <v>78.666666666666671</v>
      </c>
      <c r="K583" t="str" cm="1">
        <f t="array" ref="K583">_xlfn.IFS(StudentsTable[[#This Row],[AverageScore]]&gt;=90,"A",StudentsTable[[#This Row],[AverageScore]]&gt;=80,"B",StudentsTable[[#This Row],[AverageScore]]&gt;=70,"C",StudentsTable[[#This Row],[AverageScore]]&gt;=60,"D",TRUE,"F")</f>
        <v>C</v>
      </c>
      <c r="L583" t="str">
        <f>IF(StudentsTable[[#This Row],[AverageScore]]&gt;=60,"Pass","Fail")</f>
        <v>Pass</v>
      </c>
      <c r="M583" t="str" cm="1">
        <f t="array" ref="M583">_xlfn.IFS(StudentsTable[[#This Row],[AverageScore]]&gt;=85,"Advanced",StudentsTable[[#This Row],[AverageScore]]&gt;=70,"Intermediate",StudentsTable[[#This Row],[AverageScore]]&gt;=60,"Basic",TRUE,"Needs Help")</f>
        <v>Intermediate</v>
      </c>
      <c r="N583">
        <f>RANK(StudentsTable[[#This Row],[AverageScore]],StudentsTable[AverageScore])</f>
        <v>222</v>
      </c>
      <c r="O583">
        <f>(StudentsTable[[#This Row],[AverageScore]]-MIN(StudentsTable[AverageScore]))/(MAX(StudentsTable[AverageScore])-MIN(StudentsTable[AverageScore]))*100</f>
        <v>76.556776556776569</v>
      </c>
    </row>
    <row r="584" spans="1:15" x14ac:dyDescent="0.3">
      <c r="A584" t="s">
        <v>8</v>
      </c>
      <c r="B584" t="s">
        <v>21</v>
      </c>
      <c r="C584" t="s">
        <v>10</v>
      </c>
      <c r="D584" t="s">
        <v>20</v>
      </c>
      <c r="E584" t="s">
        <v>12</v>
      </c>
      <c r="F584">
        <v>63</v>
      </c>
      <c r="G584">
        <v>73</v>
      </c>
      <c r="H584">
        <v>78</v>
      </c>
      <c r="I584">
        <f>StudentsTable[[#This Row],[math score]]+StudentsTable[[#This Row],[reading score]]+StudentsTable[[#This Row],[writing score]]</f>
        <v>214</v>
      </c>
      <c r="J584">
        <f>StudentsTable[[#This Row],[TotalScore]]/3</f>
        <v>71.333333333333329</v>
      </c>
      <c r="K584" t="str" cm="1">
        <f t="array" ref="K584">_xlfn.IFS(StudentsTable[[#This Row],[AverageScore]]&gt;=90,"A",StudentsTable[[#This Row],[AverageScore]]&gt;=80,"B",StudentsTable[[#This Row],[AverageScore]]&gt;=70,"C",StudentsTable[[#This Row],[AverageScore]]&gt;=60,"D",TRUE,"F")</f>
        <v>C</v>
      </c>
      <c r="L584" t="str">
        <f>IF(StudentsTable[[#This Row],[AverageScore]]&gt;=60,"Pass","Fail")</f>
        <v>Pass</v>
      </c>
      <c r="M584" t="str" cm="1">
        <f t="array" ref="M584">_xlfn.IFS(StudentsTable[[#This Row],[AverageScore]]&gt;=85,"Advanced",StudentsTable[[#This Row],[AverageScore]]&gt;=70,"Intermediate",StudentsTable[[#This Row],[AverageScore]]&gt;=60,"Basic",TRUE,"Needs Help")</f>
        <v>Intermediate</v>
      </c>
      <c r="N584">
        <f>RANK(StudentsTable[[#This Row],[AverageScore]],StudentsTable[AverageScore])</f>
        <v>412</v>
      </c>
      <c r="O584">
        <f>(StudentsTable[[#This Row],[AverageScore]]-MIN(StudentsTable[AverageScore]))/(MAX(StudentsTable[AverageScore])-MIN(StudentsTable[AverageScore]))*100</f>
        <v>68.498168498168482</v>
      </c>
    </row>
    <row r="585" spans="1:15" x14ac:dyDescent="0.3">
      <c r="A585" t="s">
        <v>8</v>
      </c>
      <c r="B585" t="s">
        <v>21</v>
      </c>
      <c r="C585" t="s">
        <v>19</v>
      </c>
      <c r="D585" t="s">
        <v>11</v>
      </c>
      <c r="E585" t="s">
        <v>15</v>
      </c>
      <c r="F585">
        <v>73</v>
      </c>
      <c r="G585">
        <v>75</v>
      </c>
      <c r="H585">
        <v>80</v>
      </c>
      <c r="I585">
        <f>StudentsTable[[#This Row],[math score]]+StudentsTable[[#This Row],[reading score]]+StudentsTable[[#This Row],[writing score]]</f>
        <v>228</v>
      </c>
      <c r="J585">
        <f>StudentsTable[[#This Row],[TotalScore]]/3</f>
        <v>76</v>
      </c>
      <c r="K585" t="str" cm="1">
        <f t="array" ref="K585">_xlfn.IFS(StudentsTable[[#This Row],[AverageScore]]&gt;=90,"A",StudentsTable[[#This Row],[AverageScore]]&gt;=80,"B",StudentsTable[[#This Row],[AverageScore]]&gt;=70,"C",StudentsTable[[#This Row],[AverageScore]]&gt;=60,"D",TRUE,"F")</f>
        <v>C</v>
      </c>
      <c r="L585" t="str">
        <f>IF(StudentsTable[[#This Row],[AverageScore]]&gt;=60,"Pass","Fail")</f>
        <v>Pass</v>
      </c>
      <c r="M585" t="str" cm="1">
        <f t="array" ref="M585">_xlfn.IFS(StudentsTable[[#This Row],[AverageScore]]&gt;=85,"Advanced",StudentsTable[[#This Row],[AverageScore]]&gt;=70,"Intermediate",StudentsTable[[#This Row],[AverageScore]]&gt;=60,"Basic",TRUE,"Needs Help")</f>
        <v>Intermediate</v>
      </c>
      <c r="N585">
        <f>RANK(StudentsTable[[#This Row],[AverageScore]],StudentsTable[AverageScore])</f>
        <v>288</v>
      </c>
      <c r="O585">
        <f>(StudentsTable[[#This Row],[AverageScore]]-MIN(StudentsTable[AverageScore]))/(MAX(StudentsTable[AverageScore])-MIN(StudentsTable[AverageScore]))*100</f>
        <v>73.626373626373635</v>
      </c>
    </row>
    <row r="586" spans="1:15" x14ac:dyDescent="0.3">
      <c r="A586" t="s">
        <v>8</v>
      </c>
      <c r="B586" t="s">
        <v>21</v>
      </c>
      <c r="C586" t="s">
        <v>14</v>
      </c>
      <c r="D586" t="s">
        <v>11</v>
      </c>
      <c r="E586" t="s">
        <v>12</v>
      </c>
      <c r="F586">
        <v>69</v>
      </c>
      <c r="G586">
        <v>77</v>
      </c>
      <c r="H586">
        <v>77</v>
      </c>
      <c r="I586">
        <f>StudentsTable[[#This Row],[math score]]+StudentsTable[[#This Row],[reading score]]+StudentsTable[[#This Row],[writing score]]</f>
        <v>223</v>
      </c>
      <c r="J586">
        <f>StudentsTable[[#This Row],[TotalScore]]/3</f>
        <v>74.333333333333329</v>
      </c>
      <c r="K586" t="str" cm="1">
        <f t="array" ref="K586">_xlfn.IFS(StudentsTable[[#This Row],[AverageScore]]&gt;=90,"A",StudentsTable[[#This Row],[AverageScore]]&gt;=80,"B",StudentsTable[[#This Row],[AverageScore]]&gt;=70,"C",StudentsTable[[#This Row],[AverageScore]]&gt;=60,"D",TRUE,"F")</f>
        <v>C</v>
      </c>
      <c r="L586" t="str">
        <f>IF(StudentsTable[[#This Row],[AverageScore]]&gt;=60,"Pass","Fail")</f>
        <v>Pass</v>
      </c>
      <c r="M586" t="str" cm="1">
        <f t="array" ref="M586">_xlfn.IFS(StudentsTable[[#This Row],[AverageScore]]&gt;=85,"Advanced",StudentsTable[[#This Row],[AverageScore]]&gt;=70,"Intermediate",StudentsTable[[#This Row],[AverageScore]]&gt;=60,"Basic",TRUE,"Needs Help")</f>
        <v>Intermediate</v>
      </c>
      <c r="N586">
        <f>RANK(StudentsTable[[#This Row],[AverageScore]],StudentsTable[AverageScore])</f>
        <v>333</v>
      </c>
      <c r="O586">
        <f>(StudentsTable[[#This Row],[AverageScore]]-MIN(StudentsTable[AverageScore]))/(MAX(StudentsTable[AverageScore])-MIN(StudentsTable[AverageScore]))*100</f>
        <v>71.794871794871796</v>
      </c>
    </row>
    <row r="587" spans="1:15" x14ac:dyDescent="0.3">
      <c r="A587" t="s">
        <v>8</v>
      </c>
      <c r="B587" t="s">
        <v>13</v>
      </c>
      <c r="C587" t="s">
        <v>19</v>
      </c>
      <c r="D587" t="s">
        <v>11</v>
      </c>
      <c r="E587" t="s">
        <v>12</v>
      </c>
      <c r="F587">
        <v>65</v>
      </c>
      <c r="G587">
        <v>76</v>
      </c>
      <c r="H587">
        <v>76</v>
      </c>
      <c r="I587">
        <f>StudentsTable[[#This Row],[math score]]+StudentsTable[[#This Row],[reading score]]+StudentsTable[[#This Row],[writing score]]</f>
        <v>217</v>
      </c>
      <c r="J587">
        <f>StudentsTable[[#This Row],[TotalScore]]/3</f>
        <v>72.333333333333329</v>
      </c>
      <c r="K587" t="str" cm="1">
        <f t="array" ref="K587">_xlfn.IFS(StudentsTable[[#This Row],[AverageScore]]&gt;=90,"A",StudentsTable[[#This Row],[AverageScore]]&gt;=80,"B",StudentsTable[[#This Row],[AverageScore]]&gt;=70,"C",StudentsTable[[#This Row],[AverageScore]]&gt;=60,"D",TRUE,"F")</f>
        <v>C</v>
      </c>
      <c r="L587" t="str">
        <f>IF(StudentsTable[[#This Row],[AverageScore]]&gt;=60,"Pass","Fail")</f>
        <v>Pass</v>
      </c>
      <c r="M587" t="str" cm="1">
        <f t="array" ref="M587">_xlfn.IFS(StudentsTable[[#This Row],[AverageScore]]&gt;=85,"Advanced",StudentsTable[[#This Row],[AverageScore]]&gt;=70,"Intermediate",StudentsTable[[#This Row],[AverageScore]]&gt;=60,"Basic",TRUE,"Needs Help")</f>
        <v>Intermediate</v>
      </c>
      <c r="N587">
        <f>RANK(StudentsTable[[#This Row],[AverageScore]],StudentsTable[AverageScore])</f>
        <v>389</v>
      </c>
      <c r="O587">
        <f>(StudentsTable[[#This Row],[AverageScore]]-MIN(StudentsTable[AverageScore]))/(MAX(StudentsTable[AverageScore])-MIN(StudentsTable[AverageScore]))*100</f>
        <v>69.597069597069591</v>
      </c>
    </row>
    <row r="588" spans="1:15" x14ac:dyDescent="0.3">
      <c r="A588" t="s">
        <v>8</v>
      </c>
      <c r="B588" t="s">
        <v>18</v>
      </c>
      <c r="C588" t="s">
        <v>22</v>
      </c>
      <c r="D588" t="s">
        <v>11</v>
      </c>
      <c r="E588" t="s">
        <v>12</v>
      </c>
      <c r="F588">
        <v>55</v>
      </c>
      <c r="G588">
        <v>73</v>
      </c>
      <c r="H588">
        <v>73</v>
      </c>
      <c r="I588">
        <f>StudentsTable[[#This Row],[math score]]+StudentsTable[[#This Row],[reading score]]+StudentsTable[[#This Row],[writing score]]</f>
        <v>201</v>
      </c>
      <c r="J588">
        <f>StudentsTable[[#This Row],[TotalScore]]/3</f>
        <v>67</v>
      </c>
      <c r="K588" t="str" cm="1">
        <f t="array" ref="K588">_xlfn.IFS(StudentsTable[[#This Row],[AverageScore]]&gt;=90,"A",StudentsTable[[#This Row],[AverageScore]]&gt;=80,"B",StudentsTable[[#This Row],[AverageScore]]&gt;=70,"C",StudentsTable[[#This Row],[AverageScore]]&gt;=60,"D",TRUE,"F")</f>
        <v>D</v>
      </c>
      <c r="L588" t="str">
        <f>IF(StudentsTable[[#This Row],[AverageScore]]&gt;=60,"Pass","Fail")</f>
        <v>Pass</v>
      </c>
      <c r="M588" t="str" cm="1">
        <f t="array" ref="M588">_xlfn.IFS(StudentsTable[[#This Row],[AverageScore]]&gt;=85,"Advanced",StudentsTable[[#This Row],[AverageScore]]&gt;=70,"Intermediate",StudentsTable[[#This Row],[AverageScore]]&gt;=60,"Basic",TRUE,"Needs Help")</f>
        <v>Basic</v>
      </c>
      <c r="N588">
        <f>RANK(StudentsTable[[#This Row],[AverageScore]],StudentsTable[AverageScore])</f>
        <v>540</v>
      </c>
      <c r="O588">
        <f>(StudentsTable[[#This Row],[AverageScore]]-MIN(StudentsTable[AverageScore]))/(MAX(StudentsTable[AverageScore])-MIN(StudentsTable[AverageScore]))*100</f>
        <v>63.73626373626373</v>
      </c>
    </row>
    <row r="589" spans="1:15" x14ac:dyDescent="0.3">
      <c r="A589" t="s">
        <v>8</v>
      </c>
      <c r="B589" t="s">
        <v>13</v>
      </c>
      <c r="C589" t="s">
        <v>10</v>
      </c>
      <c r="D589" t="s">
        <v>20</v>
      </c>
      <c r="E589" t="s">
        <v>12</v>
      </c>
      <c r="F589">
        <v>44</v>
      </c>
      <c r="G589">
        <v>63</v>
      </c>
      <c r="H589">
        <v>62</v>
      </c>
      <c r="I589">
        <f>StudentsTable[[#This Row],[math score]]+StudentsTable[[#This Row],[reading score]]+StudentsTable[[#This Row],[writing score]]</f>
        <v>169</v>
      </c>
      <c r="J589">
        <f>StudentsTable[[#This Row],[TotalScore]]/3</f>
        <v>56.333333333333336</v>
      </c>
      <c r="K589" t="str" cm="1">
        <f t="array" ref="K589">_xlfn.IFS(StudentsTable[[#This Row],[AverageScore]]&gt;=90,"A",StudentsTable[[#This Row],[AverageScore]]&gt;=80,"B",StudentsTable[[#This Row],[AverageScore]]&gt;=70,"C",StudentsTable[[#This Row],[AverageScore]]&gt;=60,"D",TRUE,"F")</f>
        <v>F</v>
      </c>
      <c r="L589" t="str">
        <f>IF(StudentsTable[[#This Row],[AverageScore]]&gt;=60,"Pass","Fail")</f>
        <v>Fail</v>
      </c>
      <c r="M589" t="str" cm="1">
        <f t="array" ref="M589">_xlfn.IFS(StudentsTable[[#This Row],[AverageScore]]&gt;=85,"Advanced",StudentsTable[[#This Row],[AverageScore]]&gt;=70,"Intermediate",StudentsTable[[#This Row],[AverageScore]]&gt;=60,"Basic",TRUE,"Needs Help")</f>
        <v>Needs Help</v>
      </c>
      <c r="N589">
        <f>RANK(StudentsTable[[#This Row],[AverageScore]],StudentsTable[AverageScore])</f>
        <v>780</v>
      </c>
      <c r="O589">
        <f>(StudentsTable[[#This Row],[AverageScore]]-MIN(StudentsTable[AverageScore]))/(MAX(StudentsTable[AverageScore])-MIN(StudentsTable[AverageScore]))*100</f>
        <v>52.014652014652022</v>
      </c>
    </row>
    <row r="590" spans="1:15" x14ac:dyDescent="0.3">
      <c r="A590" t="s">
        <v>8</v>
      </c>
      <c r="B590" t="s">
        <v>13</v>
      </c>
      <c r="C590" t="s">
        <v>14</v>
      </c>
      <c r="D590" t="s">
        <v>11</v>
      </c>
      <c r="E590" t="s">
        <v>12</v>
      </c>
      <c r="F590">
        <v>54</v>
      </c>
      <c r="G590">
        <v>64</v>
      </c>
      <c r="H590">
        <v>65</v>
      </c>
      <c r="I590">
        <f>StudentsTable[[#This Row],[math score]]+StudentsTable[[#This Row],[reading score]]+StudentsTable[[#This Row],[writing score]]</f>
        <v>183</v>
      </c>
      <c r="J590">
        <f>StudentsTable[[#This Row],[TotalScore]]/3</f>
        <v>61</v>
      </c>
      <c r="K590" t="str" cm="1">
        <f t="array" ref="K590">_xlfn.IFS(StudentsTable[[#This Row],[AverageScore]]&gt;=90,"A",StudentsTable[[#This Row],[AverageScore]]&gt;=80,"B",StudentsTable[[#This Row],[AverageScore]]&gt;=70,"C",StudentsTable[[#This Row],[AverageScore]]&gt;=60,"D",TRUE,"F")</f>
        <v>D</v>
      </c>
      <c r="L590" t="str">
        <f>IF(StudentsTable[[#This Row],[AverageScore]]&gt;=60,"Pass","Fail")</f>
        <v>Pass</v>
      </c>
      <c r="M590" t="str" cm="1">
        <f t="array" ref="M590">_xlfn.IFS(StudentsTable[[#This Row],[AverageScore]]&gt;=85,"Advanced",StudentsTable[[#This Row],[AverageScore]]&gt;=70,"Intermediate",StudentsTable[[#This Row],[AverageScore]]&gt;=60,"Basic",TRUE,"Needs Help")</f>
        <v>Basic</v>
      </c>
      <c r="N590">
        <f>RANK(StudentsTable[[#This Row],[AverageScore]],StudentsTable[AverageScore])</f>
        <v>687</v>
      </c>
      <c r="O590">
        <f>(StudentsTable[[#This Row],[AverageScore]]-MIN(StudentsTable[AverageScore]))/(MAX(StudentsTable[AverageScore])-MIN(StudentsTable[AverageScore]))*100</f>
        <v>57.142857142857139</v>
      </c>
    </row>
    <row r="591" spans="1:15" x14ac:dyDescent="0.3">
      <c r="A591" t="s">
        <v>8</v>
      </c>
      <c r="B591" t="s">
        <v>18</v>
      </c>
      <c r="C591" t="s">
        <v>23</v>
      </c>
      <c r="D591" t="s">
        <v>11</v>
      </c>
      <c r="E591" t="s">
        <v>12</v>
      </c>
      <c r="F591">
        <v>48</v>
      </c>
      <c r="G591">
        <v>66</v>
      </c>
      <c r="H591">
        <v>65</v>
      </c>
      <c r="I591">
        <f>StudentsTable[[#This Row],[math score]]+StudentsTable[[#This Row],[reading score]]+StudentsTable[[#This Row],[writing score]]</f>
        <v>179</v>
      </c>
      <c r="J591">
        <f>StudentsTable[[#This Row],[TotalScore]]/3</f>
        <v>59.666666666666664</v>
      </c>
      <c r="K591" t="str" cm="1">
        <f t="array" ref="K591">_xlfn.IFS(StudentsTable[[#This Row],[AverageScore]]&gt;=90,"A",StudentsTable[[#This Row],[AverageScore]]&gt;=80,"B",StudentsTable[[#This Row],[AverageScore]]&gt;=70,"C",StudentsTable[[#This Row],[AverageScore]]&gt;=60,"D",TRUE,"F")</f>
        <v>F</v>
      </c>
      <c r="L591" t="str">
        <f>IF(StudentsTable[[#This Row],[AverageScore]]&gt;=60,"Pass","Fail")</f>
        <v>Fail</v>
      </c>
      <c r="M591" t="str" cm="1">
        <f t="array" ref="M591">_xlfn.IFS(StudentsTable[[#This Row],[AverageScore]]&gt;=85,"Advanced",StudentsTable[[#This Row],[AverageScore]]&gt;=70,"Intermediate",StudentsTable[[#This Row],[AverageScore]]&gt;=60,"Basic",TRUE,"Needs Help")</f>
        <v>Needs Help</v>
      </c>
      <c r="N591">
        <f>RANK(StudentsTable[[#This Row],[AverageScore]],StudentsTable[AverageScore])</f>
        <v>716</v>
      </c>
      <c r="O591">
        <f>(StudentsTable[[#This Row],[AverageScore]]-MIN(StudentsTable[AverageScore]))/(MAX(StudentsTable[AverageScore])-MIN(StudentsTable[AverageScore]))*100</f>
        <v>55.677655677655679</v>
      </c>
    </row>
    <row r="592" spans="1:15" x14ac:dyDescent="0.3">
      <c r="A592" t="s">
        <v>17</v>
      </c>
      <c r="B592" t="s">
        <v>13</v>
      </c>
      <c r="C592" t="s">
        <v>14</v>
      </c>
      <c r="D592" t="s">
        <v>20</v>
      </c>
      <c r="E592" t="s">
        <v>12</v>
      </c>
      <c r="F592">
        <v>58</v>
      </c>
      <c r="G592">
        <v>57</v>
      </c>
      <c r="H592">
        <v>54</v>
      </c>
      <c r="I592">
        <f>StudentsTable[[#This Row],[math score]]+StudentsTable[[#This Row],[reading score]]+StudentsTable[[#This Row],[writing score]]</f>
        <v>169</v>
      </c>
      <c r="J592">
        <f>StudentsTable[[#This Row],[TotalScore]]/3</f>
        <v>56.333333333333336</v>
      </c>
      <c r="K592" t="str" cm="1">
        <f t="array" ref="K592">_xlfn.IFS(StudentsTable[[#This Row],[AverageScore]]&gt;=90,"A",StudentsTable[[#This Row],[AverageScore]]&gt;=80,"B",StudentsTable[[#This Row],[AverageScore]]&gt;=70,"C",StudentsTable[[#This Row],[AverageScore]]&gt;=60,"D",TRUE,"F")</f>
        <v>F</v>
      </c>
      <c r="L592" t="str">
        <f>IF(StudentsTable[[#This Row],[AverageScore]]&gt;=60,"Pass","Fail")</f>
        <v>Fail</v>
      </c>
      <c r="M592" t="str" cm="1">
        <f t="array" ref="M592">_xlfn.IFS(StudentsTable[[#This Row],[AverageScore]]&gt;=85,"Advanced",StudentsTable[[#This Row],[AverageScore]]&gt;=70,"Intermediate",StudentsTable[[#This Row],[AverageScore]]&gt;=60,"Basic",TRUE,"Needs Help")</f>
        <v>Needs Help</v>
      </c>
      <c r="N592">
        <f>RANK(StudentsTable[[#This Row],[AverageScore]],StudentsTable[AverageScore])</f>
        <v>780</v>
      </c>
      <c r="O592">
        <f>(StudentsTable[[#This Row],[AverageScore]]-MIN(StudentsTable[AverageScore]))/(MAX(StudentsTable[AverageScore])-MIN(StudentsTable[AverageScore]))*100</f>
        <v>52.014652014652022</v>
      </c>
    </row>
    <row r="593" spans="1:15" x14ac:dyDescent="0.3">
      <c r="A593" t="s">
        <v>17</v>
      </c>
      <c r="B593" t="s">
        <v>18</v>
      </c>
      <c r="C593" t="s">
        <v>23</v>
      </c>
      <c r="D593" t="s">
        <v>11</v>
      </c>
      <c r="E593" t="s">
        <v>12</v>
      </c>
      <c r="F593">
        <v>71</v>
      </c>
      <c r="G593">
        <v>62</v>
      </c>
      <c r="H593">
        <v>50</v>
      </c>
      <c r="I593">
        <f>StudentsTable[[#This Row],[math score]]+StudentsTable[[#This Row],[reading score]]+StudentsTable[[#This Row],[writing score]]</f>
        <v>183</v>
      </c>
      <c r="J593">
        <f>StudentsTable[[#This Row],[TotalScore]]/3</f>
        <v>61</v>
      </c>
      <c r="K593" t="str" cm="1">
        <f t="array" ref="K593">_xlfn.IFS(StudentsTable[[#This Row],[AverageScore]]&gt;=90,"A",StudentsTable[[#This Row],[AverageScore]]&gt;=80,"B",StudentsTable[[#This Row],[AverageScore]]&gt;=70,"C",StudentsTable[[#This Row],[AverageScore]]&gt;=60,"D",TRUE,"F")</f>
        <v>D</v>
      </c>
      <c r="L593" t="str">
        <f>IF(StudentsTable[[#This Row],[AverageScore]]&gt;=60,"Pass","Fail")</f>
        <v>Pass</v>
      </c>
      <c r="M593" t="str" cm="1">
        <f t="array" ref="M593">_xlfn.IFS(StudentsTable[[#This Row],[AverageScore]]&gt;=85,"Advanced",StudentsTable[[#This Row],[AverageScore]]&gt;=70,"Intermediate",StudentsTable[[#This Row],[AverageScore]]&gt;=60,"Basic",TRUE,"Needs Help")</f>
        <v>Basic</v>
      </c>
      <c r="N593">
        <f>RANK(StudentsTable[[#This Row],[AverageScore]],StudentsTable[AverageScore])</f>
        <v>687</v>
      </c>
      <c r="O593">
        <f>(StudentsTable[[#This Row],[AverageScore]]-MIN(StudentsTable[AverageScore]))/(MAX(StudentsTable[AverageScore])-MIN(StudentsTable[AverageScore]))*100</f>
        <v>57.142857142857139</v>
      </c>
    </row>
    <row r="594" spans="1:15" x14ac:dyDescent="0.3">
      <c r="A594" t="s">
        <v>17</v>
      </c>
      <c r="B594" t="s">
        <v>24</v>
      </c>
      <c r="C594" t="s">
        <v>10</v>
      </c>
      <c r="D594" t="s">
        <v>11</v>
      </c>
      <c r="E594" t="s">
        <v>12</v>
      </c>
      <c r="F594">
        <v>68</v>
      </c>
      <c r="G594">
        <v>68</v>
      </c>
      <c r="H594">
        <v>64</v>
      </c>
      <c r="I594">
        <f>StudentsTable[[#This Row],[math score]]+StudentsTable[[#This Row],[reading score]]+StudentsTable[[#This Row],[writing score]]</f>
        <v>200</v>
      </c>
      <c r="J594">
        <f>StudentsTable[[#This Row],[TotalScore]]/3</f>
        <v>66.666666666666671</v>
      </c>
      <c r="K594" t="str" cm="1">
        <f t="array" ref="K594">_xlfn.IFS(StudentsTable[[#This Row],[AverageScore]]&gt;=90,"A",StudentsTable[[#This Row],[AverageScore]]&gt;=80,"B",StudentsTable[[#This Row],[AverageScore]]&gt;=70,"C",StudentsTable[[#This Row],[AverageScore]]&gt;=60,"D",TRUE,"F")</f>
        <v>D</v>
      </c>
      <c r="L594" t="str">
        <f>IF(StudentsTable[[#This Row],[AverageScore]]&gt;=60,"Pass","Fail")</f>
        <v>Pass</v>
      </c>
      <c r="M594" t="str" cm="1">
        <f t="array" ref="M594">_xlfn.IFS(StudentsTable[[#This Row],[AverageScore]]&gt;=85,"Advanced",StudentsTable[[#This Row],[AverageScore]]&gt;=70,"Intermediate",StudentsTable[[#This Row],[AverageScore]]&gt;=60,"Basic",TRUE,"Needs Help")</f>
        <v>Basic</v>
      </c>
      <c r="N594">
        <f>RANK(StudentsTable[[#This Row],[AverageScore]],StudentsTable[AverageScore])</f>
        <v>549</v>
      </c>
      <c r="O594">
        <f>(StudentsTable[[#This Row],[AverageScore]]-MIN(StudentsTable[AverageScore]))/(MAX(StudentsTable[AverageScore])-MIN(StudentsTable[AverageScore]))*100</f>
        <v>63.369963369963379</v>
      </c>
    </row>
    <row r="595" spans="1:15" x14ac:dyDescent="0.3">
      <c r="A595" t="s">
        <v>8</v>
      </c>
      <c r="B595" t="s">
        <v>24</v>
      </c>
      <c r="C595" t="s">
        <v>22</v>
      </c>
      <c r="D595" t="s">
        <v>11</v>
      </c>
      <c r="E595" t="s">
        <v>12</v>
      </c>
      <c r="F595">
        <v>74</v>
      </c>
      <c r="G595">
        <v>76</v>
      </c>
      <c r="H595">
        <v>73</v>
      </c>
      <c r="I595">
        <f>StudentsTable[[#This Row],[math score]]+StudentsTable[[#This Row],[reading score]]+StudentsTable[[#This Row],[writing score]]</f>
        <v>223</v>
      </c>
      <c r="J595">
        <f>StudentsTable[[#This Row],[TotalScore]]/3</f>
        <v>74.333333333333329</v>
      </c>
      <c r="K595" t="str" cm="1">
        <f t="array" ref="K595">_xlfn.IFS(StudentsTable[[#This Row],[AverageScore]]&gt;=90,"A",StudentsTable[[#This Row],[AverageScore]]&gt;=80,"B",StudentsTable[[#This Row],[AverageScore]]&gt;=70,"C",StudentsTable[[#This Row],[AverageScore]]&gt;=60,"D",TRUE,"F")</f>
        <v>C</v>
      </c>
      <c r="L595" t="str">
        <f>IF(StudentsTable[[#This Row],[AverageScore]]&gt;=60,"Pass","Fail")</f>
        <v>Pass</v>
      </c>
      <c r="M595" t="str" cm="1">
        <f t="array" ref="M595">_xlfn.IFS(StudentsTable[[#This Row],[AverageScore]]&gt;=85,"Advanced",StudentsTable[[#This Row],[AverageScore]]&gt;=70,"Intermediate",StudentsTable[[#This Row],[AverageScore]]&gt;=60,"Basic",TRUE,"Needs Help")</f>
        <v>Intermediate</v>
      </c>
      <c r="N595">
        <f>RANK(StudentsTable[[#This Row],[AverageScore]],StudentsTable[AverageScore])</f>
        <v>333</v>
      </c>
      <c r="O595">
        <f>(StudentsTable[[#This Row],[AverageScore]]-MIN(StudentsTable[AverageScore]))/(MAX(StudentsTable[AverageScore])-MIN(StudentsTable[AverageScore]))*100</f>
        <v>71.794871794871796</v>
      </c>
    </row>
    <row r="596" spans="1:15" x14ac:dyDescent="0.3">
      <c r="A596" t="s">
        <v>8</v>
      </c>
      <c r="B596" t="s">
        <v>13</v>
      </c>
      <c r="C596" t="s">
        <v>10</v>
      </c>
      <c r="D596" t="s">
        <v>11</v>
      </c>
      <c r="E596" t="s">
        <v>15</v>
      </c>
      <c r="F596">
        <v>92</v>
      </c>
      <c r="G596">
        <v>100</v>
      </c>
      <c r="H596">
        <v>99</v>
      </c>
      <c r="I596">
        <f>StudentsTable[[#This Row],[math score]]+StudentsTable[[#This Row],[reading score]]+StudentsTable[[#This Row],[writing score]]</f>
        <v>291</v>
      </c>
      <c r="J596">
        <f>StudentsTable[[#This Row],[TotalScore]]/3</f>
        <v>97</v>
      </c>
      <c r="K596" t="str" cm="1">
        <f t="array" ref="K596">_xlfn.IFS(StudentsTable[[#This Row],[AverageScore]]&gt;=90,"A",StudentsTable[[#This Row],[AverageScore]]&gt;=80,"B",StudentsTable[[#This Row],[AverageScore]]&gt;=70,"C",StudentsTable[[#This Row],[AverageScore]]&gt;=60,"D",TRUE,"F")</f>
        <v>A</v>
      </c>
      <c r="L596" t="str">
        <f>IF(StudentsTable[[#This Row],[AverageScore]]&gt;=60,"Pass","Fail")</f>
        <v>Pass</v>
      </c>
      <c r="M596" t="str" cm="1">
        <f t="array" ref="M596">_xlfn.IFS(StudentsTable[[#This Row],[AverageScore]]&gt;=85,"Advanced",StudentsTable[[#This Row],[AverageScore]]&gt;=70,"Intermediate",StudentsTable[[#This Row],[AverageScore]]&gt;=60,"Basic",TRUE,"Needs Help")</f>
        <v>Advanced</v>
      </c>
      <c r="N596">
        <f>RANK(StudentsTable[[#This Row],[AverageScore]],StudentsTable[AverageScore])</f>
        <v>14</v>
      </c>
      <c r="O596">
        <f>(StudentsTable[[#This Row],[AverageScore]]-MIN(StudentsTable[AverageScore]))/(MAX(StudentsTable[AverageScore])-MIN(StudentsTable[AverageScore]))*100</f>
        <v>96.703296703296701</v>
      </c>
    </row>
    <row r="597" spans="1:15" x14ac:dyDescent="0.3">
      <c r="A597" t="s">
        <v>8</v>
      </c>
      <c r="B597" t="s">
        <v>13</v>
      </c>
      <c r="C597" t="s">
        <v>10</v>
      </c>
      <c r="D597" t="s">
        <v>11</v>
      </c>
      <c r="E597" t="s">
        <v>15</v>
      </c>
      <c r="F597">
        <v>56</v>
      </c>
      <c r="G597">
        <v>79</v>
      </c>
      <c r="H597">
        <v>72</v>
      </c>
      <c r="I597">
        <f>StudentsTable[[#This Row],[math score]]+StudentsTable[[#This Row],[reading score]]+StudentsTable[[#This Row],[writing score]]</f>
        <v>207</v>
      </c>
      <c r="J597">
        <f>StudentsTable[[#This Row],[TotalScore]]/3</f>
        <v>69</v>
      </c>
      <c r="K597" t="str" cm="1">
        <f t="array" ref="K597">_xlfn.IFS(StudentsTable[[#This Row],[AverageScore]]&gt;=90,"A",StudentsTable[[#This Row],[AverageScore]]&gt;=80,"B",StudentsTable[[#This Row],[AverageScore]]&gt;=70,"C",StudentsTable[[#This Row],[AverageScore]]&gt;=60,"D",TRUE,"F")</f>
        <v>D</v>
      </c>
      <c r="L597" t="str">
        <f>IF(StudentsTable[[#This Row],[AverageScore]]&gt;=60,"Pass","Fail")</f>
        <v>Pass</v>
      </c>
      <c r="M597" t="str" cm="1">
        <f t="array" ref="M597">_xlfn.IFS(StudentsTable[[#This Row],[AverageScore]]&gt;=85,"Advanced",StudentsTable[[#This Row],[AverageScore]]&gt;=70,"Intermediate",StudentsTable[[#This Row],[AverageScore]]&gt;=60,"Basic",TRUE,"Needs Help")</f>
        <v>Basic</v>
      </c>
      <c r="N597">
        <f>RANK(StudentsTable[[#This Row],[AverageScore]],StudentsTable[AverageScore])</f>
        <v>475</v>
      </c>
      <c r="O597">
        <f>(StudentsTable[[#This Row],[AverageScore]]-MIN(StudentsTable[AverageScore]))/(MAX(StudentsTable[AverageScore])-MIN(StudentsTable[AverageScore]))*100</f>
        <v>65.934065934065927</v>
      </c>
    </row>
    <row r="598" spans="1:15" x14ac:dyDescent="0.3">
      <c r="A598" t="s">
        <v>17</v>
      </c>
      <c r="B598" t="s">
        <v>9</v>
      </c>
      <c r="C598" t="s">
        <v>22</v>
      </c>
      <c r="D598" t="s">
        <v>20</v>
      </c>
      <c r="E598" t="s">
        <v>12</v>
      </c>
      <c r="F598">
        <v>30</v>
      </c>
      <c r="G598">
        <v>24</v>
      </c>
      <c r="H598">
        <v>15</v>
      </c>
      <c r="I598">
        <f>StudentsTable[[#This Row],[math score]]+StudentsTable[[#This Row],[reading score]]+StudentsTable[[#This Row],[writing score]]</f>
        <v>69</v>
      </c>
      <c r="J598">
        <f>StudentsTable[[#This Row],[TotalScore]]/3</f>
        <v>23</v>
      </c>
      <c r="K598" t="str" cm="1">
        <f t="array" ref="K598">_xlfn.IFS(StudentsTable[[#This Row],[AverageScore]]&gt;=90,"A",StudentsTable[[#This Row],[AverageScore]]&gt;=80,"B",StudentsTable[[#This Row],[AverageScore]]&gt;=70,"C",StudentsTable[[#This Row],[AverageScore]]&gt;=60,"D",TRUE,"F")</f>
        <v>F</v>
      </c>
      <c r="L598" t="str">
        <f>IF(StudentsTable[[#This Row],[AverageScore]]&gt;=60,"Pass","Fail")</f>
        <v>Fail</v>
      </c>
      <c r="M598" t="str" cm="1">
        <f t="array" ref="M598">_xlfn.IFS(StudentsTable[[#This Row],[AverageScore]]&gt;=85,"Advanced",StudentsTable[[#This Row],[AverageScore]]&gt;=70,"Intermediate",StudentsTable[[#This Row],[AverageScore]]&gt;=60,"Basic",TRUE,"Needs Help")</f>
        <v>Needs Help</v>
      </c>
      <c r="N598">
        <f>RANK(StudentsTable[[#This Row],[AverageScore]],StudentsTable[AverageScore])</f>
        <v>998</v>
      </c>
      <c r="O598">
        <f>(StudentsTable[[#This Row],[AverageScore]]-MIN(StudentsTable[AverageScore]))/(MAX(StudentsTable[AverageScore])-MIN(StudentsTable[AverageScore]))*100</f>
        <v>15.384615384615385</v>
      </c>
    </row>
    <row r="599" spans="1:15" x14ac:dyDescent="0.3">
      <c r="A599" t="s">
        <v>17</v>
      </c>
      <c r="B599" t="s">
        <v>18</v>
      </c>
      <c r="C599" t="s">
        <v>23</v>
      </c>
      <c r="D599" t="s">
        <v>11</v>
      </c>
      <c r="E599" t="s">
        <v>12</v>
      </c>
      <c r="F599">
        <v>53</v>
      </c>
      <c r="G599">
        <v>54</v>
      </c>
      <c r="H599">
        <v>48</v>
      </c>
      <c r="I599">
        <f>StudentsTable[[#This Row],[math score]]+StudentsTable[[#This Row],[reading score]]+StudentsTable[[#This Row],[writing score]]</f>
        <v>155</v>
      </c>
      <c r="J599">
        <f>StudentsTable[[#This Row],[TotalScore]]/3</f>
        <v>51.666666666666664</v>
      </c>
      <c r="K599" t="str" cm="1">
        <f t="array" ref="K599">_xlfn.IFS(StudentsTable[[#This Row],[AverageScore]]&gt;=90,"A",StudentsTable[[#This Row],[AverageScore]]&gt;=80,"B",StudentsTable[[#This Row],[AverageScore]]&gt;=70,"C",StudentsTable[[#This Row],[AverageScore]]&gt;=60,"D",TRUE,"F")</f>
        <v>F</v>
      </c>
      <c r="L599" t="str">
        <f>IF(StudentsTable[[#This Row],[AverageScore]]&gt;=60,"Pass","Fail")</f>
        <v>Fail</v>
      </c>
      <c r="M599" t="str" cm="1">
        <f t="array" ref="M599">_xlfn.IFS(StudentsTable[[#This Row],[AverageScore]]&gt;=85,"Advanced",StudentsTable[[#This Row],[AverageScore]]&gt;=70,"Intermediate",StudentsTable[[#This Row],[AverageScore]]&gt;=60,"Basic",TRUE,"Needs Help")</f>
        <v>Needs Help</v>
      </c>
      <c r="N599">
        <f>RANK(StudentsTable[[#This Row],[AverageScore]],StudentsTable[AverageScore])</f>
        <v>860</v>
      </c>
      <c r="O599">
        <f>(StudentsTable[[#This Row],[AverageScore]]-MIN(StudentsTable[AverageScore]))/(MAX(StudentsTable[AverageScore])-MIN(StudentsTable[AverageScore]))*100</f>
        <v>46.886446886446883</v>
      </c>
    </row>
    <row r="600" spans="1:15" x14ac:dyDescent="0.3">
      <c r="A600" t="s">
        <v>8</v>
      </c>
      <c r="B600" t="s">
        <v>21</v>
      </c>
      <c r="C600" t="s">
        <v>22</v>
      </c>
      <c r="D600" t="s">
        <v>11</v>
      </c>
      <c r="E600" t="s">
        <v>12</v>
      </c>
      <c r="F600">
        <v>69</v>
      </c>
      <c r="G600">
        <v>77</v>
      </c>
      <c r="H600">
        <v>73</v>
      </c>
      <c r="I600">
        <f>StudentsTable[[#This Row],[math score]]+StudentsTable[[#This Row],[reading score]]+StudentsTable[[#This Row],[writing score]]</f>
        <v>219</v>
      </c>
      <c r="J600">
        <f>StudentsTable[[#This Row],[TotalScore]]/3</f>
        <v>73</v>
      </c>
      <c r="K600" t="str" cm="1">
        <f t="array" ref="K600">_xlfn.IFS(StudentsTable[[#This Row],[AverageScore]]&gt;=90,"A",StudentsTable[[#This Row],[AverageScore]]&gt;=80,"B",StudentsTable[[#This Row],[AverageScore]]&gt;=70,"C",StudentsTable[[#This Row],[AverageScore]]&gt;=60,"D",TRUE,"F")</f>
        <v>C</v>
      </c>
      <c r="L600" t="str">
        <f>IF(StudentsTable[[#This Row],[AverageScore]]&gt;=60,"Pass","Fail")</f>
        <v>Pass</v>
      </c>
      <c r="M600" t="str" cm="1">
        <f t="array" ref="M600">_xlfn.IFS(StudentsTable[[#This Row],[AverageScore]]&gt;=85,"Advanced",StudentsTable[[#This Row],[AverageScore]]&gt;=70,"Intermediate",StudentsTable[[#This Row],[AverageScore]]&gt;=60,"Basic",TRUE,"Needs Help")</f>
        <v>Intermediate</v>
      </c>
      <c r="N600">
        <f>RANK(StudentsTable[[#This Row],[AverageScore]],StudentsTable[AverageScore])</f>
        <v>367</v>
      </c>
      <c r="O600">
        <f>(StudentsTable[[#This Row],[AverageScore]]-MIN(StudentsTable[AverageScore]))/(MAX(StudentsTable[AverageScore])-MIN(StudentsTable[AverageScore]))*100</f>
        <v>70.329670329670336</v>
      </c>
    </row>
    <row r="601" spans="1:15" x14ac:dyDescent="0.3">
      <c r="A601" t="s">
        <v>8</v>
      </c>
      <c r="B601" t="s">
        <v>21</v>
      </c>
      <c r="C601" t="s">
        <v>23</v>
      </c>
      <c r="D601" t="s">
        <v>11</v>
      </c>
      <c r="E601" t="s">
        <v>12</v>
      </c>
      <c r="F601">
        <v>65</v>
      </c>
      <c r="G601">
        <v>82</v>
      </c>
      <c r="H601">
        <v>81</v>
      </c>
      <c r="I601">
        <f>StudentsTable[[#This Row],[math score]]+StudentsTable[[#This Row],[reading score]]+StudentsTable[[#This Row],[writing score]]</f>
        <v>228</v>
      </c>
      <c r="J601">
        <f>StudentsTable[[#This Row],[TotalScore]]/3</f>
        <v>76</v>
      </c>
      <c r="K601" t="str" cm="1">
        <f t="array" ref="K601">_xlfn.IFS(StudentsTable[[#This Row],[AverageScore]]&gt;=90,"A",StudentsTable[[#This Row],[AverageScore]]&gt;=80,"B",StudentsTable[[#This Row],[AverageScore]]&gt;=70,"C",StudentsTable[[#This Row],[AverageScore]]&gt;=60,"D",TRUE,"F")</f>
        <v>C</v>
      </c>
      <c r="L601" t="str">
        <f>IF(StudentsTable[[#This Row],[AverageScore]]&gt;=60,"Pass","Fail")</f>
        <v>Pass</v>
      </c>
      <c r="M601" t="str" cm="1">
        <f t="array" ref="M601">_xlfn.IFS(StudentsTable[[#This Row],[AverageScore]]&gt;=85,"Advanced",StudentsTable[[#This Row],[AverageScore]]&gt;=70,"Intermediate",StudentsTable[[#This Row],[AverageScore]]&gt;=60,"Basic",TRUE,"Needs Help")</f>
        <v>Intermediate</v>
      </c>
      <c r="N601">
        <f>RANK(StudentsTable[[#This Row],[AverageScore]],StudentsTable[AverageScore])</f>
        <v>288</v>
      </c>
      <c r="O601">
        <f>(StudentsTable[[#This Row],[AverageScore]]-MIN(StudentsTable[AverageScore]))/(MAX(StudentsTable[AverageScore])-MIN(StudentsTable[AverageScore]))*100</f>
        <v>73.626373626373635</v>
      </c>
    </row>
    <row r="602" spans="1:15" x14ac:dyDescent="0.3">
      <c r="A602" t="s">
        <v>8</v>
      </c>
      <c r="B602" t="s">
        <v>21</v>
      </c>
      <c r="C602" t="s">
        <v>16</v>
      </c>
      <c r="D602" t="s">
        <v>11</v>
      </c>
      <c r="E602" t="s">
        <v>12</v>
      </c>
      <c r="F602">
        <v>54</v>
      </c>
      <c r="G602">
        <v>60</v>
      </c>
      <c r="H602">
        <v>63</v>
      </c>
      <c r="I602">
        <f>StudentsTable[[#This Row],[math score]]+StudentsTable[[#This Row],[reading score]]+StudentsTable[[#This Row],[writing score]]</f>
        <v>177</v>
      </c>
      <c r="J602">
        <f>StudentsTable[[#This Row],[TotalScore]]/3</f>
        <v>59</v>
      </c>
      <c r="K602" t="str" cm="1">
        <f t="array" ref="K602">_xlfn.IFS(StudentsTable[[#This Row],[AverageScore]]&gt;=90,"A",StudentsTable[[#This Row],[AverageScore]]&gt;=80,"B",StudentsTable[[#This Row],[AverageScore]]&gt;=70,"C",StudentsTable[[#This Row],[AverageScore]]&gt;=60,"D",TRUE,"F")</f>
        <v>F</v>
      </c>
      <c r="L602" t="str">
        <f>IF(StudentsTable[[#This Row],[AverageScore]]&gt;=60,"Pass","Fail")</f>
        <v>Fail</v>
      </c>
      <c r="M602" t="str" cm="1">
        <f t="array" ref="M602">_xlfn.IFS(StudentsTable[[#This Row],[AverageScore]]&gt;=85,"Advanced",StudentsTable[[#This Row],[AverageScore]]&gt;=70,"Intermediate",StudentsTable[[#This Row],[AverageScore]]&gt;=60,"Basic",TRUE,"Needs Help")</f>
        <v>Needs Help</v>
      </c>
      <c r="N602">
        <f>RANK(StudentsTable[[#This Row],[AverageScore]],StudentsTable[AverageScore])</f>
        <v>727</v>
      </c>
      <c r="O602">
        <f>(StudentsTable[[#This Row],[AverageScore]]-MIN(StudentsTable[AverageScore]))/(MAX(StudentsTable[AverageScore])-MIN(StudentsTable[AverageScore]))*100</f>
        <v>54.945054945054949</v>
      </c>
    </row>
    <row r="603" spans="1:15" x14ac:dyDescent="0.3">
      <c r="A603" t="s">
        <v>8</v>
      </c>
      <c r="B603" t="s">
        <v>13</v>
      </c>
      <c r="C603" t="s">
        <v>22</v>
      </c>
      <c r="D603" t="s">
        <v>11</v>
      </c>
      <c r="E603" t="s">
        <v>12</v>
      </c>
      <c r="F603">
        <v>29</v>
      </c>
      <c r="G603">
        <v>29</v>
      </c>
      <c r="H603">
        <v>30</v>
      </c>
      <c r="I603">
        <f>StudentsTable[[#This Row],[math score]]+StudentsTable[[#This Row],[reading score]]+StudentsTable[[#This Row],[writing score]]</f>
        <v>88</v>
      </c>
      <c r="J603">
        <f>StudentsTable[[#This Row],[TotalScore]]/3</f>
        <v>29.333333333333332</v>
      </c>
      <c r="K603" t="str" cm="1">
        <f t="array" ref="K603">_xlfn.IFS(StudentsTable[[#This Row],[AverageScore]]&gt;=90,"A",StudentsTable[[#This Row],[AverageScore]]&gt;=80,"B",StudentsTable[[#This Row],[AverageScore]]&gt;=70,"C",StudentsTable[[#This Row],[AverageScore]]&gt;=60,"D",TRUE,"F")</f>
        <v>F</v>
      </c>
      <c r="L603" t="str">
        <f>IF(StudentsTable[[#This Row],[AverageScore]]&gt;=60,"Pass","Fail")</f>
        <v>Fail</v>
      </c>
      <c r="M603" t="str" cm="1">
        <f t="array" ref="M603">_xlfn.IFS(StudentsTable[[#This Row],[AverageScore]]&gt;=85,"Advanced",StudentsTable[[#This Row],[AverageScore]]&gt;=70,"Intermediate",StudentsTable[[#This Row],[AverageScore]]&gt;=60,"Basic",TRUE,"Needs Help")</f>
        <v>Needs Help</v>
      </c>
      <c r="N603">
        <f>RANK(StudentsTable[[#This Row],[AverageScore]],StudentsTable[AverageScore])</f>
        <v>994</v>
      </c>
      <c r="O603">
        <f>(StudentsTable[[#This Row],[AverageScore]]-MIN(StudentsTable[AverageScore]))/(MAX(StudentsTable[AverageScore])-MIN(StudentsTable[AverageScore]))*100</f>
        <v>22.344322344322343</v>
      </c>
    </row>
    <row r="604" spans="1:15" x14ac:dyDescent="0.3">
      <c r="A604" t="s">
        <v>8</v>
      </c>
      <c r="B604" t="s">
        <v>24</v>
      </c>
      <c r="C604" t="s">
        <v>14</v>
      </c>
      <c r="D604" t="s">
        <v>11</v>
      </c>
      <c r="E604" t="s">
        <v>12</v>
      </c>
      <c r="F604">
        <v>76</v>
      </c>
      <c r="G604">
        <v>78</v>
      </c>
      <c r="H604">
        <v>80</v>
      </c>
      <c r="I604">
        <f>StudentsTable[[#This Row],[math score]]+StudentsTable[[#This Row],[reading score]]+StudentsTable[[#This Row],[writing score]]</f>
        <v>234</v>
      </c>
      <c r="J604">
        <f>StudentsTable[[#This Row],[TotalScore]]/3</f>
        <v>78</v>
      </c>
      <c r="K604" t="str" cm="1">
        <f t="array" ref="K604">_xlfn.IFS(StudentsTable[[#This Row],[AverageScore]]&gt;=90,"A",StudentsTable[[#This Row],[AverageScore]]&gt;=80,"B",StudentsTable[[#This Row],[AverageScore]]&gt;=70,"C",StudentsTable[[#This Row],[AverageScore]]&gt;=60,"D",TRUE,"F")</f>
        <v>C</v>
      </c>
      <c r="L604" t="str">
        <f>IF(StudentsTable[[#This Row],[AverageScore]]&gt;=60,"Pass","Fail")</f>
        <v>Pass</v>
      </c>
      <c r="M604" t="str" cm="1">
        <f t="array" ref="M604">_xlfn.IFS(StudentsTable[[#This Row],[AverageScore]]&gt;=85,"Advanced",StudentsTable[[#This Row],[AverageScore]]&gt;=70,"Intermediate",StudentsTable[[#This Row],[AverageScore]]&gt;=60,"Basic",TRUE,"Needs Help")</f>
        <v>Intermediate</v>
      </c>
      <c r="N604">
        <f>RANK(StudentsTable[[#This Row],[AverageScore]],StudentsTable[AverageScore])</f>
        <v>240</v>
      </c>
      <c r="O604">
        <f>(StudentsTable[[#This Row],[AverageScore]]-MIN(StudentsTable[AverageScore]))/(MAX(StudentsTable[AverageScore])-MIN(StudentsTable[AverageScore]))*100</f>
        <v>75.824175824175825</v>
      </c>
    </row>
    <row r="605" spans="1:15" x14ac:dyDescent="0.3">
      <c r="A605" t="s">
        <v>17</v>
      </c>
      <c r="B605" t="s">
        <v>21</v>
      </c>
      <c r="C605" t="s">
        <v>22</v>
      </c>
      <c r="D605" t="s">
        <v>20</v>
      </c>
      <c r="E605" t="s">
        <v>12</v>
      </c>
      <c r="F605">
        <v>60</v>
      </c>
      <c r="G605">
        <v>57</v>
      </c>
      <c r="H605">
        <v>51</v>
      </c>
      <c r="I605">
        <f>StudentsTable[[#This Row],[math score]]+StudentsTable[[#This Row],[reading score]]+StudentsTable[[#This Row],[writing score]]</f>
        <v>168</v>
      </c>
      <c r="J605">
        <f>StudentsTable[[#This Row],[TotalScore]]/3</f>
        <v>56</v>
      </c>
      <c r="K605" t="str" cm="1">
        <f t="array" ref="K605">_xlfn.IFS(StudentsTable[[#This Row],[AverageScore]]&gt;=90,"A",StudentsTable[[#This Row],[AverageScore]]&gt;=80,"B",StudentsTable[[#This Row],[AverageScore]]&gt;=70,"C",StudentsTable[[#This Row],[AverageScore]]&gt;=60,"D",TRUE,"F")</f>
        <v>F</v>
      </c>
      <c r="L605" t="str">
        <f>IF(StudentsTable[[#This Row],[AverageScore]]&gt;=60,"Pass","Fail")</f>
        <v>Fail</v>
      </c>
      <c r="M605" t="str" cm="1">
        <f t="array" ref="M605">_xlfn.IFS(StudentsTable[[#This Row],[AverageScore]]&gt;=85,"Advanced",StudentsTable[[#This Row],[AverageScore]]&gt;=70,"Intermediate",StudentsTable[[#This Row],[AverageScore]]&gt;=60,"Basic",TRUE,"Needs Help")</f>
        <v>Needs Help</v>
      </c>
      <c r="N605">
        <f>RANK(StudentsTable[[#This Row],[AverageScore]],StudentsTable[AverageScore])</f>
        <v>786</v>
      </c>
      <c r="O605">
        <f>(StudentsTable[[#This Row],[AverageScore]]-MIN(StudentsTable[AverageScore]))/(MAX(StudentsTable[AverageScore])-MIN(StudentsTable[AverageScore]))*100</f>
        <v>51.648351648351657</v>
      </c>
    </row>
    <row r="606" spans="1:15" x14ac:dyDescent="0.3">
      <c r="A606" t="s">
        <v>17</v>
      </c>
      <c r="B606" t="s">
        <v>21</v>
      </c>
      <c r="C606" t="s">
        <v>16</v>
      </c>
      <c r="D606" t="s">
        <v>20</v>
      </c>
      <c r="E606" t="s">
        <v>15</v>
      </c>
      <c r="F606">
        <v>84</v>
      </c>
      <c r="G606">
        <v>89</v>
      </c>
      <c r="H606">
        <v>90</v>
      </c>
      <c r="I606">
        <f>StudentsTable[[#This Row],[math score]]+StudentsTable[[#This Row],[reading score]]+StudentsTable[[#This Row],[writing score]]</f>
        <v>263</v>
      </c>
      <c r="J606">
        <f>StudentsTable[[#This Row],[TotalScore]]/3</f>
        <v>87.666666666666671</v>
      </c>
      <c r="K606" t="str" cm="1">
        <f t="array" ref="K606">_xlfn.IFS(StudentsTable[[#This Row],[AverageScore]]&gt;=90,"A",StudentsTable[[#This Row],[AverageScore]]&gt;=80,"B",StudentsTable[[#This Row],[AverageScore]]&gt;=70,"C",StudentsTable[[#This Row],[AverageScore]]&gt;=60,"D",TRUE,"F")</f>
        <v>B</v>
      </c>
      <c r="L606" t="str">
        <f>IF(StudentsTable[[#This Row],[AverageScore]]&gt;=60,"Pass","Fail")</f>
        <v>Pass</v>
      </c>
      <c r="M606" t="str" cm="1">
        <f t="array" ref="M606">_xlfn.IFS(StudentsTable[[#This Row],[AverageScore]]&gt;=85,"Advanced",StudentsTable[[#This Row],[AverageScore]]&gt;=70,"Intermediate",StudentsTable[[#This Row],[AverageScore]]&gt;=60,"Basic",TRUE,"Needs Help")</f>
        <v>Advanced</v>
      </c>
      <c r="N606">
        <f>RANK(StudentsTable[[#This Row],[AverageScore]],StudentsTable[AverageScore])</f>
        <v>76</v>
      </c>
      <c r="O606">
        <f>(StudentsTable[[#This Row],[AverageScore]]-MIN(StudentsTable[AverageScore]))/(MAX(StudentsTable[AverageScore])-MIN(StudentsTable[AverageScore]))*100</f>
        <v>86.446886446886452</v>
      </c>
    </row>
    <row r="607" spans="1:15" x14ac:dyDescent="0.3">
      <c r="A607" t="s">
        <v>17</v>
      </c>
      <c r="B607" t="s">
        <v>13</v>
      </c>
      <c r="C607" t="s">
        <v>23</v>
      </c>
      <c r="D607" t="s">
        <v>11</v>
      </c>
      <c r="E607" t="s">
        <v>12</v>
      </c>
      <c r="F607">
        <v>75</v>
      </c>
      <c r="G607">
        <v>72</v>
      </c>
      <c r="H607">
        <v>62</v>
      </c>
      <c r="I607">
        <f>StudentsTable[[#This Row],[math score]]+StudentsTable[[#This Row],[reading score]]+StudentsTable[[#This Row],[writing score]]</f>
        <v>209</v>
      </c>
      <c r="J607">
        <f>StudentsTable[[#This Row],[TotalScore]]/3</f>
        <v>69.666666666666671</v>
      </c>
      <c r="K607" t="str" cm="1">
        <f t="array" ref="K607">_xlfn.IFS(StudentsTable[[#This Row],[AverageScore]]&gt;=90,"A",StudentsTable[[#This Row],[AverageScore]]&gt;=80,"B",StudentsTable[[#This Row],[AverageScore]]&gt;=70,"C",StudentsTable[[#This Row],[AverageScore]]&gt;=60,"D",TRUE,"F")</f>
        <v>D</v>
      </c>
      <c r="L607" t="str">
        <f>IF(StudentsTable[[#This Row],[AverageScore]]&gt;=60,"Pass","Fail")</f>
        <v>Pass</v>
      </c>
      <c r="M607" t="str" cm="1">
        <f t="array" ref="M607">_xlfn.IFS(StudentsTable[[#This Row],[AverageScore]]&gt;=85,"Advanced",StudentsTable[[#This Row],[AverageScore]]&gt;=70,"Intermediate",StudentsTable[[#This Row],[AverageScore]]&gt;=60,"Basic",TRUE,"Needs Help")</f>
        <v>Basic</v>
      </c>
      <c r="N607">
        <f>RANK(StudentsTable[[#This Row],[AverageScore]],StudentsTable[AverageScore])</f>
        <v>460</v>
      </c>
      <c r="O607">
        <f>(StudentsTable[[#This Row],[AverageScore]]-MIN(StudentsTable[AverageScore]))/(MAX(StudentsTable[AverageScore])-MIN(StudentsTable[AverageScore]))*100</f>
        <v>66.666666666666671</v>
      </c>
    </row>
    <row r="608" spans="1:15" x14ac:dyDescent="0.3">
      <c r="A608" t="s">
        <v>8</v>
      </c>
      <c r="B608" t="s">
        <v>13</v>
      </c>
      <c r="C608" t="s">
        <v>19</v>
      </c>
      <c r="D608" t="s">
        <v>11</v>
      </c>
      <c r="E608" t="s">
        <v>12</v>
      </c>
      <c r="F608">
        <v>85</v>
      </c>
      <c r="G608">
        <v>84</v>
      </c>
      <c r="H608">
        <v>82</v>
      </c>
      <c r="I608">
        <f>StudentsTable[[#This Row],[math score]]+StudentsTable[[#This Row],[reading score]]+StudentsTable[[#This Row],[writing score]]</f>
        <v>251</v>
      </c>
      <c r="J608">
        <f>StudentsTable[[#This Row],[TotalScore]]/3</f>
        <v>83.666666666666671</v>
      </c>
      <c r="K608" t="str" cm="1">
        <f t="array" ref="K608">_xlfn.IFS(StudentsTable[[#This Row],[AverageScore]]&gt;=90,"A",StudentsTable[[#This Row],[AverageScore]]&gt;=80,"B",StudentsTable[[#This Row],[AverageScore]]&gt;=70,"C",StudentsTable[[#This Row],[AverageScore]]&gt;=60,"D",TRUE,"F")</f>
        <v>B</v>
      </c>
      <c r="L608" t="str">
        <f>IF(StudentsTable[[#This Row],[AverageScore]]&gt;=60,"Pass","Fail")</f>
        <v>Pass</v>
      </c>
      <c r="M608" t="str" cm="1">
        <f t="array" ref="M608">_xlfn.IFS(StudentsTable[[#This Row],[AverageScore]]&gt;=85,"Advanced",StudentsTable[[#This Row],[AverageScore]]&gt;=70,"Intermediate",StudentsTable[[#This Row],[AverageScore]]&gt;=60,"Basic",TRUE,"Needs Help")</f>
        <v>Intermediate</v>
      </c>
      <c r="N608">
        <f>RANK(StudentsTable[[#This Row],[AverageScore]],StudentsTable[AverageScore])</f>
        <v>131</v>
      </c>
      <c r="O608">
        <f>(StudentsTable[[#This Row],[AverageScore]]-MIN(StudentsTable[AverageScore]))/(MAX(StudentsTable[AverageScore])-MIN(StudentsTable[AverageScore]))*100</f>
        <v>82.051282051282058</v>
      </c>
    </row>
    <row r="609" spans="1:15" x14ac:dyDescent="0.3">
      <c r="A609" t="s">
        <v>8</v>
      </c>
      <c r="B609" t="s">
        <v>13</v>
      </c>
      <c r="C609" t="s">
        <v>16</v>
      </c>
      <c r="D609" t="s">
        <v>20</v>
      </c>
      <c r="E609" t="s">
        <v>12</v>
      </c>
      <c r="F609">
        <v>40</v>
      </c>
      <c r="G609">
        <v>58</v>
      </c>
      <c r="H609">
        <v>54</v>
      </c>
      <c r="I609">
        <f>StudentsTable[[#This Row],[math score]]+StudentsTable[[#This Row],[reading score]]+StudentsTable[[#This Row],[writing score]]</f>
        <v>152</v>
      </c>
      <c r="J609">
        <f>StudentsTable[[#This Row],[TotalScore]]/3</f>
        <v>50.666666666666664</v>
      </c>
      <c r="K609" t="str" cm="1">
        <f t="array" ref="K609">_xlfn.IFS(StudentsTable[[#This Row],[AverageScore]]&gt;=90,"A",StudentsTable[[#This Row],[AverageScore]]&gt;=80,"B",StudentsTable[[#This Row],[AverageScore]]&gt;=70,"C",StudentsTable[[#This Row],[AverageScore]]&gt;=60,"D",TRUE,"F")</f>
        <v>F</v>
      </c>
      <c r="L609" t="str">
        <f>IF(StudentsTable[[#This Row],[AverageScore]]&gt;=60,"Pass","Fail")</f>
        <v>Fail</v>
      </c>
      <c r="M609" t="str" cm="1">
        <f t="array" ref="M609">_xlfn.IFS(StudentsTable[[#This Row],[AverageScore]]&gt;=85,"Advanced",StudentsTable[[#This Row],[AverageScore]]&gt;=70,"Intermediate",StudentsTable[[#This Row],[AverageScore]]&gt;=60,"Basic",TRUE,"Needs Help")</f>
        <v>Needs Help</v>
      </c>
      <c r="N609">
        <f>RANK(StudentsTable[[#This Row],[AverageScore]],StudentsTable[AverageScore])</f>
        <v>881</v>
      </c>
      <c r="O609">
        <f>(StudentsTable[[#This Row],[AverageScore]]-MIN(StudentsTable[AverageScore]))/(MAX(StudentsTable[AverageScore])-MIN(StudentsTable[AverageScore]))*100</f>
        <v>45.787545787545788</v>
      </c>
    </row>
    <row r="610" spans="1:15" x14ac:dyDescent="0.3">
      <c r="A610" t="s">
        <v>8</v>
      </c>
      <c r="B610" t="s">
        <v>24</v>
      </c>
      <c r="C610" t="s">
        <v>14</v>
      </c>
      <c r="D610" t="s">
        <v>11</v>
      </c>
      <c r="E610" t="s">
        <v>12</v>
      </c>
      <c r="F610">
        <v>61</v>
      </c>
      <c r="G610">
        <v>64</v>
      </c>
      <c r="H610">
        <v>62</v>
      </c>
      <c r="I610">
        <f>StudentsTable[[#This Row],[math score]]+StudentsTable[[#This Row],[reading score]]+StudentsTable[[#This Row],[writing score]]</f>
        <v>187</v>
      </c>
      <c r="J610">
        <f>StudentsTable[[#This Row],[TotalScore]]/3</f>
        <v>62.333333333333336</v>
      </c>
      <c r="K610" t="str" cm="1">
        <f t="array" ref="K610">_xlfn.IFS(StudentsTable[[#This Row],[AverageScore]]&gt;=90,"A",StudentsTable[[#This Row],[AverageScore]]&gt;=80,"B",StudentsTable[[#This Row],[AverageScore]]&gt;=70,"C",StudentsTable[[#This Row],[AverageScore]]&gt;=60,"D",TRUE,"F")</f>
        <v>D</v>
      </c>
      <c r="L610" t="str">
        <f>IF(StudentsTable[[#This Row],[AverageScore]]&gt;=60,"Pass","Fail")</f>
        <v>Pass</v>
      </c>
      <c r="M610" t="str" cm="1">
        <f t="array" ref="M610">_xlfn.IFS(StudentsTable[[#This Row],[AverageScore]]&gt;=85,"Advanced",StudentsTable[[#This Row],[AverageScore]]&gt;=70,"Intermediate",StudentsTable[[#This Row],[AverageScore]]&gt;=60,"Basic",TRUE,"Needs Help")</f>
        <v>Basic</v>
      </c>
      <c r="N610">
        <f>RANK(StudentsTable[[#This Row],[AverageScore]],StudentsTable[AverageScore])</f>
        <v>657</v>
      </c>
      <c r="O610">
        <f>(StudentsTable[[#This Row],[AverageScore]]-MIN(StudentsTable[AverageScore]))/(MAX(StudentsTable[AverageScore])-MIN(StudentsTable[AverageScore]))*100</f>
        <v>58.608058608058613</v>
      </c>
    </row>
    <row r="611" spans="1:15" x14ac:dyDescent="0.3">
      <c r="A611" t="s">
        <v>8</v>
      </c>
      <c r="B611" t="s">
        <v>9</v>
      </c>
      <c r="C611" t="s">
        <v>19</v>
      </c>
      <c r="D611" t="s">
        <v>11</v>
      </c>
      <c r="E611" t="s">
        <v>12</v>
      </c>
      <c r="F611">
        <v>58</v>
      </c>
      <c r="G611">
        <v>63</v>
      </c>
      <c r="H611">
        <v>65</v>
      </c>
      <c r="I611">
        <f>StudentsTable[[#This Row],[math score]]+StudentsTable[[#This Row],[reading score]]+StudentsTable[[#This Row],[writing score]]</f>
        <v>186</v>
      </c>
      <c r="J611">
        <f>StudentsTable[[#This Row],[TotalScore]]/3</f>
        <v>62</v>
      </c>
      <c r="K611" t="str" cm="1">
        <f t="array" ref="K611">_xlfn.IFS(StudentsTable[[#This Row],[AverageScore]]&gt;=90,"A",StudentsTable[[#This Row],[AverageScore]]&gt;=80,"B",StudentsTable[[#This Row],[AverageScore]]&gt;=70,"C",StudentsTable[[#This Row],[AverageScore]]&gt;=60,"D",TRUE,"F")</f>
        <v>D</v>
      </c>
      <c r="L611" t="str">
        <f>IF(StudentsTable[[#This Row],[AverageScore]]&gt;=60,"Pass","Fail")</f>
        <v>Pass</v>
      </c>
      <c r="M611" t="str" cm="1">
        <f t="array" ref="M611">_xlfn.IFS(StudentsTable[[#This Row],[AverageScore]]&gt;=85,"Advanced",StudentsTable[[#This Row],[AverageScore]]&gt;=70,"Intermediate",StudentsTable[[#This Row],[AverageScore]]&gt;=60,"Basic",TRUE,"Needs Help")</f>
        <v>Basic</v>
      </c>
      <c r="N611">
        <f>RANK(StudentsTable[[#This Row],[AverageScore]],StudentsTable[AverageScore])</f>
        <v>665</v>
      </c>
      <c r="O611">
        <f>(StudentsTable[[#This Row],[AverageScore]]-MIN(StudentsTable[AverageScore]))/(MAX(StudentsTable[AverageScore])-MIN(StudentsTable[AverageScore]))*100</f>
        <v>58.241758241758248</v>
      </c>
    </row>
    <row r="612" spans="1:15" x14ac:dyDescent="0.3">
      <c r="A612" t="s">
        <v>17</v>
      </c>
      <c r="B612" t="s">
        <v>21</v>
      </c>
      <c r="C612" t="s">
        <v>14</v>
      </c>
      <c r="D612" t="s">
        <v>20</v>
      </c>
      <c r="E612" t="s">
        <v>15</v>
      </c>
      <c r="F612">
        <v>69</v>
      </c>
      <c r="G612">
        <v>60</v>
      </c>
      <c r="H612">
        <v>63</v>
      </c>
      <c r="I612">
        <f>StudentsTable[[#This Row],[math score]]+StudentsTable[[#This Row],[reading score]]+StudentsTable[[#This Row],[writing score]]</f>
        <v>192</v>
      </c>
      <c r="J612">
        <f>StudentsTable[[#This Row],[TotalScore]]/3</f>
        <v>64</v>
      </c>
      <c r="K612" t="str" cm="1">
        <f t="array" ref="K612">_xlfn.IFS(StudentsTable[[#This Row],[AverageScore]]&gt;=90,"A",StudentsTable[[#This Row],[AverageScore]]&gt;=80,"B",StudentsTable[[#This Row],[AverageScore]]&gt;=70,"C",StudentsTable[[#This Row],[AverageScore]]&gt;=60,"D",TRUE,"F")</f>
        <v>D</v>
      </c>
      <c r="L612" t="str">
        <f>IF(StudentsTable[[#This Row],[AverageScore]]&gt;=60,"Pass","Fail")</f>
        <v>Pass</v>
      </c>
      <c r="M612" t="str" cm="1">
        <f t="array" ref="M612">_xlfn.IFS(StudentsTable[[#This Row],[AverageScore]]&gt;=85,"Advanced",StudentsTable[[#This Row],[AverageScore]]&gt;=70,"Intermediate",StudentsTable[[#This Row],[AverageScore]]&gt;=60,"Basic",TRUE,"Needs Help")</f>
        <v>Basic</v>
      </c>
      <c r="N612">
        <f>RANK(StudentsTable[[#This Row],[AverageScore]],StudentsTable[AverageScore])</f>
        <v>623</v>
      </c>
      <c r="O612">
        <f>(StudentsTable[[#This Row],[AverageScore]]-MIN(StudentsTable[AverageScore]))/(MAX(StudentsTable[AverageScore])-MIN(StudentsTable[AverageScore]))*100</f>
        <v>60.439560439560438</v>
      </c>
    </row>
    <row r="613" spans="1:15" x14ac:dyDescent="0.3">
      <c r="A613" t="s">
        <v>8</v>
      </c>
      <c r="B613" t="s">
        <v>13</v>
      </c>
      <c r="C613" t="s">
        <v>14</v>
      </c>
      <c r="D613" t="s">
        <v>11</v>
      </c>
      <c r="E613" t="s">
        <v>12</v>
      </c>
      <c r="F613">
        <v>58</v>
      </c>
      <c r="G613">
        <v>59</v>
      </c>
      <c r="H613">
        <v>66</v>
      </c>
      <c r="I613">
        <f>StudentsTable[[#This Row],[math score]]+StudentsTable[[#This Row],[reading score]]+StudentsTable[[#This Row],[writing score]]</f>
        <v>183</v>
      </c>
      <c r="J613">
        <f>StudentsTable[[#This Row],[TotalScore]]/3</f>
        <v>61</v>
      </c>
      <c r="K613" t="str" cm="1">
        <f t="array" ref="K613">_xlfn.IFS(StudentsTable[[#This Row],[AverageScore]]&gt;=90,"A",StudentsTable[[#This Row],[AverageScore]]&gt;=80,"B",StudentsTable[[#This Row],[AverageScore]]&gt;=70,"C",StudentsTable[[#This Row],[AverageScore]]&gt;=60,"D",TRUE,"F")</f>
        <v>D</v>
      </c>
      <c r="L613" t="str">
        <f>IF(StudentsTable[[#This Row],[AverageScore]]&gt;=60,"Pass","Fail")</f>
        <v>Pass</v>
      </c>
      <c r="M613" t="str" cm="1">
        <f t="array" ref="M613">_xlfn.IFS(StudentsTable[[#This Row],[AverageScore]]&gt;=85,"Advanced",StudentsTable[[#This Row],[AverageScore]]&gt;=70,"Intermediate",StudentsTable[[#This Row],[AverageScore]]&gt;=60,"Basic",TRUE,"Needs Help")</f>
        <v>Basic</v>
      </c>
      <c r="N613">
        <f>RANK(StudentsTable[[#This Row],[AverageScore]],StudentsTable[AverageScore])</f>
        <v>687</v>
      </c>
      <c r="O613">
        <f>(StudentsTable[[#This Row],[AverageScore]]-MIN(StudentsTable[AverageScore]))/(MAX(StudentsTable[AverageScore])-MIN(StudentsTable[AverageScore]))*100</f>
        <v>57.142857142857139</v>
      </c>
    </row>
    <row r="614" spans="1:15" x14ac:dyDescent="0.3">
      <c r="A614" t="s">
        <v>17</v>
      </c>
      <c r="B614" t="s">
        <v>13</v>
      </c>
      <c r="C614" t="s">
        <v>10</v>
      </c>
      <c r="D614" t="s">
        <v>11</v>
      </c>
      <c r="E614" t="s">
        <v>15</v>
      </c>
      <c r="F614">
        <v>94</v>
      </c>
      <c r="G614">
        <v>90</v>
      </c>
      <c r="H614">
        <v>91</v>
      </c>
      <c r="I614">
        <f>StudentsTable[[#This Row],[math score]]+StudentsTable[[#This Row],[reading score]]+StudentsTable[[#This Row],[writing score]]</f>
        <v>275</v>
      </c>
      <c r="J614">
        <f>StudentsTable[[#This Row],[TotalScore]]/3</f>
        <v>91.666666666666671</v>
      </c>
      <c r="K614" t="str" cm="1">
        <f t="array" ref="K614">_xlfn.IFS(StudentsTable[[#This Row],[AverageScore]]&gt;=90,"A",StudentsTable[[#This Row],[AverageScore]]&gt;=80,"B",StudentsTable[[#This Row],[AverageScore]]&gt;=70,"C",StudentsTable[[#This Row],[AverageScore]]&gt;=60,"D",TRUE,"F")</f>
        <v>A</v>
      </c>
      <c r="L614" t="str">
        <f>IF(StudentsTable[[#This Row],[AverageScore]]&gt;=60,"Pass","Fail")</f>
        <v>Pass</v>
      </c>
      <c r="M614" t="str" cm="1">
        <f t="array" ref="M614">_xlfn.IFS(StudentsTable[[#This Row],[AverageScore]]&gt;=85,"Advanced",StudentsTable[[#This Row],[AverageScore]]&gt;=70,"Intermediate",StudentsTable[[#This Row],[AverageScore]]&gt;=60,"Basic",TRUE,"Needs Help")</f>
        <v>Advanced</v>
      </c>
      <c r="N614">
        <f>RANK(StudentsTable[[#This Row],[AverageScore]],StudentsTable[AverageScore])</f>
        <v>37</v>
      </c>
      <c r="O614">
        <f>(StudentsTable[[#This Row],[AverageScore]]-MIN(StudentsTable[AverageScore]))/(MAX(StudentsTable[AverageScore])-MIN(StudentsTable[AverageScore]))*100</f>
        <v>90.842490842490847</v>
      </c>
    </row>
    <row r="615" spans="1:15" x14ac:dyDescent="0.3">
      <c r="A615" t="s">
        <v>8</v>
      </c>
      <c r="B615" t="s">
        <v>13</v>
      </c>
      <c r="C615" t="s">
        <v>19</v>
      </c>
      <c r="D615" t="s">
        <v>11</v>
      </c>
      <c r="E615" t="s">
        <v>12</v>
      </c>
      <c r="F615">
        <v>65</v>
      </c>
      <c r="G615">
        <v>77</v>
      </c>
      <c r="H615">
        <v>74</v>
      </c>
      <c r="I615">
        <f>StudentsTable[[#This Row],[math score]]+StudentsTable[[#This Row],[reading score]]+StudentsTable[[#This Row],[writing score]]</f>
        <v>216</v>
      </c>
      <c r="J615">
        <f>StudentsTable[[#This Row],[TotalScore]]/3</f>
        <v>72</v>
      </c>
      <c r="K615" t="str" cm="1">
        <f t="array" ref="K615">_xlfn.IFS(StudentsTable[[#This Row],[AverageScore]]&gt;=90,"A",StudentsTable[[#This Row],[AverageScore]]&gt;=80,"B",StudentsTable[[#This Row],[AverageScore]]&gt;=70,"C",StudentsTable[[#This Row],[AverageScore]]&gt;=60,"D",TRUE,"F")</f>
        <v>C</v>
      </c>
      <c r="L615" t="str">
        <f>IF(StudentsTable[[#This Row],[AverageScore]]&gt;=60,"Pass","Fail")</f>
        <v>Pass</v>
      </c>
      <c r="M615" t="str" cm="1">
        <f t="array" ref="M615">_xlfn.IFS(StudentsTable[[#This Row],[AverageScore]]&gt;=85,"Advanced",StudentsTable[[#This Row],[AverageScore]]&gt;=70,"Intermediate",StudentsTable[[#This Row],[AverageScore]]&gt;=60,"Basic",TRUE,"Needs Help")</f>
        <v>Intermediate</v>
      </c>
      <c r="N615">
        <f>RANK(StudentsTable[[#This Row],[AverageScore]],StudentsTable[AverageScore])</f>
        <v>395</v>
      </c>
      <c r="O615">
        <f>(StudentsTable[[#This Row],[AverageScore]]-MIN(StudentsTable[AverageScore]))/(MAX(StudentsTable[AverageScore])-MIN(StudentsTable[AverageScore]))*100</f>
        <v>69.230769230769226</v>
      </c>
    </row>
    <row r="616" spans="1:15" x14ac:dyDescent="0.3">
      <c r="A616" t="s">
        <v>8</v>
      </c>
      <c r="B616" t="s">
        <v>18</v>
      </c>
      <c r="C616" t="s">
        <v>19</v>
      </c>
      <c r="D616" t="s">
        <v>11</v>
      </c>
      <c r="E616" t="s">
        <v>12</v>
      </c>
      <c r="F616">
        <v>82</v>
      </c>
      <c r="G616">
        <v>93</v>
      </c>
      <c r="H616">
        <v>93</v>
      </c>
      <c r="I616">
        <f>StudentsTable[[#This Row],[math score]]+StudentsTable[[#This Row],[reading score]]+StudentsTable[[#This Row],[writing score]]</f>
        <v>268</v>
      </c>
      <c r="J616">
        <f>StudentsTable[[#This Row],[TotalScore]]/3</f>
        <v>89.333333333333329</v>
      </c>
      <c r="K616" t="str" cm="1">
        <f t="array" ref="K616">_xlfn.IFS(StudentsTable[[#This Row],[AverageScore]]&gt;=90,"A",StudentsTable[[#This Row],[AverageScore]]&gt;=80,"B",StudentsTable[[#This Row],[AverageScore]]&gt;=70,"C",StudentsTable[[#This Row],[AverageScore]]&gt;=60,"D",TRUE,"F")</f>
        <v>B</v>
      </c>
      <c r="L616" t="str">
        <f>IF(StudentsTable[[#This Row],[AverageScore]]&gt;=60,"Pass","Fail")</f>
        <v>Pass</v>
      </c>
      <c r="M616" t="str" cm="1">
        <f t="array" ref="M616">_xlfn.IFS(StudentsTable[[#This Row],[AverageScore]]&gt;=85,"Advanced",StudentsTable[[#This Row],[AverageScore]]&gt;=70,"Intermediate",StudentsTable[[#This Row],[AverageScore]]&gt;=60,"Basic",TRUE,"Needs Help")</f>
        <v>Advanced</v>
      </c>
      <c r="N616">
        <f>RANK(StudentsTable[[#This Row],[AverageScore]],StudentsTable[AverageScore])</f>
        <v>55</v>
      </c>
      <c r="O616">
        <f>(StudentsTable[[#This Row],[AverageScore]]-MIN(StudentsTable[AverageScore]))/(MAX(StudentsTable[AverageScore])-MIN(StudentsTable[AverageScore]))*100</f>
        <v>88.278388278388277</v>
      </c>
    </row>
    <row r="617" spans="1:15" x14ac:dyDescent="0.3">
      <c r="A617" t="s">
        <v>8</v>
      </c>
      <c r="B617" t="s">
        <v>13</v>
      </c>
      <c r="C617" t="s">
        <v>22</v>
      </c>
      <c r="D617" t="s">
        <v>11</v>
      </c>
      <c r="E617" t="s">
        <v>12</v>
      </c>
      <c r="F617">
        <v>60</v>
      </c>
      <c r="G617">
        <v>68</v>
      </c>
      <c r="H617">
        <v>72</v>
      </c>
      <c r="I617">
        <f>StudentsTable[[#This Row],[math score]]+StudentsTable[[#This Row],[reading score]]+StudentsTable[[#This Row],[writing score]]</f>
        <v>200</v>
      </c>
      <c r="J617">
        <f>StudentsTable[[#This Row],[TotalScore]]/3</f>
        <v>66.666666666666671</v>
      </c>
      <c r="K617" t="str" cm="1">
        <f t="array" ref="K617">_xlfn.IFS(StudentsTable[[#This Row],[AverageScore]]&gt;=90,"A",StudentsTable[[#This Row],[AverageScore]]&gt;=80,"B",StudentsTable[[#This Row],[AverageScore]]&gt;=70,"C",StudentsTable[[#This Row],[AverageScore]]&gt;=60,"D",TRUE,"F")</f>
        <v>D</v>
      </c>
      <c r="L617" t="str">
        <f>IF(StudentsTable[[#This Row],[AverageScore]]&gt;=60,"Pass","Fail")</f>
        <v>Pass</v>
      </c>
      <c r="M617" t="str" cm="1">
        <f t="array" ref="M617">_xlfn.IFS(StudentsTable[[#This Row],[AverageScore]]&gt;=85,"Advanced",StudentsTable[[#This Row],[AverageScore]]&gt;=70,"Intermediate",StudentsTable[[#This Row],[AverageScore]]&gt;=60,"Basic",TRUE,"Needs Help")</f>
        <v>Basic</v>
      </c>
      <c r="N617">
        <f>RANK(StudentsTable[[#This Row],[AverageScore]],StudentsTable[AverageScore])</f>
        <v>549</v>
      </c>
      <c r="O617">
        <f>(StudentsTable[[#This Row],[AverageScore]]-MIN(StudentsTable[AverageScore]))/(MAX(StudentsTable[AverageScore])-MIN(StudentsTable[AverageScore]))*100</f>
        <v>63.369963369963379</v>
      </c>
    </row>
    <row r="618" spans="1:15" x14ac:dyDescent="0.3">
      <c r="A618" t="s">
        <v>8</v>
      </c>
      <c r="B618" t="s">
        <v>24</v>
      </c>
      <c r="C618" t="s">
        <v>10</v>
      </c>
      <c r="D618" t="s">
        <v>11</v>
      </c>
      <c r="E618" t="s">
        <v>12</v>
      </c>
      <c r="F618">
        <v>37</v>
      </c>
      <c r="G618">
        <v>45</v>
      </c>
      <c r="H618">
        <v>38</v>
      </c>
      <c r="I618">
        <f>StudentsTable[[#This Row],[math score]]+StudentsTable[[#This Row],[reading score]]+StudentsTable[[#This Row],[writing score]]</f>
        <v>120</v>
      </c>
      <c r="J618">
        <f>StudentsTable[[#This Row],[TotalScore]]/3</f>
        <v>40</v>
      </c>
      <c r="K618" t="str" cm="1">
        <f t="array" ref="K618">_xlfn.IFS(StudentsTable[[#This Row],[AverageScore]]&gt;=90,"A",StudentsTable[[#This Row],[AverageScore]]&gt;=80,"B",StudentsTable[[#This Row],[AverageScore]]&gt;=70,"C",StudentsTable[[#This Row],[AverageScore]]&gt;=60,"D",TRUE,"F")</f>
        <v>F</v>
      </c>
      <c r="L618" t="str">
        <f>IF(StudentsTable[[#This Row],[AverageScore]]&gt;=60,"Pass","Fail")</f>
        <v>Fail</v>
      </c>
      <c r="M618" t="str" cm="1">
        <f t="array" ref="M618">_xlfn.IFS(StudentsTable[[#This Row],[AverageScore]]&gt;=85,"Advanced",StudentsTable[[#This Row],[AverageScore]]&gt;=70,"Intermediate",StudentsTable[[#This Row],[AverageScore]]&gt;=60,"Basic",TRUE,"Needs Help")</f>
        <v>Needs Help</v>
      </c>
      <c r="N618">
        <f>RANK(StudentsTable[[#This Row],[AverageScore]],StudentsTable[AverageScore])</f>
        <v>969</v>
      </c>
      <c r="O618">
        <f>(StudentsTable[[#This Row],[AverageScore]]-MIN(StudentsTable[AverageScore]))/(MAX(StudentsTable[AverageScore])-MIN(StudentsTable[AverageScore]))*100</f>
        <v>34.065934065934066</v>
      </c>
    </row>
    <row r="619" spans="1:15" x14ac:dyDescent="0.3">
      <c r="A619" t="s">
        <v>17</v>
      </c>
      <c r="B619" t="s">
        <v>21</v>
      </c>
      <c r="C619" t="s">
        <v>10</v>
      </c>
      <c r="D619" t="s">
        <v>11</v>
      </c>
      <c r="E619" t="s">
        <v>12</v>
      </c>
      <c r="F619">
        <v>88</v>
      </c>
      <c r="G619">
        <v>78</v>
      </c>
      <c r="H619">
        <v>83</v>
      </c>
      <c r="I619">
        <f>StudentsTable[[#This Row],[math score]]+StudentsTable[[#This Row],[reading score]]+StudentsTable[[#This Row],[writing score]]</f>
        <v>249</v>
      </c>
      <c r="J619">
        <f>StudentsTable[[#This Row],[TotalScore]]/3</f>
        <v>83</v>
      </c>
      <c r="K619" t="str" cm="1">
        <f t="array" ref="K619">_xlfn.IFS(StudentsTable[[#This Row],[AverageScore]]&gt;=90,"A",StudentsTable[[#This Row],[AverageScore]]&gt;=80,"B",StudentsTable[[#This Row],[AverageScore]]&gt;=70,"C",StudentsTable[[#This Row],[AverageScore]]&gt;=60,"D",TRUE,"F")</f>
        <v>B</v>
      </c>
      <c r="L619" t="str">
        <f>IF(StudentsTable[[#This Row],[AverageScore]]&gt;=60,"Pass","Fail")</f>
        <v>Pass</v>
      </c>
      <c r="M619" t="str" cm="1">
        <f t="array" ref="M619">_xlfn.IFS(StudentsTable[[#This Row],[AverageScore]]&gt;=85,"Advanced",StudentsTable[[#This Row],[AverageScore]]&gt;=70,"Intermediate",StudentsTable[[#This Row],[AverageScore]]&gt;=60,"Basic",TRUE,"Needs Help")</f>
        <v>Intermediate</v>
      </c>
      <c r="N619">
        <f>RANK(StudentsTable[[#This Row],[AverageScore]],StudentsTable[AverageScore])</f>
        <v>140</v>
      </c>
      <c r="O619">
        <f>(StudentsTable[[#This Row],[AverageScore]]-MIN(StudentsTable[AverageScore]))/(MAX(StudentsTable[AverageScore])-MIN(StudentsTable[AverageScore]))*100</f>
        <v>81.318681318681314</v>
      </c>
    </row>
    <row r="620" spans="1:15" x14ac:dyDescent="0.3">
      <c r="A620" t="s">
        <v>17</v>
      </c>
      <c r="B620" t="s">
        <v>21</v>
      </c>
      <c r="C620" t="s">
        <v>16</v>
      </c>
      <c r="D620" t="s">
        <v>11</v>
      </c>
      <c r="E620" t="s">
        <v>12</v>
      </c>
      <c r="F620">
        <v>95</v>
      </c>
      <c r="G620">
        <v>81</v>
      </c>
      <c r="H620">
        <v>84</v>
      </c>
      <c r="I620">
        <f>StudentsTable[[#This Row],[math score]]+StudentsTable[[#This Row],[reading score]]+StudentsTable[[#This Row],[writing score]]</f>
        <v>260</v>
      </c>
      <c r="J620">
        <f>StudentsTable[[#This Row],[TotalScore]]/3</f>
        <v>86.666666666666671</v>
      </c>
      <c r="K620" t="str" cm="1">
        <f t="array" ref="K620">_xlfn.IFS(StudentsTable[[#This Row],[AverageScore]]&gt;=90,"A",StudentsTable[[#This Row],[AverageScore]]&gt;=80,"B",StudentsTable[[#This Row],[AverageScore]]&gt;=70,"C",StudentsTable[[#This Row],[AverageScore]]&gt;=60,"D",TRUE,"F")</f>
        <v>B</v>
      </c>
      <c r="L620" t="str">
        <f>IF(StudentsTable[[#This Row],[AverageScore]]&gt;=60,"Pass","Fail")</f>
        <v>Pass</v>
      </c>
      <c r="M620" t="str" cm="1">
        <f t="array" ref="M620">_xlfn.IFS(StudentsTable[[#This Row],[AverageScore]]&gt;=85,"Advanced",StudentsTable[[#This Row],[AverageScore]]&gt;=70,"Intermediate",StudentsTable[[#This Row],[AverageScore]]&gt;=60,"Basic",TRUE,"Needs Help")</f>
        <v>Advanced</v>
      </c>
      <c r="N620">
        <f>RANK(StudentsTable[[#This Row],[AverageScore]],StudentsTable[AverageScore])</f>
        <v>89</v>
      </c>
      <c r="O620">
        <f>(StudentsTable[[#This Row],[AverageScore]]-MIN(StudentsTable[AverageScore]))/(MAX(StudentsTable[AverageScore])-MIN(StudentsTable[AverageScore]))*100</f>
        <v>85.347985347985357</v>
      </c>
    </row>
    <row r="621" spans="1:15" x14ac:dyDescent="0.3">
      <c r="A621" t="s">
        <v>17</v>
      </c>
      <c r="B621" t="s">
        <v>13</v>
      </c>
      <c r="C621" t="s">
        <v>19</v>
      </c>
      <c r="D621" t="s">
        <v>20</v>
      </c>
      <c r="E621" t="s">
        <v>15</v>
      </c>
      <c r="F621">
        <v>65</v>
      </c>
      <c r="G621">
        <v>73</v>
      </c>
      <c r="H621">
        <v>68</v>
      </c>
      <c r="I621">
        <f>StudentsTable[[#This Row],[math score]]+StudentsTable[[#This Row],[reading score]]+StudentsTable[[#This Row],[writing score]]</f>
        <v>206</v>
      </c>
      <c r="J621">
        <f>StudentsTable[[#This Row],[TotalScore]]/3</f>
        <v>68.666666666666671</v>
      </c>
      <c r="K621" t="str" cm="1">
        <f t="array" ref="K621">_xlfn.IFS(StudentsTable[[#This Row],[AverageScore]]&gt;=90,"A",StudentsTable[[#This Row],[AverageScore]]&gt;=80,"B",StudentsTable[[#This Row],[AverageScore]]&gt;=70,"C",StudentsTable[[#This Row],[AverageScore]]&gt;=60,"D",TRUE,"F")</f>
        <v>D</v>
      </c>
      <c r="L621" t="str">
        <f>IF(StudentsTable[[#This Row],[AverageScore]]&gt;=60,"Pass","Fail")</f>
        <v>Pass</v>
      </c>
      <c r="M621" t="str" cm="1">
        <f t="array" ref="M621">_xlfn.IFS(StudentsTable[[#This Row],[AverageScore]]&gt;=85,"Advanced",StudentsTable[[#This Row],[AverageScore]]&gt;=70,"Intermediate",StudentsTable[[#This Row],[AverageScore]]&gt;=60,"Basic",TRUE,"Needs Help")</f>
        <v>Basic</v>
      </c>
      <c r="N621">
        <f>RANK(StudentsTable[[#This Row],[AverageScore]],StudentsTable[AverageScore])</f>
        <v>487</v>
      </c>
      <c r="O621">
        <f>(StudentsTable[[#This Row],[AverageScore]]-MIN(StudentsTable[AverageScore]))/(MAX(StudentsTable[AverageScore])-MIN(StudentsTable[AverageScore]))*100</f>
        <v>65.567765567765562</v>
      </c>
    </row>
    <row r="622" spans="1:15" x14ac:dyDescent="0.3">
      <c r="A622" t="s">
        <v>8</v>
      </c>
      <c r="B622" t="s">
        <v>13</v>
      </c>
      <c r="C622" t="s">
        <v>22</v>
      </c>
      <c r="D622" t="s">
        <v>20</v>
      </c>
      <c r="E622" t="s">
        <v>12</v>
      </c>
      <c r="F622">
        <v>35</v>
      </c>
      <c r="G622">
        <v>61</v>
      </c>
      <c r="H622">
        <v>54</v>
      </c>
      <c r="I622">
        <f>StudentsTable[[#This Row],[math score]]+StudentsTable[[#This Row],[reading score]]+StudentsTable[[#This Row],[writing score]]</f>
        <v>150</v>
      </c>
      <c r="J622">
        <f>StudentsTable[[#This Row],[TotalScore]]/3</f>
        <v>50</v>
      </c>
      <c r="K622" t="str" cm="1">
        <f t="array" ref="K622">_xlfn.IFS(StudentsTable[[#This Row],[AverageScore]]&gt;=90,"A",StudentsTable[[#This Row],[AverageScore]]&gt;=80,"B",StudentsTable[[#This Row],[AverageScore]]&gt;=70,"C",StudentsTable[[#This Row],[AverageScore]]&gt;=60,"D",TRUE,"F")</f>
        <v>F</v>
      </c>
      <c r="L622" t="str">
        <f>IF(StudentsTable[[#This Row],[AverageScore]]&gt;=60,"Pass","Fail")</f>
        <v>Fail</v>
      </c>
      <c r="M622" t="str" cm="1">
        <f t="array" ref="M622">_xlfn.IFS(StudentsTable[[#This Row],[AverageScore]]&gt;=85,"Advanced",StudentsTable[[#This Row],[AverageScore]]&gt;=70,"Intermediate",StudentsTable[[#This Row],[AverageScore]]&gt;=60,"Basic",TRUE,"Needs Help")</f>
        <v>Needs Help</v>
      </c>
      <c r="N622">
        <f>RANK(StudentsTable[[#This Row],[AverageScore]],StudentsTable[AverageScore])</f>
        <v>892</v>
      </c>
      <c r="O622">
        <f>(StudentsTable[[#This Row],[AverageScore]]-MIN(StudentsTable[AverageScore]))/(MAX(StudentsTable[AverageScore])-MIN(StudentsTable[AverageScore]))*100</f>
        <v>45.054945054945058</v>
      </c>
    </row>
    <row r="623" spans="1:15" x14ac:dyDescent="0.3">
      <c r="A623" t="s">
        <v>17</v>
      </c>
      <c r="B623" t="s">
        <v>9</v>
      </c>
      <c r="C623" t="s">
        <v>10</v>
      </c>
      <c r="D623" t="s">
        <v>20</v>
      </c>
      <c r="E623" t="s">
        <v>12</v>
      </c>
      <c r="F623">
        <v>62</v>
      </c>
      <c r="G623">
        <v>63</v>
      </c>
      <c r="H623">
        <v>56</v>
      </c>
      <c r="I623">
        <f>StudentsTable[[#This Row],[math score]]+StudentsTable[[#This Row],[reading score]]+StudentsTable[[#This Row],[writing score]]</f>
        <v>181</v>
      </c>
      <c r="J623">
        <f>StudentsTable[[#This Row],[TotalScore]]/3</f>
        <v>60.333333333333336</v>
      </c>
      <c r="K623" t="str" cm="1">
        <f t="array" ref="K623">_xlfn.IFS(StudentsTable[[#This Row],[AverageScore]]&gt;=90,"A",StudentsTable[[#This Row],[AverageScore]]&gt;=80,"B",StudentsTable[[#This Row],[AverageScore]]&gt;=70,"C",StudentsTable[[#This Row],[AverageScore]]&gt;=60,"D",TRUE,"F")</f>
        <v>D</v>
      </c>
      <c r="L623" t="str">
        <f>IF(StudentsTable[[#This Row],[AverageScore]]&gt;=60,"Pass","Fail")</f>
        <v>Pass</v>
      </c>
      <c r="M623" t="str" cm="1">
        <f t="array" ref="M623">_xlfn.IFS(StudentsTable[[#This Row],[AverageScore]]&gt;=85,"Advanced",StudentsTable[[#This Row],[AverageScore]]&gt;=70,"Intermediate",StudentsTable[[#This Row],[AverageScore]]&gt;=60,"Basic",TRUE,"Needs Help")</f>
        <v>Basic</v>
      </c>
      <c r="N623">
        <f>RANK(StudentsTable[[#This Row],[AverageScore]],StudentsTable[AverageScore])</f>
        <v>700</v>
      </c>
      <c r="O623">
        <f>(StudentsTable[[#This Row],[AverageScore]]-MIN(StudentsTable[AverageScore]))/(MAX(StudentsTable[AverageScore])-MIN(StudentsTable[AverageScore]))*100</f>
        <v>56.410256410256409</v>
      </c>
    </row>
    <row r="624" spans="1:15" x14ac:dyDescent="0.3">
      <c r="A624" t="s">
        <v>17</v>
      </c>
      <c r="B624" t="s">
        <v>13</v>
      </c>
      <c r="C624" t="s">
        <v>22</v>
      </c>
      <c r="D624" t="s">
        <v>20</v>
      </c>
      <c r="E624" t="s">
        <v>15</v>
      </c>
      <c r="F624">
        <v>58</v>
      </c>
      <c r="G624">
        <v>51</v>
      </c>
      <c r="H624">
        <v>52</v>
      </c>
      <c r="I624">
        <f>StudentsTable[[#This Row],[math score]]+StudentsTable[[#This Row],[reading score]]+StudentsTable[[#This Row],[writing score]]</f>
        <v>161</v>
      </c>
      <c r="J624">
        <f>StudentsTable[[#This Row],[TotalScore]]/3</f>
        <v>53.666666666666664</v>
      </c>
      <c r="K624" t="str" cm="1">
        <f t="array" ref="K624">_xlfn.IFS(StudentsTable[[#This Row],[AverageScore]]&gt;=90,"A",StudentsTable[[#This Row],[AverageScore]]&gt;=80,"B",StudentsTable[[#This Row],[AverageScore]]&gt;=70,"C",StudentsTable[[#This Row],[AverageScore]]&gt;=60,"D",TRUE,"F")</f>
        <v>F</v>
      </c>
      <c r="L624" t="str">
        <f>IF(StudentsTable[[#This Row],[AverageScore]]&gt;=60,"Pass","Fail")</f>
        <v>Fail</v>
      </c>
      <c r="M624" t="str" cm="1">
        <f t="array" ref="M624">_xlfn.IFS(StudentsTable[[#This Row],[AverageScore]]&gt;=85,"Advanced",StudentsTable[[#This Row],[AverageScore]]&gt;=70,"Intermediate",StudentsTable[[#This Row],[AverageScore]]&gt;=60,"Basic",TRUE,"Needs Help")</f>
        <v>Needs Help</v>
      </c>
      <c r="N624">
        <f>RANK(StudentsTable[[#This Row],[AverageScore]],StudentsTable[AverageScore])</f>
        <v>830</v>
      </c>
      <c r="O624">
        <f>(StudentsTable[[#This Row],[AverageScore]]-MIN(StudentsTable[AverageScore]))/(MAX(StudentsTable[AverageScore])-MIN(StudentsTable[AverageScore]))*100</f>
        <v>49.08424908424908</v>
      </c>
    </row>
    <row r="625" spans="1:15" x14ac:dyDescent="0.3">
      <c r="A625" t="s">
        <v>17</v>
      </c>
      <c r="B625" t="s">
        <v>18</v>
      </c>
      <c r="C625" t="s">
        <v>14</v>
      </c>
      <c r="D625" t="s">
        <v>11</v>
      </c>
      <c r="E625" t="s">
        <v>15</v>
      </c>
      <c r="F625">
        <v>100</v>
      </c>
      <c r="G625">
        <v>96</v>
      </c>
      <c r="H625">
        <v>86</v>
      </c>
      <c r="I625">
        <f>StudentsTable[[#This Row],[math score]]+StudentsTable[[#This Row],[reading score]]+StudentsTable[[#This Row],[writing score]]</f>
        <v>282</v>
      </c>
      <c r="J625">
        <f>StudentsTable[[#This Row],[TotalScore]]/3</f>
        <v>94</v>
      </c>
      <c r="K625" t="str" cm="1">
        <f t="array" ref="K625">_xlfn.IFS(StudentsTable[[#This Row],[AverageScore]]&gt;=90,"A",StudentsTable[[#This Row],[AverageScore]]&gt;=80,"B",StudentsTable[[#This Row],[AverageScore]]&gt;=70,"C",StudentsTable[[#This Row],[AverageScore]]&gt;=60,"D",TRUE,"F")</f>
        <v>A</v>
      </c>
      <c r="L625" t="str">
        <f>IF(StudentsTable[[#This Row],[AverageScore]]&gt;=60,"Pass","Fail")</f>
        <v>Pass</v>
      </c>
      <c r="M625" t="str" cm="1">
        <f t="array" ref="M625">_xlfn.IFS(StudentsTable[[#This Row],[AverageScore]]&gt;=85,"Advanced",StudentsTable[[#This Row],[AverageScore]]&gt;=70,"Intermediate",StudentsTable[[#This Row],[AverageScore]]&gt;=60,"Basic",TRUE,"Needs Help")</f>
        <v>Advanced</v>
      </c>
      <c r="N625">
        <f>RANK(StudentsTable[[#This Row],[AverageScore]],StudentsTable[AverageScore])</f>
        <v>23</v>
      </c>
      <c r="O625">
        <f>(StudentsTable[[#This Row],[AverageScore]]-MIN(StudentsTable[AverageScore]))/(MAX(StudentsTable[AverageScore])-MIN(StudentsTable[AverageScore]))*100</f>
        <v>93.406593406593402</v>
      </c>
    </row>
    <row r="626" spans="1:15" x14ac:dyDescent="0.3">
      <c r="A626" t="s">
        <v>8</v>
      </c>
      <c r="B626" t="s">
        <v>24</v>
      </c>
      <c r="C626" t="s">
        <v>10</v>
      </c>
      <c r="D626" t="s">
        <v>20</v>
      </c>
      <c r="E626" t="s">
        <v>12</v>
      </c>
      <c r="F626">
        <v>61</v>
      </c>
      <c r="G626">
        <v>58</v>
      </c>
      <c r="H626">
        <v>62</v>
      </c>
      <c r="I626">
        <f>StudentsTable[[#This Row],[math score]]+StudentsTable[[#This Row],[reading score]]+StudentsTable[[#This Row],[writing score]]</f>
        <v>181</v>
      </c>
      <c r="J626">
        <f>StudentsTable[[#This Row],[TotalScore]]/3</f>
        <v>60.333333333333336</v>
      </c>
      <c r="K626" t="str" cm="1">
        <f t="array" ref="K626">_xlfn.IFS(StudentsTable[[#This Row],[AverageScore]]&gt;=90,"A",StudentsTable[[#This Row],[AverageScore]]&gt;=80,"B",StudentsTable[[#This Row],[AverageScore]]&gt;=70,"C",StudentsTable[[#This Row],[AverageScore]]&gt;=60,"D",TRUE,"F")</f>
        <v>D</v>
      </c>
      <c r="L626" t="str">
        <f>IF(StudentsTable[[#This Row],[AverageScore]]&gt;=60,"Pass","Fail")</f>
        <v>Pass</v>
      </c>
      <c r="M626" t="str" cm="1">
        <f t="array" ref="M626">_xlfn.IFS(StudentsTable[[#This Row],[AverageScore]]&gt;=85,"Advanced",StudentsTable[[#This Row],[AverageScore]]&gt;=70,"Intermediate",StudentsTable[[#This Row],[AverageScore]]&gt;=60,"Basic",TRUE,"Needs Help")</f>
        <v>Basic</v>
      </c>
      <c r="N626">
        <f>RANK(StudentsTable[[#This Row],[AverageScore]],StudentsTable[AverageScore])</f>
        <v>700</v>
      </c>
      <c r="O626">
        <f>(StudentsTable[[#This Row],[AverageScore]]-MIN(StudentsTable[AverageScore]))/(MAX(StudentsTable[AverageScore])-MIN(StudentsTable[AverageScore]))*100</f>
        <v>56.410256410256409</v>
      </c>
    </row>
    <row r="627" spans="1:15" x14ac:dyDescent="0.3">
      <c r="A627" t="s">
        <v>17</v>
      </c>
      <c r="B627" t="s">
        <v>21</v>
      </c>
      <c r="C627" t="s">
        <v>14</v>
      </c>
      <c r="D627" t="s">
        <v>11</v>
      </c>
      <c r="E627" t="s">
        <v>15</v>
      </c>
      <c r="F627">
        <v>100</v>
      </c>
      <c r="G627">
        <v>97</v>
      </c>
      <c r="H627">
        <v>99</v>
      </c>
      <c r="I627">
        <f>StudentsTable[[#This Row],[math score]]+StudentsTable[[#This Row],[reading score]]+StudentsTable[[#This Row],[writing score]]</f>
        <v>296</v>
      </c>
      <c r="J627">
        <f>StudentsTable[[#This Row],[TotalScore]]/3</f>
        <v>98.666666666666671</v>
      </c>
      <c r="K627" t="str" cm="1">
        <f t="array" ref="K627">_xlfn.IFS(StudentsTable[[#This Row],[AverageScore]]&gt;=90,"A",StudentsTable[[#This Row],[AverageScore]]&gt;=80,"B",StudentsTable[[#This Row],[AverageScore]]&gt;=70,"C",StudentsTable[[#This Row],[AverageScore]]&gt;=60,"D",TRUE,"F")</f>
        <v>A</v>
      </c>
      <c r="L627" t="str">
        <f>IF(StudentsTable[[#This Row],[AverageScore]]&gt;=60,"Pass","Fail")</f>
        <v>Pass</v>
      </c>
      <c r="M627" t="str" cm="1">
        <f t="array" ref="M627">_xlfn.IFS(StudentsTable[[#This Row],[AverageScore]]&gt;=85,"Advanced",StudentsTable[[#This Row],[AverageScore]]&gt;=70,"Intermediate",StudentsTable[[#This Row],[AverageScore]]&gt;=60,"Basic",TRUE,"Needs Help")</f>
        <v>Advanced</v>
      </c>
      <c r="N627">
        <f>RANK(StudentsTable[[#This Row],[AverageScore]],StudentsTable[AverageScore])</f>
        <v>7</v>
      </c>
      <c r="O627">
        <f>(StudentsTable[[#This Row],[AverageScore]]-MIN(StudentsTable[AverageScore]))/(MAX(StudentsTable[AverageScore])-MIN(StudentsTable[AverageScore]))*100</f>
        <v>98.53479853479854</v>
      </c>
    </row>
    <row r="628" spans="1:15" x14ac:dyDescent="0.3">
      <c r="A628" t="s">
        <v>17</v>
      </c>
      <c r="B628" t="s">
        <v>9</v>
      </c>
      <c r="C628" t="s">
        <v>19</v>
      </c>
      <c r="D628" t="s">
        <v>20</v>
      </c>
      <c r="E628" t="s">
        <v>15</v>
      </c>
      <c r="F628">
        <v>69</v>
      </c>
      <c r="G628">
        <v>70</v>
      </c>
      <c r="H628">
        <v>63</v>
      </c>
      <c r="I628">
        <f>StudentsTable[[#This Row],[math score]]+StudentsTable[[#This Row],[reading score]]+StudentsTable[[#This Row],[writing score]]</f>
        <v>202</v>
      </c>
      <c r="J628">
        <f>StudentsTable[[#This Row],[TotalScore]]/3</f>
        <v>67.333333333333329</v>
      </c>
      <c r="K628" t="str" cm="1">
        <f t="array" ref="K628">_xlfn.IFS(StudentsTable[[#This Row],[AverageScore]]&gt;=90,"A",StudentsTable[[#This Row],[AverageScore]]&gt;=80,"B",StudentsTable[[#This Row],[AverageScore]]&gt;=70,"C",StudentsTable[[#This Row],[AverageScore]]&gt;=60,"D",TRUE,"F")</f>
        <v>D</v>
      </c>
      <c r="L628" t="str">
        <f>IF(StudentsTable[[#This Row],[AverageScore]]&gt;=60,"Pass","Fail")</f>
        <v>Pass</v>
      </c>
      <c r="M628" t="str" cm="1">
        <f t="array" ref="M628">_xlfn.IFS(StudentsTable[[#This Row],[AverageScore]]&gt;=85,"Advanced",StudentsTable[[#This Row],[AverageScore]]&gt;=70,"Intermediate",StudentsTable[[#This Row],[AverageScore]]&gt;=60,"Basic",TRUE,"Needs Help")</f>
        <v>Basic</v>
      </c>
      <c r="N628">
        <f>RANK(StudentsTable[[#This Row],[AverageScore]],StudentsTable[AverageScore])</f>
        <v>534</v>
      </c>
      <c r="O628">
        <f>(StudentsTable[[#This Row],[AverageScore]]-MIN(StudentsTable[AverageScore]))/(MAX(StudentsTable[AverageScore])-MIN(StudentsTable[AverageScore]))*100</f>
        <v>64.102564102564102</v>
      </c>
    </row>
    <row r="629" spans="1:15" x14ac:dyDescent="0.3">
      <c r="A629" t="s">
        <v>17</v>
      </c>
      <c r="B629" t="s">
        <v>21</v>
      </c>
      <c r="C629" t="s">
        <v>19</v>
      </c>
      <c r="D629" t="s">
        <v>11</v>
      </c>
      <c r="E629" t="s">
        <v>12</v>
      </c>
      <c r="F629">
        <v>61</v>
      </c>
      <c r="G629">
        <v>48</v>
      </c>
      <c r="H629">
        <v>46</v>
      </c>
      <c r="I629">
        <f>StudentsTable[[#This Row],[math score]]+StudentsTable[[#This Row],[reading score]]+StudentsTable[[#This Row],[writing score]]</f>
        <v>155</v>
      </c>
      <c r="J629">
        <f>StudentsTable[[#This Row],[TotalScore]]/3</f>
        <v>51.666666666666664</v>
      </c>
      <c r="K629" t="str" cm="1">
        <f t="array" ref="K629">_xlfn.IFS(StudentsTable[[#This Row],[AverageScore]]&gt;=90,"A",StudentsTable[[#This Row],[AverageScore]]&gt;=80,"B",StudentsTable[[#This Row],[AverageScore]]&gt;=70,"C",StudentsTable[[#This Row],[AverageScore]]&gt;=60,"D",TRUE,"F")</f>
        <v>F</v>
      </c>
      <c r="L629" t="str">
        <f>IF(StudentsTable[[#This Row],[AverageScore]]&gt;=60,"Pass","Fail")</f>
        <v>Fail</v>
      </c>
      <c r="M629" t="str" cm="1">
        <f t="array" ref="M629">_xlfn.IFS(StudentsTable[[#This Row],[AverageScore]]&gt;=85,"Advanced",StudentsTable[[#This Row],[AverageScore]]&gt;=70,"Intermediate",StudentsTable[[#This Row],[AverageScore]]&gt;=60,"Basic",TRUE,"Needs Help")</f>
        <v>Needs Help</v>
      </c>
      <c r="N629">
        <f>RANK(StudentsTable[[#This Row],[AverageScore]],StudentsTable[AverageScore])</f>
        <v>860</v>
      </c>
      <c r="O629">
        <f>(StudentsTable[[#This Row],[AverageScore]]-MIN(StudentsTable[AverageScore]))/(MAX(StudentsTable[AverageScore])-MIN(StudentsTable[AverageScore]))*100</f>
        <v>46.886446886446883</v>
      </c>
    </row>
    <row r="630" spans="1:15" x14ac:dyDescent="0.3">
      <c r="A630" t="s">
        <v>17</v>
      </c>
      <c r="B630" t="s">
        <v>21</v>
      </c>
      <c r="C630" t="s">
        <v>14</v>
      </c>
      <c r="D630" t="s">
        <v>20</v>
      </c>
      <c r="E630" t="s">
        <v>12</v>
      </c>
      <c r="F630">
        <v>49</v>
      </c>
      <c r="G630">
        <v>57</v>
      </c>
      <c r="H630">
        <v>46</v>
      </c>
      <c r="I630">
        <f>StudentsTable[[#This Row],[math score]]+StudentsTable[[#This Row],[reading score]]+StudentsTable[[#This Row],[writing score]]</f>
        <v>152</v>
      </c>
      <c r="J630">
        <f>StudentsTable[[#This Row],[TotalScore]]/3</f>
        <v>50.666666666666664</v>
      </c>
      <c r="K630" t="str" cm="1">
        <f t="array" ref="K630">_xlfn.IFS(StudentsTable[[#This Row],[AverageScore]]&gt;=90,"A",StudentsTable[[#This Row],[AverageScore]]&gt;=80,"B",StudentsTable[[#This Row],[AverageScore]]&gt;=70,"C",StudentsTable[[#This Row],[AverageScore]]&gt;=60,"D",TRUE,"F")</f>
        <v>F</v>
      </c>
      <c r="L630" t="str">
        <f>IF(StudentsTable[[#This Row],[AverageScore]]&gt;=60,"Pass","Fail")</f>
        <v>Fail</v>
      </c>
      <c r="M630" t="str" cm="1">
        <f t="array" ref="M630">_xlfn.IFS(StudentsTable[[#This Row],[AverageScore]]&gt;=85,"Advanced",StudentsTable[[#This Row],[AverageScore]]&gt;=70,"Intermediate",StudentsTable[[#This Row],[AverageScore]]&gt;=60,"Basic",TRUE,"Needs Help")</f>
        <v>Needs Help</v>
      </c>
      <c r="N630">
        <f>RANK(StudentsTable[[#This Row],[AverageScore]],StudentsTable[AverageScore])</f>
        <v>881</v>
      </c>
      <c r="O630">
        <f>(StudentsTable[[#This Row],[AverageScore]]-MIN(StudentsTable[AverageScore]))/(MAX(StudentsTable[AverageScore])-MIN(StudentsTable[AverageScore]))*100</f>
        <v>45.787545787545788</v>
      </c>
    </row>
    <row r="631" spans="1:15" x14ac:dyDescent="0.3">
      <c r="A631" t="s">
        <v>8</v>
      </c>
      <c r="B631" t="s">
        <v>13</v>
      </c>
      <c r="C631" t="s">
        <v>23</v>
      </c>
      <c r="D631" t="s">
        <v>11</v>
      </c>
      <c r="E631" t="s">
        <v>15</v>
      </c>
      <c r="F631">
        <v>44</v>
      </c>
      <c r="G631">
        <v>51</v>
      </c>
      <c r="H631">
        <v>55</v>
      </c>
      <c r="I631">
        <f>StudentsTable[[#This Row],[math score]]+StudentsTable[[#This Row],[reading score]]+StudentsTable[[#This Row],[writing score]]</f>
        <v>150</v>
      </c>
      <c r="J631">
        <f>StudentsTable[[#This Row],[TotalScore]]/3</f>
        <v>50</v>
      </c>
      <c r="K631" t="str" cm="1">
        <f t="array" ref="K631">_xlfn.IFS(StudentsTable[[#This Row],[AverageScore]]&gt;=90,"A",StudentsTable[[#This Row],[AverageScore]]&gt;=80,"B",StudentsTable[[#This Row],[AverageScore]]&gt;=70,"C",StudentsTable[[#This Row],[AverageScore]]&gt;=60,"D",TRUE,"F")</f>
        <v>F</v>
      </c>
      <c r="L631" t="str">
        <f>IF(StudentsTable[[#This Row],[AverageScore]]&gt;=60,"Pass","Fail")</f>
        <v>Fail</v>
      </c>
      <c r="M631" t="str" cm="1">
        <f t="array" ref="M631">_xlfn.IFS(StudentsTable[[#This Row],[AverageScore]]&gt;=85,"Advanced",StudentsTable[[#This Row],[AverageScore]]&gt;=70,"Intermediate",StudentsTable[[#This Row],[AverageScore]]&gt;=60,"Basic",TRUE,"Needs Help")</f>
        <v>Needs Help</v>
      </c>
      <c r="N631">
        <f>RANK(StudentsTable[[#This Row],[AverageScore]],StudentsTable[AverageScore])</f>
        <v>892</v>
      </c>
      <c r="O631">
        <f>(StudentsTable[[#This Row],[AverageScore]]-MIN(StudentsTable[AverageScore]))/(MAX(StudentsTable[AverageScore])-MIN(StudentsTable[AverageScore]))*100</f>
        <v>45.054945054945058</v>
      </c>
    </row>
    <row r="632" spans="1:15" x14ac:dyDescent="0.3">
      <c r="A632" t="s">
        <v>17</v>
      </c>
      <c r="B632" t="s">
        <v>21</v>
      </c>
      <c r="C632" t="s">
        <v>14</v>
      </c>
      <c r="D632" t="s">
        <v>11</v>
      </c>
      <c r="E632" t="s">
        <v>12</v>
      </c>
      <c r="F632">
        <v>67</v>
      </c>
      <c r="G632">
        <v>64</v>
      </c>
      <c r="H632">
        <v>70</v>
      </c>
      <c r="I632">
        <f>StudentsTable[[#This Row],[math score]]+StudentsTable[[#This Row],[reading score]]+StudentsTable[[#This Row],[writing score]]</f>
        <v>201</v>
      </c>
      <c r="J632">
        <f>StudentsTable[[#This Row],[TotalScore]]/3</f>
        <v>67</v>
      </c>
      <c r="K632" t="str" cm="1">
        <f t="array" ref="K632">_xlfn.IFS(StudentsTable[[#This Row],[AverageScore]]&gt;=90,"A",StudentsTable[[#This Row],[AverageScore]]&gt;=80,"B",StudentsTable[[#This Row],[AverageScore]]&gt;=70,"C",StudentsTable[[#This Row],[AverageScore]]&gt;=60,"D",TRUE,"F")</f>
        <v>D</v>
      </c>
      <c r="L632" t="str">
        <f>IF(StudentsTable[[#This Row],[AverageScore]]&gt;=60,"Pass","Fail")</f>
        <v>Pass</v>
      </c>
      <c r="M632" t="str" cm="1">
        <f t="array" ref="M632">_xlfn.IFS(StudentsTable[[#This Row],[AverageScore]]&gt;=85,"Advanced",StudentsTable[[#This Row],[AverageScore]]&gt;=70,"Intermediate",StudentsTable[[#This Row],[AverageScore]]&gt;=60,"Basic",TRUE,"Needs Help")</f>
        <v>Basic</v>
      </c>
      <c r="N632">
        <f>RANK(StudentsTable[[#This Row],[AverageScore]],StudentsTable[AverageScore])</f>
        <v>540</v>
      </c>
      <c r="O632">
        <f>(StudentsTable[[#This Row],[AverageScore]]-MIN(StudentsTable[AverageScore]))/(MAX(StudentsTable[AverageScore])-MIN(StudentsTable[AverageScore]))*100</f>
        <v>63.73626373626373</v>
      </c>
    </row>
    <row r="633" spans="1:15" x14ac:dyDescent="0.3">
      <c r="A633" t="s">
        <v>17</v>
      </c>
      <c r="B633" t="s">
        <v>9</v>
      </c>
      <c r="C633" t="s">
        <v>22</v>
      </c>
      <c r="D633" t="s">
        <v>11</v>
      </c>
      <c r="E633" t="s">
        <v>12</v>
      </c>
      <c r="F633">
        <v>79</v>
      </c>
      <c r="G633">
        <v>60</v>
      </c>
      <c r="H633">
        <v>65</v>
      </c>
      <c r="I633">
        <f>StudentsTable[[#This Row],[math score]]+StudentsTable[[#This Row],[reading score]]+StudentsTable[[#This Row],[writing score]]</f>
        <v>204</v>
      </c>
      <c r="J633">
        <f>StudentsTable[[#This Row],[TotalScore]]/3</f>
        <v>68</v>
      </c>
      <c r="K633" t="str" cm="1">
        <f t="array" ref="K633">_xlfn.IFS(StudentsTable[[#This Row],[AverageScore]]&gt;=90,"A",StudentsTable[[#This Row],[AverageScore]]&gt;=80,"B",StudentsTable[[#This Row],[AverageScore]]&gt;=70,"C",StudentsTable[[#This Row],[AverageScore]]&gt;=60,"D",TRUE,"F")</f>
        <v>D</v>
      </c>
      <c r="L633" t="str">
        <f>IF(StudentsTable[[#This Row],[AverageScore]]&gt;=60,"Pass","Fail")</f>
        <v>Pass</v>
      </c>
      <c r="M633" t="str" cm="1">
        <f t="array" ref="M633">_xlfn.IFS(StudentsTable[[#This Row],[AverageScore]]&gt;=85,"Advanced",StudentsTable[[#This Row],[AverageScore]]&gt;=70,"Intermediate",StudentsTable[[#This Row],[AverageScore]]&gt;=60,"Basic",TRUE,"Needs Help")</f>
        <v>Basic</v>
      </c>
      <c r="N633">
        <f>RANK(StudentsTable[[#This Row],[AverageScore]],StudentsTable[AverageScore])</f>
        <v>512</v>
      </c>
      <c r="O633">
        <f>(StudentsTable[[#This Row],[AverageScore]]-MIN(StudentsTable[AverageScore]))/(MAX(StudentsTable[AverageScore])-MIN(StudentsTable[AverageScore]))*100</f>
        <v>64.835164835164832</v>
      </c>
    </row>
    <row r="634" spans="1:15" x14ac:dyDescent="0.3">
      <c r="A634" t="s">
        <v>8</v>
      </c>
      <c r="B634" t="s">
        <v>9</v>
      </c>
      <c r="C634" t="s">
        <v>10</v>
      </c>
      <c r="D634" t="s">
        <v>11</v>
      </c>
      <c r="E634" t="s">
        <v>15</v>
      </c>
      <c r="F634">
        <v>66</v>
      </c>
      <c r="G634">
        <v>74</v>
      </c>
      <c r="H634">
        <v>81</v>
      </c>
      <c r="I634">
        <f>StudentsTable[[#This Row],[math score]]+StudentsTable[[#This Row],[reading score]]+StudentsTable[[#This Row],[writing score]]</f>
        <v>221</v>
      </c>
      <c r="J634">
        <f>StudentsTable[[#This Row],[TotalScore]]/3</f>
        <v>73.666666666666671</v>
      </c>
      <c r="K634" t="str" cm="1">
        <f t="array" ref="K634">_xlfn.IFS(StudentsTable[[#This Row],[AverageScore]]&gt;=90,"A",StudentsTable[[#This Row],[AverageScore]]&gt;=80,"B",StudentsTable[[#This Row],[AverageScore]]&gt;=70,"C",StudentsTable[[#This Row],[AverageScore]]&gt;=60,"D",TRUE,"F")</f>
        <v>C</v>
      </c>
      <c r="L634" t="str">
        <f>IF(StudentsTable[[#This Row],[AverageScore]]&gt;=60,"Pass","Fail")</f>
        <v>Pass</v>
      </c>
      <c r="M634" t="str" cm="1">
        <f t="array" ref="M634">_xlfn.IFS(StudentsTable[[#This Row],[AverageScore]]&gt;=85,"Advanced",StudentsTable[[#This Row],[AverageScore]]&gt;=70,"Intermediate",StudentsTable[[#This Row],[AverageScore]]&gt;=60,"Basic",TRUE,"Needs Help")</f>
        <v>Intermediate</v>
      </c>
      <c r="N634">
        <f>RANK(StudentsTable[[#This Row],[AverageScore]],StudentsTable[AverageScore])</f>
        <v>351</v>
      </c>
      <c r="O634">
        <f>(StudentsTable[[#This Row],[AverageScore]]-MIN(StudentsTable[AverageScore]))/(MAX(StudentsTable[AverageScore])-MIN(StudentsTable[AverageScore]))*100</f>
        <v>71.062271062271066</v>
      </c>
    </row>
    <row r="635" spans="1:15" x14ac:dyDescent="0.3">
      <c r="A635" t="s">
        <v>8</v>
      </c>
      <c r="B635" t="s">
        <v>13</v>
      </c>
      <c r="C635" t="s">
        <v>22</v>
      </c>
      <c r="D635" t="s">
        <v>11</v>
      </c>
      <c r="E635" t="s">
        <v>12</v>
      </c>
      <c r="F635">
        <v>75</v>
      </c>
      <c r="G635">
        <v>88</v>
      </c>
      <c r="H635">
        <v>85</v>
      </c>
      <c r="I635">
        <f>StudentsTable[[#This Row],[math score]]+StudentsTable[[#This Row],[reading score]]+StudentsTable[[#This Row],[writing score]]</f>
        <v>248</v>
      </c>
      <c r="J635">
        <f>StudentsTable[[#This Row],[TotalScore]]/3</f>
        <v>82.666666666666671</v>
      </c>
      <c r="K635" t="str" cm="1">
        <f t="array" ref="K635">_xlfn.IFS(StudentsTable[[#This Row],[AverageScore]]&gt;=90,"A",StudentsTable[[#This Row],[AverageScore]]&gt;=80,"B",StudentsTable[[#This Row],[AverageScore]]&gt;=70,"C",StudentsTable[[#This Row],[AverageScore]]&gt;=60,"D",TRUE,"F")</f>
        <v>B</v>
      </c>
      <c r="L635" t="str">
        <f>IF(StudentsTable[[#This Row],[AverageScore]]&gt;=60,"Pass","Fail")</f>
        <v>Pass</v>
      </c>
      <c r="M635" t="str" cm="1">
        <f t="array" ref="M635">_xlfn.IFS(StudentsTable[[#This Row],[AverageScore]]&gt;=85,"Advanced",StudentsTable[[#This Row],[AverageScore]]&gt;=70,"Intermediate",StudentsTable[[#This Row],[AverageScore]]&gt;=60,"Basic",TRUE,"Needs Help")</f>
        <v>Intermediate</v>
      </c>
      <c r="N635">
        <f>RANK(StudentsTable[[#This Row],[AverageScore]],StudentsTable[AverageScore])</f>
        <v>149</v>
      </c>
      <c r="O635">
        <f>(StudentsTable[[#This Row],[AverageScore]]-MIN(StudentsTable[AverageScore]))/(MAX(StudentsTable[AverageScore])-MIN(StudentsTable[AverageScore]))*100</f>
        <v>80.952380952380949</v>
      </c>
    </row>
    <row r="636" spans="1:15" x14ac:dyDescent="0.3">
      <c r="A636" t="s">
        <v>17</v>
      </c>
      <c r="B636" t="s">
        <v>21</v>
      </c>
      <c r="C636" t="s">
        <v>23</v>
      </c>
      <c r="D636" t="s">
        <v>11</v>
      </c>
      <c r="E636" t="s">
        <v>12</v>
      </c>
      <c r="F636">
        <v>84</v>
      </c>
      <c r="G636">
        <v>84</v>
      </c>
      <c r="H636">
        <v>80</v>
      </c>
      <c r="I636">
        <f>StudentsTable[[#This Row],[math score]]+StudentsTable[[#This Row],[reading score]]+StudentsTable[[#This Row],[writing score]]</f>
        <v>248</v>
      </c>
      <c r="J636">
        <f>StudentsTable[[#This Row],[TotalScore]]/3</f>
        <v>82.666666666666671</v>
      </c>
      <c r="K636" t="str" cm="1">
        <f t="array" ref="K636">_xlfn.IFS(StudentsTable[[#This Row],[AverageScore]]&gt;=90,"A",StudentsTable[[#This Row],[AverageScore]]&gt;=80,"B",StudentsTable[[#This Row],[AverageScore]]&gt;=70,"C",StudentsTable[[#This Row],[AverageScore]]&gt;=60,"D",TRUE,"F")</f>
        <v>B</v>
      </c>
      <c r="L636" t="str">
        <f>IF(StudentsTable[[#This Row],[AverageScore]]&gt;=60,"Pass","Fail")</f>
        <v>Pass</v>
      </c>
      <c r="M636" t="str" cm="1">
        <f t="array" ref="M636">_xlfn.IFS(StudentsTable[[#This Row],[AverageScore]]&gt;=85,"Advanced",StudentsTable[[#This Row],[AverageScore]]&gt;=70,"Intermediate",StudentsTable[[#This Row],[AverageScore]]&gt;=60,"Basic",TRUE,"Needs Help")</f>
        <v>Intermediate</v>
      </c>
      <c r="N636">
        <f>RANK(StudentsTable[[#This Row],[AverageScore]],StudentsTable[AverageScore])</f>
        <v>149</v>
      </c>
      <c r="O636">
        <f>(StudentsTable[[#This Row],[AverageScore]]-MIN(StudentsTable[AverageScore]))/(MAX(StudentsTable[AverageScore])-MIN(StudentsTable[AverageScore]))*100</f>
        <v>80.952380952380949</v>
      </c>
    </row>
    <row r="637" spans="1:15" x14ac:dyDescent="0.3">
      <c r="A637" t="s">
        <v>17</v>
      </c>
      <c r="B637" t="s">
        <v>18</v>
      </c>
      <c r="C637" t="s">
        <v>22</v>
      </c>
      <c r="D637" t="s">
        <v>11</v>
      </c>
      <c r="E637" t="s">
        <v>12</v>
      </c>
      <c r="F637">
        <v>71</v>
      </c>
      <c r="G637">
        <v>74</v>
      </c>
      <c r="H637">
        <v>64</v>
      </c>
      <c r="I637">
        <f>StudentsTable[[#This Row],[math score]]+StudentsTable[[#This Row],[reading score]]+StudentsTable[[#This Row],[writing score]]</f>
        <v>209</v>
      </c>
      <c r="J637">
        <f>StudentsTable[[#This Row],[TotalScore]]/3</f>
        <v>69.666666666666671</v>
      </c>
      <c r="K637" t="str" cm="1">
        <f t="array" ref="K637">_xlfn.IFS(StudentsTable[[#This Row],[AverageScore]]&gt;=90,"A",StudentsTable[[#This Row],[AverageScore]]&gt;=80,"B",StudentsTable[[#This Row],[AverageScore]]&gt;=70,"C",StudentsTable[[#This Row],[AverageScore]]&gt;=60,"D",TRUE,"F")</f>
        <v>D</v>
      </c>
      <c r="L637" t="str">
        <f>IF(StudentsTable[[#This Row],[AverageScore]]&gt;=60,"Pass","Fail")</f>
        <v>Pass</v>
      </c>
      <c r="M637" t="str" cm="1">
        <f t="array" ref="M637">_xlfn.IFS(StudentsTable[[#This Row],[AverageScore]]&gt;=85,"Advanced",StudentsTable[[#This Row],[AverageScore]]&gt;=70,"Intermediate",StudentsTable[[#This Row],[AverageScore]]&gt;=60,"Basic",TRUE,"Needs Help")</f>
        <v>Basic</v>
      </c>
      <c r="N637">
        <f>RANK(StudentsTable[[#This Row],[AverageScore]],StudentsTable[AverageScore])</f>
        <v>460</v>
      </c>
      <c r="O637">
        <f>(StudentsTable[[#This Row],[AverageScore]]-MIN(StudentsTable[AverageScore]))/(MAX(StudentsTable[AverageScore])-MIN(StudentsTable[AverageScore]))*100</f>
        <v>66.666666666666671</v>
      </c>
    </row>
    <row r="638" spans="1:15" x14ac:dyDescent="0.3">
      <c r="A638" t="s">
        <v>8</v>
      </c>
      <c r="B638" t="s">
        <v>9</v>
      </c>
      <c r="C638" t="s">
        <v>22</v>
      </c>
      <c r="D638" t="s">
        <v>20</v>
      </c>
      <c r="E638" t="s">
        <v>15</v>
      </c>
      <c r="F638">
        <v>67</v>
      </c>
      <c r="G638">
        <v>80</v>
      </c>
      <c r="H638">
        <v>81</v>
      </c>
      <c r="I638">
        <f>StudentsTable[[#This Row],[math score]]+StudentsTable[[#This Row],[reading score]]+StudentsTable[[#This Row],[writing score]]</f>
        <v>228</v>
      </c>
      <c r="J638">
        <f>StudentsTable[[#This Row],[TotalScore]]/3</f>
        <v>76</v>
      </c>
      <c r="K638" t="str" cm="1">
        <f t="array" ref="K638">_xlfn.IFS(StudentsTable[[#This Row],[AverageScore]]&gt;=90,"A",StudentsTable[[#This Row],[AverageScore]]&gt;=80,"B",StudentsTable[[#This Row],[AverageScore]]&gt;=70,"C",StudentsTable[[#This Row],[AverageScore]]&gt;=60,"D",TRUE,"F")</f>
        <v>C</v>
      </c>
      <c r="L638" t="str">
        <f>IF(StudentsTable[[#This Row],[AverageScore]]&gt;=60,"Pass","Fail")</f>
        <v>Pass</v>
      </c>
      <c r="M638" t="str" cm="1">
        <f t="array" ref="M638">_xlfn.IFS(StudentsTable[[#This Row],[AverageScore]]&gt;=85,"Advanced",StudentsTable[[#This Row],[AverageScore]]&gt;=70,"Intermediate",StudentsTable[[#This Row],[AverageScore]]&gt;=60,"Basic",TRUE,"Needs Help")</f>
        <v>Intermediate</v>
      </c>
      <c r="N638">
        <f>RANK(StudentsTable[[#This Row],[AverageScore]],StudentsTable[AverageScore])</f>
        <v>288</v>
      </c>
      <c r="O638">
        <f>(StudentsTable[[#This Row],[AverageScore]]-MIN(StudentsTable[AverageScore]))/(MAX(StudentsTable[AverageScore])-MIN(StudentsTable[AverageScore]))*100</f>
        <v>73.626373626373635</v>
      </c>
    </row>
    <row r="639" spans="1:15" x14ac:dyDescent="0.3">
      <c r="A639" t="s">
        <v>8</v>
      </c>
      <c r="B639" t="s">
        <v>21</v>
      </c>
      <c r="C639" t="s">
        <v>23</v>
      </c>
      <c r="D639" t="s">
        <v>11</v>
      </c>
      <c r="E639" t="s">
        <v>15</v>
      </c>
      <c r="F639">
        <v>80</v>
      </c>
      <c r="G639">
        <v>92</v>
      </c>
      <c r="H639">
        <v>88</v>
      </c>
      <c r="I639">
        <f>StudentsTable[[#This Row],[math score]]+StudentsTable[[#This Row],[reading score]]+StudentsTable[[#This Row],[writing score]]</f>
        <v>260</v>
      </c>
      <c r="J639">
        <f>StudentsTable[[#This Row],[TotalScore]]/3</f>
        <v>86.666666666666671</v>
      </c>
      <c r="K639" t="str" cm="1">
        <f t="array" ref="K639">_xlfn.IFS(StudentsTable[[#This Row],[AverageScore]]&gt;=90,"A",StudentsTable[[#This Row],[AverageScore]]&gt;=80,"B",StudentsTable[[#This Row],[AverageScore]]&gt;=70,"C",StudentsTable[[#This Row],[AverageScore]]&gt;=60,"D",TRUE,"F")</f>
        <v>B</v>
      </c>
      <c r="L639" t="str">
        <f>IF(StudentsTable[[#This Row],[AverageScore]]&gt;=60,"Pass","Fail")</f>
        <v>Pass</v>
      </c>
      <c r="M639" t="str" cm="1">
        <f t="array" ref="M639">_xlfn.IFS(StudentsTable[[#This Row],[AverageScore]]&gt;=85,"Advanced",StudentsTable[[#This Row],[AverageScore]]&gt;=70,"Intermediate",StudentsTable[[#This Row],[AverageScore]]&gt;=60,"Basic",TRUE,"Needs Help")</f>
        <v>Advanced</v>
      </c>
      <c r="N639">
        <f>RANK(StudentsTable[[#This Row],[AverageScore]],StudentsTable[AverageScore])</f>
        <v>89</v>
      </c>
      <c r="O639">
        <f>(StudentsTable[[#This Row],[AverageScore]]-MIN(StudentsTable[AverageScore]))/(MAX(StudentsTable[AverageScore])-MIN(StudentsTable[AverageScore]))*100</f>
        <v>85.347985347985357</v>
      </c>
    </row>
    <row r="640" spans="1:15" x14ac:dyDescent="0.3">
      <c r="A640" t="s">
        <v>17</v>
      </c>
      <c r="B640" t="s">
        <v>24</v>
      </c>
      <c r="C640" t="s">
        <v>14</v>
      </c>
      <c r="D640" t="s">
        <v>11</v>
      </c>
      <c r="E640" t="s">
        <v>12</v>
      </c>
      <c r="F640">
        <v>86</v>
      </c>
      <c r="G640">
        <v>76</v>
      </c>
      <c r="H640">
        <v>74</v>
      </c>
      <c r="I640">
        <f>StudentsTable[[#This Row],[math score]]+StudentsTable[[#This Row],[reading score]]+StudentsTable[[#This Row],[writing score]]</f>
        <v>236</v>
      </c>
      <c r="J640">
        <f>StudentsTable[[#This Row],[TotalScore]]/3</f>
        <v>78.666666666666671</v>
      </c>
      <c r="K640" t="str" cm="1">
        <f t="array" ref="K640">_xlfn.IFS(StudentsTable[[#This Row],[AverageScore]]&gt;=90,"A",StudentsTable[[#This Row],[AverageScore]]&gt;=80,"B",StudentsTable[[#This Row],[AverageScore]]&gt;=70,"C",StudentsTable[[#This Row],[AverageScore]]&gt;=60,"D",TRUE,"F")</f>
        <v>C</v>
      </c>
      <c r="L640" t="str">
        <f>IF(StudentsTable[[#This Row],[AverageScore]]&gt;=60,"Pass","Fail")</f>
        <v>Pass</v>
      </c>
      <c r="M640" t="str" cm="1">
        <f t="array" ref="M640">_xlfn.IFS(StudentsTable[[#This Row],[AverageScore]]&gt;=85,"Advanced",StudentsTable[[#This Row],[AverageScore]]&gt;=70,"Intermediate",StudentsTable[[#This Row],[AverageScore]]&gt;=60,"Basic",TRUE,"Needs Help")</f>
        <v>Intermediate</v>
      </c>
      <c r="N640">
        <f>RANK(StudentsTable[[#This Row],[AverageScore]],StudentsTable[AverageScore])</f>
        <v>222</v>
      </c>
      <c r="O640">
        <f>(StudentsTable[[#This Row],[AverageScore]]-MIN(StudentsTable[AverageScore]))/(MAX(StudentsTable[AverageScore])-MIN(StudentsTable[AverageScore]))*100</f>
        <v>76.556776556776569</v>
      </c>
    </row>
    <row r="641" spans="1:15" x14ac:dyDescent="0.3">
      <c r="A641" t="s">
        <v>8</v>
      </c>
      <c r="B641" t="s">
        <v>21</v>
      </c>
      <c r="C641" t="s">
        <v>19</v>
      </c>
      <c r="D641" t="s">
        <v>11</v>
      </c>
      <c r="E641" t="s">
        <v>12</v>
      </c>
      <c r="F641">
        <v>76</v>
      </c>
      <c r="G641">
        <v>74</v>
      </c>
      <c r="H641">
        <v>73</v>
      </c>
      <c r="I641">
        <f>StudentsTable[[#This Row],[math score]]+StudentsTable[[#This Row],[reading score]]+StudentsTable[[#This Row],[writing score]]</f>
        <v>223</v>
      </c>
      <c r="J641">
        <f>StudentsTable[[#This Row],[TotalScore]]/3</f>
        <v>74.333333333333329</v>
      </c>
      <c r="K641" t="str" cm="1">
        <f t="array" ref="K641">_xlfn.IFS(StudentsTable[[#This Row],[AverageScore]]&gt;=90,"A",StudentsTable[[#This Row],[AverageScore]]&gt;=80,"B",StudentsTable[[#This Row],[AverageScore]]&gt;=70,"C",StudentsTable[[#This Row],[AverageScore]]&gt;=60,"D",TRUE,"F")</f>
        <v>C</v>
      </c>
      <c r="L641" t="str">
        <f>IF(StudentsTable[[#This Row],[AverageScore]]&gt;=60,"Pass","Fail")</f>
        <v>Pass</v>
      </c>
      <c r="M641" t="str" cm="1">
        <f t="array" ref="M641">_xlfn.IFS(StudentsTable[[#This Row],[AverageScore]]&gt;=85,"Advanced",StudentsTable[[#This Row],[AverageScore]]&gt;=70,"Intermediate",StudentsTable[[#This Row],[AverageScore]]&gt;=60,"Basic",TRUE,"Needs Help")</f>
        <v>Intermediate</v>
      </c>
      <c r="N641">
        <f>RANK(StudentsTable[[#This Row],[AverageScore]],StudentsTable[AverageScore])</f>
        <v>333</v>
      </c>
      <c r="O641">
        <f>(StudentsTable[[#This Row],[AverageScore]]-MIN(StudentsTable[AverageScore]))/(MAX(StudentsTable[AverageScore])-MIN(StudentsTable[AverageScore]))*100</f>
        <v>71.794871794871796</v>
      </c>
    </row>
    <row r="642" spans="1:15" x14ac:dyDescent="0.3">
      <c r="A642" t="s">
        <v>17</v>
      </c>
      <c r="B642" t="s">
        <v>21</v>
      </c>
      <c r="C642" t="s">
        <v>22</v>
      </c>
      <c r="D642" t="s">
        <v>11</v>
      </c>
      <c r="E642" t="s">
        <v>12</v>
      </c>
      <c r="F642">
        <v>41</v>
      </c>
      <c r="G642">
        <v>52</v>
      </c>
      <c r="H642">
        <v>51</v>
      </c>
      <c r="I642">
        <f>StudentsTable[[#This Row],[math score]]+StudentsTable[[#This Row],[reading score]]+StudentsTable[[#This Row],[writing score]]</f>
        <v>144</v>
      </c>
      <c r="J642">
        <f>StudentsTable[[#This Row],[TotalScore]]/3</f>
        <v>48</v>
      </c>
      <c r="K642" t="str" cm="1">
        <f t="array" ref="K642">_xlfn.IFS(StudentsTable[[#This Row],[AverageScore]]&gt;=90,"A",StudentsTable[[#This Row],[AverageScore]]&gt;=80,"B",StudentsTable[[#This Row],[AverageScore]]&gt;=70,"C",StudentsTable[[#This Row],[AverageScore]]&gt;=60,"D",TRUE,"F")</f>
        <v>F</v>
      </c>
      <c r="L642" t="str">
        <f>IF(StudentsTable[[#This Row],[AverageScore]]&gt;=60,"Pass","Fail")</f>
        <v>Fail</v>
      </c>
      <c r="M642" t="str" cm="1">
        <f t="array" ref="M642">_xlfn.IFS(StudentsTable[[#This Row],[AverageScore]]&gt;=85,"Advanced",StudentsTable[[#This Row],[AverageScore]]&gt;=70,"Intermediate",StudentsTable[[#This Row],[AverageScore]]&gt;=60,"Basic",TRUE,"Needs Help")</f>
        <v>Needs Help</v>
      </c>
      <c r="N642">
        <f>RANK(StudentsTable[[#This Row],[AverageScore]],StudentsTable[AverageScore])</f>
        <v>921</v>
      </c>
      <c r="O642">
        <f>(StudentsTable[[#This Row],[AverageScore]]-MIN(StudentsTable[AverageScore]))/(MAX(StudentsTable[AverageScore])-MIN(StudentsTable[AverageScore]))*100</f>
        <v>42.857142857142854</v>
      </c>
    </row>
    <row r="643" spans="1:15" x14ac:dyDescent="0.3">
      <c r="A643" t="s">
        <v>8</v>
      </c>
      <c r="B643" t="s">
        <v>21</v>
      </c>
      <c r="C643" t="s">
        <v>19</v>
      </c>
      <c r="D643" t="s">
        <v>20</v>
      </c>
      <c r="E643" t="s">
        <v>15</v>
      </c>
      <c r="F643">
        <v>74</v>
      </c>
      <c r="G643">
        <v>88</v>
      </c>
      <c r="H643">
        <v>90</v>
      </c>
      <c r="I643">
        <f>StudentsTable[[#This Row],[math score]]+StudentsTable[[#This Row],[reading score]]+StudentsTable[[#This Row],[writing score]]</f>
        <v>252</v>
      </c>
      <c r="J643">
        <f>StudentsTable[[#This Row],[TotalScore]]/3</f>
        <v>84</v>
      </c>
      <c r="K643" t="str" cm="1">
        <f t="array" ref="K643">_xlfn.IFS(StudentsTable[[#This Row],[AverageScore]]&gt;=90,"A",StudentsTable[[#This Row],[AverageScore]]&gt;=80,"B",StudentsTable[[#This Row],[AverageScore]]&gt;=70,"C",StudentsTable[[#This Row],[AverageScore]]&gt;=60,"D",TRUE,"F")</f>
        <v>B</v>
      </c>
      <c r="L643" t="str">
        <f>IF(StudentsTable[[#This Row],[AverageScore]]&gt;=60,"Pass","Fail")</f>
        <v>Pass</v>
      </c>
      <c r="M643" t="str" cm="1">
        <f t="array" ref="M643">_xlfn.IFS(StudentsTable[[#This Row],[AverageScore]]&gt;=85,"Advanced",StudentsTable[[#This Row],[AverageScore]]&gt;=70,"Intermediate",StudentsTable[[#This Row],[AverageScore]]&gt;=60,"Basic",TRUE,"Needs Help")</f>
        <v>Intermediate</v>
      </c>
      <c r="N643">
        <f>RANK(StudentsTable[[#This Row],[AverageScore]],StudentsTable[AverageScore])</f>
        <v>123</v>
      </c>
      <c r="O643">
        <f>(StudentsTable[[#This Row],[AverageScore]]-MIN(StudentsTable[AverageScore]))/(MAX(StudentsTable[AverageScore])-MIN(StudentsTable[AverageScore]))*100</f>
        <v>82.417582417582409</v>
      </c>
    </row>
    <row r="644" spans="1:15" x14ac:dyDescent="0.3">
      <c r="A644" t="s">
        <v>8</v>
      </c>
      <c r="B644" t="s">
        <v>9</v>
      </c>
      <c r="C644" t="s">
        <v>23</v>
      </c>
      <c r="D644" t="s">
        <v>20</v>
      </c>
      <c r="E644" t="s">
        <v>12</v>
      </c>
      <c r="F644">
        <v>72</v>
      </c>
      <c r="G644">
        <v>81</v>
      </c>
      <c r="H644">
        <v>79</v>
      </c>
      <c r="I644">
        <f>StudentsTable[[#This Row],[math score]]+StudentsTable[[#This Row],[reading score]]+StudentsTable[[#This Row],[writing score]]</f>
        <v>232</v>
      </c>
      <c r="J644">
        <f>StudentsTable[[#This Row],[TotalScore]]/3</f>
        <v>77.333333333333329</v>
      </c>
      <c r="K644" t="str" cm="1">
        <f t="array" ref="K644">_xlfn.IFS(StudentsTable[[#This Row],[AverageScore]]&gt;=90,"A",StudentsTable[[#This Row],[AverageScore]]&gt;=80,"B",StudentsTable[[#This Row],[AverageScore]]&gt;=70,"C",StudentsTable[[#This Row],[AverageScore]]&gt;=60,"D",TRUE,"F")</f>
        <v>C</v>
      </c>
      <c r="L644" t="str">
        <f>IF(StudentsTable[[#This Row],[AverageScore]]&gt;=60,"Pass","Fail")</f>
        <v>Pass</v>
      </c>
      <c r="M644" t="str" cm="1">
        <f t="array" ref="M644">_xlfn.IFS(StudentsTable[[#This Row],[AverageScore]]&gt;=85,"Advanced",StudentsTable[[#This Row],[AverageScore]]&gt;=70,"Intermediate",StudentsTable[[#This Row],[AverageScore]]&gt;=60,"Basic",TRUE,"Needs Help")</f>
        <v>Intermediate</v>
      </c>
      <c r="N644">
        <f>RANK(StudentsTable[[#This Row],[AverageScore]],StudentsTable[AverageScore])</f>
        <v>255</v>
      </c>
      <c r="O644">
        <f>(StudentsTable[[#This Row],[AverageScore]]-MIN(StudentsTable[AverageScore]))/(MAX(StudentsTable[AverageScore])-MIN(StudentsTable[AverageScore]))*100</f>
        <v>75.091575091575095</v>
      </c>
    </row>
    <row r="645" spans="1:15" x14ac:dyDescent="0.3">
      <c r="A645" t="s">
        <v>8</v>
      </c>
      <c r="B645" t="s">
        <v>24</v>
      </c>
      <c r="C645" t="s">
        <v>22</v>
      </c>
      <c r="D645" t="s">
        <v>11</v>
      </c>
      <c r="E645" t="s">
        <v>15</v>
      </c>
      <c r="F645">
        <v>74</v>
      </c>
      <c r="G645">
        <v>79</v>
      </c>
      <c r="H645">
        <v>80</v>
      </c>
      <c r="I645">
        <f>StudentsTable[[#This Row],[math score]]+StudentsTable[[#This Row],[reading score]]+StudentsTable[[#This Row],[writing score]]</f>
        <v>233</v>
      </c>
      <c r="J645">
        <f>StudentsTable[[#This Row],[TotalScore]]/3</f>
        <v>77.666666666666671</v>
      </c>
      <c r="K645" t="str" cm="1">
        <f t="array" ref="K645">_xlfn.IFS(StudentsTable[[#This Row],[AverageScore]]&gt;=90,"A",StudentsTable[[#This Row],[AverageScore]]&gt;=80,"B",StudentsTable[[#This Row],[AverageScore]]&gt;=70,"C",StudentsTable[[#This Row],[AverageScore]]&gt;=60,"D",TRUE,"F")</f>
        <v>C</v>
      </c>
      <c r="L645" t="str">
        <f>IF(StudentsTable[[#This Row],[AverageScore]]&gt;=60,"Pass","Fail")</f>
        <v>Pass</v>
      </c>
      <c r="M645" t="str" cm="1">
        <f t="array" ref="M645">_xlfn.IFS(StudentsTable[[#This Row],[AverageScore]]&gt;=85,"Advanced",StudentsTable[[#This Row],[AverageScore]]&gt;=70,"Intermediate",StudentsTable[[#This Row],[AverageScore]]&gt;=60,"Basic",TRUE,"Needs Help")</f>
        <v>Intermediate</v>
      </c>
      <c r="N645">
        <f>RANK(StudentsTable[[#This Row],[AverageScore]],StudentsTable[AverageScore])</f>
        <v>250</v>
      </c>
      <c r="O645">
        <f>(StudentsTable[[#This Row],[AverageScore]]-MIN(StudentsTable[AverageScore]))/(MAX(StudentsTable[AverageScore])-MIN(StudentsTable[AverageScore]))*100</f>
        <v>75.457875457875474</v>
      </c>
    </row>
    <row r="646" spans="1:15" x14ac:dyDescent="0.3">
      <c r="A646" t="s">
        <v>17</v>
      </c>
      <c r="B646" t="s">
        <v>9</v>
      </c>
      <c r="C646" t="s">
        <v>22</v>
      </c>
      <c r="D646" t="s">
        <v>11</v>
      </c>
      <c r="E646" t="s">
        <v>12</v>
      </c>
      <c r="F646">
        <v>70</v>
      </c>
      <c r="G646">
        <v>65</v>
      </c>
      <c r="H646">
        <v>60</v>
      </c>
      <c r="I646">
        <f>StudentsTable[[#This Row],[math score]]+StudentsTable[[#This Row],[reading score]]+StudentsTable[[#This Row],[writing score]]</f>
        <v>195</v>
      </c>
      <c r="J646">
        <f>StudentsTable[[#This Row],[TotalScore]]/3</f>
        <v>65</v>
      </c>
      <c r="K646" t="str" cm="1">
        <f t="array" ref="K646">_xlfn.IFS(StudentsTable[[#This Row],[AverageScore]]&gt;=90,"A",StudentsTable[[#This Row],[AverageScore]]&gt;=80,"B",StudentsTable[[#This Row],[AverageScore]]&gt;=70,"C",StudentsTable[[#This Row],[AverageScore]]&gt;=60,"D",TRUE,"F")</f>
        <v>D</v>
      </c>
      <c r="L646" t="str">
        <f>IF(StudentsTable[[#This Row],[AverageScore]]&gt;=60,"Pass","Fail")</f>
        <v>Pass</v>
      </c>
      <c r="M646" t="str" cm="1">
        <f t="array" ref="M646">_xlfn.IFS(StudentsTable[[#This Row],[AverageScore]]&gt;=85,"Advanced",StudentsTable[[#This Row],[AverageScore]]&gt;=70,"Intermediate",StudentsTable[[#This Row],[AverageScore]]&gt;=60,"Basic",TRUE,"Needs Help")</f>
        <v>Basic</v>
      </c>
      <c r="N646">
        <f>RANK(StudentsTable[[#This Row],[AverageScore]],StudentsTable[AverageScore])</f>
        <v>593</v>
      </c>
      <c r="O646">
        <f>(StudentsTable[[#This Row],[AverageScore]]-MIN(StudentsTable[AverageScore]))/(MAX(StudentsTable[AverageScore])-MIN(StudentsTable[AverageScore]))*100</f>
        <v>61.53846153846154</v>
      </c>
    </row>
    <row r="647" spans="1:15" x14ac:dyDescent="0.3">
      <c r="A647" t="s">
        <v>8</v>
      </c>
      <c r="B647" t="s">
        <v>9</v>
      </c>
      <c r="C647" t="s">
        <v>10</v>
      </c>
      <c r="D647" t="s">
        <v>11</v>
      </c>
      <c r="E647" t="s">
        <v>15</v>
      </c>
      <c r="F647">
        <v>65</v>
      </c>
      <c r="G647">
        <v>81</v>
      </c>
      <c r="H647">
        <v>81</v>
      </c>
      <c r="I647">
        <f>StudentsTable[[#This Row],[math score]]+StudentsTable[[#This Row],[reading score]]+StudentsTable[[#This Row],[writing score]]</f>
        <v>227</v>
      </c>
      <c r="J647">
        <f>StudentsTable[[#This Row],[TotalScore]]/3</f>
        <v>75.666666666666671</v>
      </c>
      <c r="K647" t="str" cm="1">
        <f t="array" ref="K647">_xlfn.IFS(StudentsTable[[#This Row],[AverageScore]]&gt;=90,"A",StudentsTable[[#This Row],[AverageScore]]&gt;=80,"B",StudentsTable[[#This Row],[AverageScore]]&gt;=70,"C",StudentsTable[[#This Row],[AverageScore]]&gt;=60,"D",TRUE,"F")</f>
        <v>C</v>
      </c>
      <c r="L647" t="str">
        <f>IF(StudentsTable[[#This Row],[AverageScore]]&gt;=60,"Pass","Fail")</f>
        <v>Pass</v>
      </c>
      <c r="M647" t="str" cm="1">
        <f t="array" ref="M647">_xlfn.IFS(StudentsTable[[#This Row],[AverageScore]]&gt;=85,"Advanced",StudentsTable[[#This Row],[AverageScore]]&gt;=70,"Intermediate",StudentsTable[[#This Row],[AverageScore]]&gt;=60,"Basic",TRUE,"Needs Help")</f>
        <v>Intermediate</v>
      </c>
      <c r="N647">
        <f>RANK(StudentsTable[[#This Row],[AverageScore]],StudentsTable[AverageScore])</f>
        <v>297</v>
      </c>
      <c r="O647">
        <f>(StudentsTable[[#This Row],[AverageScore]]-MIN(StudentsTable[AverageScore]))/(MAX(StudentsTable[AverageScore])-MIN(StudentsTable[AverageScore]))*100</f>
        <v>73.26007326007327</v>
      </c>
    </row>
    <row r="648" spans="1:15" x14ac:dyDescent="0.3">
      <c r="A648" t="s">
        <v>8</v>
      </c>
      <c r="B648" t="s">
        <v>21</v>
      </c>
      <c r="C648" t="s">
        <v>19</v>
      </c>
      <c r="D648" t="s">
        <v>11</v>
      </c>
      <c r="E648" t="s">
        <v>12</v>
      </c>
      <c r="F648">
        <v>59</v>
      </c>
      <c r="G648">
        <v>70</v>
      </c>
      <c r="H648">
        <v>65</v>
      </c>
      <c r="I648">
        <f>StudentsTable[[#This Row],[math score]]+StudentsTable[[#This Row],[reading score]]+StudentsTable[[#This Row],[writing score]]</f>
        <v>194</v>
      </c>
      <c r="J648">
        <f>StudentsTable[[#This Row],[TotalScore]]/3</f>
        <v>64.666666666666671</v>
      </c>
      <c r="K648" t="str" cm="1">
        <f t="array" ref="K648">_xlfn.IFS(StudentsTable[[#This Row],[AverageScore]]&gt;=90,"A",StudentsTable[[#This Row],[AverageScore]]&gt;=80,"B",StudentsTable[[#This Row],[AverageScore]]&gt;=70,"C",StudentsTable[[#This Row],[AverageScore]]&gt;=60,"D",TRUE,"F")</f>
        <v>D</v>
      </c>
      <c r="L648" t="str">
        <f>IF(StudentsTable[[#This Row],[AverageScore]]&gt;=60,"Pass","Fail")</f>
        <v>Pass</v>
      </c>
      <c r="M648" t="str" cm="1">
        <f t="array" ref="M648">_xlfn.IFS(StudentsTable[[#This Row],[AverageScore]]&gt;=85,"Advanced",StudentsTable[[#This Row],[AverageScore]]&gt;=70,"Intermediate",StudentsTable[[#This Row],[AverageScore]]&gt;=60,"Basic",TRUE,"Needs Help")</f>
        <v>Basic</v>
      </c>
      <c r="N648">
        <f>RANK(StudentsTable[[#This Row],[AverageScore]],StudentsTable[AverageScore])</f>
        <v>602</v>
      </c>
      <c r="O648">
        <f>(StudentsTable[[#This Row],[AverageScore]]-MIN(StudentsTable[AverageScore]))/(MAX(StudentsTable[AverageScore])-MIN(StudentsTable[AverageScore]))*100</f>
        <v>61.172161172161175</v>
      </c>
    </row>
    <row r="649" spans="1:15" x14ac:dyDescent="0.3">
      <c r="A649" t="s">
        <v>8</v>
      </c>
      <c r="B649" t="s">
        <v>24</v>
      </c>
      <c r="C649" t="s">
        <v>22</v>
      </c>
      <c r="D649" t="s">
        <v>20</v>
      </c>
      <c r="E649" t="s">
        <v>12</v>
      </c>
      <c r="F649">
        <v>64</v>
      </c>
      <c r="G649">
        <v>62</v>
      </c>
      <c r="H649">
        <v>68</v>
      </c>
      <c r="I649">
        <f>StudentsTable[[#This Row],[math score]]+StudentsTable[[#This Row],[reading score]]+StudentsTable[[#This Row],[writing score]]</f>
        <v>194</v>
      </c>
      <c r="J649">
        <f>StudentsTable[[#This Row],[TotalScore]]/3</f>
        <v>64.666666666666671</v>
      </c>
      <c r="K649" t="str" cm="1">
        <f t="array" ref="K649">_xlfn.IFS(StudentsTable[[#This Row],[AverageScore]]&gt;=90,"A",StudentsTable[[#This Row],[AverageScore]]&gt;=80,"B",StudentsTable[[#This Row],[AverageScore]]&gt;=70,"C",StudentsTable[[#This Row],[AverageScore]]&gt;=60,"D",TRUE,"F")</f>
        <v>D</v>
      </c>
      <c r="L649" t="str">
        <f>IF(StudentsTable[[#This Row],[AverageScore]]&gt;=60,"Pass","Fail")</f>
        <v>Pass</v>
      </c>
      <c r="M649" t="str" cm="1">
        <f t="array" ref="M649">_xlfn.IFS(StudentsTable[[#This Row],[AverageScore]]&gt;=85,"Advanced",StudentsTable[[#This Row],[AverageScore]]&gt;=70,"Intermediate",StudentsTable[[#This Row],[AverageScore]]&gt;=60,"Basic",TRUE,"Needs Help")</f>
        <v>Basic</v>
      </c>
      <c r="N649">
        <f>RANK(StudentsTable[[#This Row],[AverageScore]],StudentsTable[AverageScore])</f>
        <v>602</v>
      </c>
      <c r="O649">
        <f>(StudentsTable[[#This Row],[AverageScore]]-MIN(StudentsTable[AverageScore]))/(MAX(StudentsTable[AverageScore])-MIN(StudentsTable[AverageScore]))*100</f>
        <v>61.172161172161175</v>
      </c>
    </row>
    <row r="650" spans="1:15" x14ac:dyDescent="0.3">
      <c r="A650" t="s">
        <v>8</v>
      </c>
      <c r="B650" t="s">
        <v>9</v>
      </c>
      <c r="C650" t="s">
        <v>22</v>
      </c>
      <c r="D650" t="s">
        <v>11</v>
      </c>
      <c r="E650" t="s">
        <v>12</v>
      </c>
      <c r="F650">
        <v>50</v>
      </c>
      <c r="G650">
        <v>53</v>
      </c>
      <c r="H650">
        <v>55</v>
      </c>
      <c r="I650">
        <f>StudentsTable[[#This Row],[math score]]+StudentsTable[[#This Row],[reading score]]+StudentsTable[[#This Row],[writing score]]</f>
        <v>158</v>
      </c>
      <c r="J650">
        <f>StudentsTable[[#This Row],[TotalScore]]/3</f>
        <v>52.666666666666664</v>
      </c>
      <c r="K650" t="str" cm="1">
        <f t="array" ref="K650">_xlfn.IFS(StudentsTable[[#This Row],[AverageScore]]&gt;=90,"A",StudentsTable[[#This Row],[AverageScore]]&gt;=80,"B",StudentsTable[[#This Row],[AverageScore]]&gt;=70,"C",StudentsTable[[#This Row],[AverageScore]]&gt;=60,"D",TRUE,"F")</f>
        <v>F</v>
      </c>
      <c r="L650" t="str">
        <f>IF(StudentsTable[[#This Row],[AverageScore]]&gt;=60,"Pass","Fail")</f>
        <v>Fail</v>
      </c>
      <c r="M650" t="str" cm="1">
        <f t="array" ref="M650">_xlfn.IFS(StudentsTable[[#This Row],[AverageScore]]&gt;=85,"Advanced",StudentsTable[[#This Row],[AverageScore]]&gt;=70,"Intermediate",StudentsTable[[#This Row],[AverageScore]]&gt;=60,"Basic",TRUE,"Needs Help")</f>
        <v>Needs Help</v>
      </c>
      <c r="N650">
        <f>RANK(StudentsTable[[#This Row],[AverageScore]],StudentsTable[AverageScore])</f>
        <v>843</v>
      </c>
      <c r="O650">
        <f>(StudentsTable[[#This Row],[AverageScore]]-MIN(StudentsTable[AverageScore]))/(MAX(StudentsTable[AverageScore])-MIN(StudentsTable[AverageScore]))*100</f>
        <v>47.985347985347978</v>
      </c>
    </row>
    <row r="651" spans="1:15" x14ac:dyDescent="0.3">
      <c r="A651" t="s">
        <v>8</v>
      </c>
      <c r="B651" t="s">
        <v>21</v>
      </c>
      <c r="C651" t="s">
        <v>14</v>
      </c>
      <c r="D651" t="s">
        <v>11</v>
      </c>
      <c r="E651" t="s">
        <v>15</v>
      </c>
      <c r="F651">
        <v>69</v>
      </c>
      <c r="G651">
        <v>79</v>
      </c>
      <c r="H651">
        <v>81</v>
      </c>
      <c r="I651">
        <f>StudentsTable[[#This Row],[math score]]+StudentsTable[[#This Row],[reading score]]+StudentsTable[[#This Row],[writing score]]</f>
        <v>229</v>
      </c>
      <c r="J651">
        <f>StudentsTable[[#This Row],[TotalScore]]/3</f>
        <v>76.333333333333329</v>
      </c>
      <c r="K651" t="str" cm="1">
        <f t="array" ref="K651">_xlfn.IFS(StudentsTable[[#This Row],[AverageScore]]&gt;=90,"A",StudentsTable[[#This Row],[AverageScore]]&gt;=80,"B",StudentsTable[[#This Row],[AverageScore]]&gt;=70,"C",StudentsTable[[#This Row],[AverageScore]]&gt;=60,"D",TRUE,"F")</f>
        <v>C</v>
      </c>
      <c r="L651" t="str">
        <f>IF(StudentsTable[[#This Row],[AverageScore]]&gt;=60,"Pass","Fail")</f>
        <v>Pass</v>
      </c>
      <c r="M651" t="str" cm="1">
        <f t="array" ref="M651">_xlfn.IFS(StudentsTable[[#This Row],[AverageScore]]&gt;=85,"Advanced",StudentsTable[[#This Row],[AverageScore]]&gt;=70,"Intermediate",StudentsTable[[#This Row],[AverageScore]]&gt;=60,"Basic",TRUE,"Needs Help")</f>
        <v>Intermediate</v>
      </c>
      <c r="N651">
        <f>RANK(StudentsTable[[#This Row],[AverageScore]],StudentsTable[AverageScore])</f>
        <v>282</v>
      </c>
      <c r="O651">
        <f>(StudentsTable[[#This Row],[AverageScore]]-MIN(StudentsTable[AverageScore]))/(MAX(StudentsTable[AverageScore])-MIN(StudentsTable[AverageScore]))*100</f>
        <v>73.992673992673986</v>
      </c>
    </row>
    <row r="652" spans="1:15" x14ac:dyDescent="0.3">
      <c r="A652" t="s">
        <v>17</v>
      </c>
      <c r="B652" t="s">
        <v>13</v>
      </c>
      <c r="C652" t="s">
        <v>23</v>
      </c>
      <c r="D652" t="s">
        <v>20</v>
      </c>
      <c r="E652" t="s">
        <v>15</v>
      </c>
      <c r="F652">
        <v>51</v>
      </c>
      <c r="G652">
        <v>56</v>
      </c>
      <c r="H652">
        <v>53</v>
      </c>
      <c r="I652">
        <f>StudentsTable[[#This Row],[math score]]+StudentsTable[[#This Row],[reading score]]+StudentsTable[[#This Row],[writing score]]</f>
        <v>160</v>
      </c>
      <c r="J652">
        <f>StudentsTable[[#This Row],[TotalScore]]/3</f>
        <v>53.333333333333336</v>
      </c>
      <c r="K652" t="str" cm="1">
        <f t="array" ref="K652">_xlfn.IFS(StudentsTable[[#This Row],[AverageScore]]&gt;=90,"A",StudentsTable[[#This Row],[AverageScore]]&gt;=80,"B",StudentsTable[[#This Row],[AverageScore]]&gt;=70,"C",StudentsTable[[#This Row],[AverageScore]]&gt;=60,"D",TRUE,"F")</f>
        <v>F</v>
      </c>
      <c r="L652" t="str">
        <f>IF(StudentsTable[[#This Row],[AverageScore]]&gt;=60,"Pass","Fail")</f>
        <v>Fail</v>
      </c>
      <c r="M652" t="str" cm="1">
        <f t="array" ref="M652">_xlfn.IFS(StudentsTable[[#This Row],[AverageScore]]&gt;=85,"Advanced",StudentsTable[[#This Row],[AverageScore]]&gt;=70,"Intermediate",StudentsTable[[#This Row],[AverageScore]]&gt;=60,"Basic",TRUE,"Needs Help")</f>
        <v>Needs Help</v>
      </c>
      <c r="N652">
        <f>RANK(StudentsTable[[#This Row],[AverageScore]],StudentsTable[AverageScore])</f>
        <v>837</v>
      </c>
      <c r="O652">
        <f>(StudentsTable[[#This Row],[AverageScore]]-MIN(StudentsTable[AverageScore]))/(MAX(StudentsTable[AverageScore])-MIN(StudentsTable[AverageScore]))*100</f>
        <v>48.717948717948723</v>
      </c>
    </row>
    <row r="653" spans="1:15" x14ac:dyDescent="0.3">
      <c r="A653" t="s">
        <v>8</v>
      </c>
      <c r="B653" t="s">
        <v>18</v>
      </c>
      <c r="C653" t="s">
        <v>22</v>
      </c>
      <c r="D653" t="s">
        <v>11</v>
      </c>
      <c r="E653" t="s">
        <v>15</v>
      </c>
      <c r="F653">
        <v>68</v>
      </c>
      <c r="G653">
        <v>80</v>
      </c>
      <c r="H653">
        <v>76</v>
      </c>
      <c r="I653">
        <f>StudentsTable[[#This Row],[math score]]+StudentsTable[[#This Row],[reading score]]+StudentsTable[[#This Row],[writing score]]</f>
        <v>224</v>
      </c>
      <c r="J653">
        <f>StudentsTable[[#This Row],[TotalScore]]/3</f>
        <v>74.666666666666671</v>
      </c>
      <c r="K653" t="str" cm="1">
        <f t="array" ref="K653">_xlfn.IFS(StudentsTable[[#This Row],[AverageScore]]&gt;=90,"A",StudentsTable[[#This Row],[AverageScore]]&gt;=80,"B",StudentsTable[[#This Row],[AverageScore]]&gt;=70,"C",StudentsTable[[#This Row],[AverageScore]]&gt;=60,"D",TRUE,"F")</f>
        <v>C</v>
      </c>
      <c r="L653" t="str">
        <f>IF(StudentsTable[[#This Row],[AverageScore]]&gt;=60,"Pass","Fail")</f>
        <v>Pass</v>
      </c>
      <c r="M653" t="str" cm="1">
        <f t="array" ref="M653">_xlfn.IFS(StudentsTable[[#This Row],[AverageScore]]&gt;=85,"Advanced",StudentsTable[[#This Row],[AverageScore]]&gt;=70,"Intermediate",StudentsTable[[#This Row],[AverageScore]]&gt;=60,"Basic",TRUE,"Needs Help")</f>
        <v>Intermediate</v>
      </c>
      <c r="N653">
        <f>RANK(StudentsTable[[#This Row],[AverageScore]],StudentsTable[AverageScore])</f>
        <v>325</v>
      </c>
      <c r="O653">
        <f>(StudentsTable[[#This Row],[AverageScore]]-MIN(StudentsTable[AverageScore]))/(MAX(StudentsTable[AverageScore])-MIN(StudentsTable[AverageScore]))*100</f>
        <v>72.161172161172175</v>
      </c>
    </row>
    <row r="654" spans="1:15" x14ac:dyDescent="0.3">
      <c r="A654" t="s">
        <v>8</v>
      </c>
      <c r="B654" t="s">
        <v>21</v>
      </c>
      <c r="C654" t="s">
        <v>14</v>
      </c>
      <c r="D654" t="s">
        <v>11</v>
      </c>
      <c r="E654" t="s">
        <v>15</v>
      </c>
      <c r="F654">
        <v>85</v>
      </c>
      <c r="G654">
        <v>86</v>
      </c>
      <c r="H654">
        <v>98</v>
      </c>
      <c r="I654">
        <f>StudentsTable[[#This Row],[math score]]+StudentsTable[[#This Row],[reading score]]+StudentsTable[[#This Row],[writing score]]</f>
        <v>269</v>
      </c>
      <c r="J654">
        <f>StudentsTable[[#This Row],[TotalScore]]/3</f>
        <v>89.666666666666671</v>
      </c>
      <c r="K654" t="str" cm="1">
        <f t="array" ref="K654">_xlfn.IFS(StudentsTable[[#This Row],[AverageScore]]&gt;=90,"A",StudentsTable[[#This Row],[AverageScore]]&gt;=80,"B",StudentsTable[[#This Row],[AverageScore]]&gt;=70,"C",StudentsTable[[#This Row],[AverageScore]]&gt;=60,"D",TRUE,"F")</f>
        <v>B</v>
      </c>
      <c r="L654" t="str">
        <f>IF(StudentsTable[[#This Row],[AverageScore]]&gt;=60,"Pass","Fail")</f>
        <v>Pass</v>
      </c>
      <c r="M654" t="str" cm="1">
        <f t="array" ref="M654">_xlfn.IFS(StudentsTable[[#This Row],[AverageScore]]&gt;=85,"Advanced",StudentsTable[[#This Row],[AverageScore]]&gt;=70,"Intermediate",StudentsTable[[#This Row],[AverageScore]]&gt;=60,"Basic",TRUE,"Needs Help")</f>
        <v>Advanced</v>
      </c>
      <c r="N654">
        <f>RANK(StudentsTable[[#This Row],[AverageScore]],StudentsTable[AverageScore])</f>
        <v>53</v>
      </c>
      <c r="O654">
        <f>(StudentsTable[[#This Row],[AverageScore]]-MIN(StudentsTable[AverageScore]))/(MAX(StudentsTable[AverageScore])-MIN(StudentsTable[AverageScore]))*100</f>
        <v>88.644688644688657</v>
      </c>
    </row>
    <row r="655" spans="1:15" x14ac:dyDescent="0.3">
      <c r="A655" t="s">
        <v>8</v>
      </c>
      <c r="B655" t="s">
        <v>18</v>
      </c>
      <c r="C655" t="s">
        <v>19</v>
      </c>
      <c r="D655" t="s">
        <v>11</v>
      </c>
      <c r="E655" t="s">
        <v>15</v>
      </c>
      <c r="F655">
        <v>65</v>
      </c>
      <c r="G655">
        <v>70</v>
      </c>
      <c r="H655">
        <v>74</v>
      </c>
      <c r="I655">
        <f>StudentsTable[[#This Row],[math score]]+StudentsTable[[#This Row],[reading score]]+StudentsTable[[#This Row],[writing score]]</f>
        <v>209</v>
      </c>
      <c r="J655">
        <f>StudentsTable[[#This Row],[TotalScore]]/3</f>
        <v>69.666666666666671</v>
      </c>
      <c r="K655" t="str" cm="1">
        <f t="array" ref="K655">_xlfn.IFS(StudentsTable[[#This Row],[AverageScore]]&gt;=90,"A",StudentsTable[[#This Row],[AverageScore]]&gt;=80,"B",StudentsTable[[#This Row],[AverageScore]]&gt;=70,"C",StudentsTable[[#This Row],[AverageScore]]&gt;=60,"D",TRUE,"F")</f>
        <v>D</v>
      </c>
      <c r="L655" t="str">
        <f>IF(StudentsTable[[#This Row],[AverageScore]]&gt;=60,"Pass","Fail")</f>
        <v>Pass</v>
      </c>
      <c r="M655" t="str" cm="1">
        <f t="array" ref="M655">_xlfn.IFS(StudentsTable[[#This Row],[AverageScore]]&gt;=85,"Advanced",StudentsTable[[#This Row],[AverageScore]]&gt;=70,"Intermediate",StudentsTable[[#This Row],[AverageScore]]&gt;=60,"Basic",TRUE,"Needs Help")</f>
        <v>Basic</v>
      </c>
      <c r="N655">
        <f>RANK(StudentsTable[[#This Row],[AverageScore]],StudentsTable[AverageScore])</f>
        <v>460</v>
      </c>
      <c r="O655">
        <f>(StudentsTable[[#This Row],[AverageScore]]-MIN(StudentsTable[AverageScore]))/(MAX(StudentsTable[AverageScore])-MIN(StudentsTable[AverageScore]))*100</f>
        <v>66.666666666666671</v>
      </c>
    </row>
    <row r="656" spans="1:15" x14ac:dyDescent="0.3">
      <c r="A656" t="s">
        <v>8</v>
      </c>
      <c r="B656" t="s">
        <v>9</v>
      </c>
      <c r="C656" t="s">
        <v>23</v>
      </c>
      <c r="D656" t="s">
        <v>11</v>
      </c>
      <c r="E656" t="s">
        <v>12</v>
      </c>
      <c r="F656">
        <v>73</v>
      </c>
      <c r="G656">
        <v>79</v>
      </c>
      <c r="H656">
        <v>79</v>
      </c>
      <c r="I656">
        <f>StudentsTable[[#This Row],[math score]]+StudentsTable[[#This Row],[reading score]]+StudentsTable[[#This Row],[writing score]]</f>
        <v>231</v>
      </c>
      <c r="J656">
        <f>StudentsTable[[#This Row],[TotalScore]]/3</f>
        <v>77</v>
      </c>
      <c r="K656" t="str" cm="1">
        <f t="array" ref="K656">_xlfn.IFS(StudentsTable[[#This Row],[AverageScore]]&gt;=90,"A",StudentsTable[[#This Row],[AverageScore]]&gt;=80,"B",StudentsTable[[#This Row],[AverageScore]]&gt;=70,"C",StudentsTable[[#This Row],[AverageScore]]&gt;=60,"D",TRUE,"F")</f>
        <v>C</v>
      </c>
      <c r="L656" t="str">
        <f>IF(StudentsTable[[#This Row],[AverageScore]]&gt;=60,"Pass","Fail")</f>
        <v>Pass</v>
      </c>
      <c r="M656" t="str" cm="1">
        <f t="array" ref="M656">_xlfn.IFS(StudentsTable[[#This Row],[AverageScore]]&gt;=85,"Advanced",StudentsTable[[#This Row],[AverageScore]]&gt;=70,"Intermediate",StudentsTable[[#This Row],[AverageScore]]&gt;=60,"Basic",TRUE,"Needs Help")</f>
        <v>Intermediate</v>
      </c>
      <c r="N656">
        <f>RANK(StudentsTable[[#This Row],[AverageScore]],StudentsTable[AverageScore])</f>
        <v>269</v>
      </c>
      <c r="O656">
        <f>(StudentsTable[[#This Row],[AverageScore]]-MIN(StudentsTable[AverageScore]))/(MAX(StudentsTable[AverageScore])-MIN(StudentsTable[AverageScore]))*100</f>
        <v>74.72527472527473</v>
      </c>
    </row>
    <row r="657" spans="1:15" x14ac:dyDescent="0.3">
      <c r="A657" t="s">
        <v>8</v>
      </c>
      <c r="B657" t="s">
        <v>9</v>
      </c>
      <c r="C657" t="s">
        <v>14</v>
      </c>
      <c r="D657" t="s">
        <v>11</v>
      </c>
      <c r="E657" t="s">
        <v>12</v>
      </c>
      <c r="F657">
        <v>62</v>
      </c>
      <c r="G657">
        <v>67</v>
      </c>
      <c r="H657">
        <v>67</v>
      </c>
      <c r="I657">
        <f>StudentsTable[[#This Row],[math score]]+StudentsTable[[#This Row],[reading score]]+StudentsTable[[#This Row],[writing score]]</f>
        <v>196</v>
      </c>
      <c r="J657">
        <f>StudentsTable[[#This Row],[TotalScore]]/3</f>
        <v>65.333333333333329</v>
      </c>
      <c r="K657" t="str" cm="1">
        <f t="array" ref="K657">_xlfn.IFS(StudentsTable[[#This Row],[AverageScore]]&gt;=90,"A",StudentsTable[[#This Row],[AverageScore]]&gt;=80,"B",StudentsTable[[#This Row],[AverageScore]]&gt;=70,"C",StudentsTable[[#This Row],[AverageScore]]&gt;=60,"D",TRUE,"F")</f>
        <v>D</v>
      </c>
      <c r="L657" t="str">
        <f>IF(StudentsTable[[#This Row],[AverageScore]]&gt;=60,"Pass","Fail")</f>
        <v>Pass</v>
      </c>
      <c r="M657" t="str" cm="1">
        <f t="array" ref="M657">_xlfn.IFS(StudentsTable[[#This Row],[AverageScore]]&gt;=85,"Advanced",StudentsTable[[#This Row],[AverageScore]]&gt;=70,"Intermediate",StudentsTable[[#This Row],[AverageScore]]&gt;=60,"Basic",TRUE,"Needs Help")</f>
        <v>Basic</v>
      </c>
      <c r="N657">
        <f>RANK(StudentsTable[[#This Row],[AverageScore]],StudentsTable[AverageScore])</f>
        <v>584</v>
      </c>
      <c r="O657">
        <f>(StudentsTable[[#This Row],[AverageScore]]-MIN(StudentsTable[AverageScore]))/(MAX(StudentsTable[AverageScore])-MIN(StudentsTable[AverageScore]))*100</f>
        <v>61.904761904761898</v>
      </c>
    </row>
    <row r="658" spans="1:15" x14ac:dyDescent="0.3">
      <c r="A658" t="s">
        <v>17</v>
      </c>
      <c r="B658" t="s">
        <v>13</v>
      </c>
      <c r="C658" t="s">
        <v>19</v>
      </c>
      <c r="D658" t="s">
        <v>20</v>
      </c>
      <c r="E658" t="s">
        <v>12</v>
      </c>
      <c r="F658">
        <v>77</v>
      </c>
      <c r="G658">
        <v>67</v>
      </c>
      <c r="H658">
        <v>64</v>
      </c>
      <c r="I658">
        <f>StudentsTable[[#This Row],[math score]]+StudentsTable[[#This Row],[reading score]]+StudentsTable[[#This Row],[writing score]]</f>
        <v>208</v>
      </c>
      <c r="J658">
        <f>StudentsTable[[#This Row],[TotalScore]]/3</f>
        <v>69.333333333333329</v>
      </c>
      <c r="K658" t="str" cm="1">
        <f t="array" ref="K658">_xlfn.IFS(StudentsTable[[#This Row],[AverageScore]]&gt;=90,"A",StudentsTable[[#This Row],[AverageScore]]&gt;=80,"B",StudentsTable[[#This Row],[AverageScore]]&gt;=70,"C",StudentsTable[[#This Row],[AverageScore]]&gt;=60,"D",TRUE,"F")</f>
        <v>D</v>
      </c>
      <c r="L658" t="str">
        <f>IF(StudentsTable[[#This Row],[AverageScore]]&gt;=60,"Pass","Fail")</f>
        <v>Pass</v>
      </c>
      <c r="M658" t="str" cm="1">
        <f t="array" ref="M658">_xlfn.IFS(StudentsTable[[#This Row],[AverageScore]]&gt;=85,"Advanced",StudentsTable[[#This Row],[AverageScore]]&gt;=70,"Intermediate",StudentsTable[[#This Row],[AverageScore]]&gt;=60,"Basic",TRUE,"Needs Help")</f>
        <v>Basic</v>
      </c>
      <c r="N658">
        <f>RANK(StudentsTable[[#This Row],[AverageScore]],StudentsTable[AverageScore])</f>
        <v>465</v>
      </c>
      <c r="O658">
        <f>(StudentsTable[[#This Row],[AverageScore]]-MIN(StudentsTable[AverageScore]))/(MAX(StudentsTable[AverageScore])-MIN(StudentsTable[AverageScore]))*100</f>
        <v>66.300366300366292</v>
      </c>
    </row>
    <row r="659" spans="1:15" x14ac:dyDescent="0.3">
      <c r="A659" t="s">
        <v>17</v>
      </c>
      <c r="B659" t="s">
        <v>21</v>
      </c>
      <c r="C659" t="s">
        <v>23</v>
      </c>
      <c r="D659" t="s">
        <v>11</v>
      </c>
      <c r="E659" t="s">
        <v>12</v>
      </c>
      <c r="F659">
        <v>69</v>
      </c>
      <c r="G659">
        <v>66</v>
      </c>
      <c r="H659">
        <v>61</v>
      </c>
      <c r="I659">
        <f>StudentsTable[[#This Row],[math score]]+StudentsTable[[#This Row],[reading score]]+StudentsTable[[#This Row],[writing score]]</f>
        <v>196</v>
      </c>
      <c r="J659">
        <f>StudentsTable[[#This Row],[TotalScore]]/3</f>
        <v>65.333333333333329</v>
      </c>
      <c r="K659" t="str" cm="1">
        <f t="array" ref="K659">_xlfn.IFS(StudentsTable[[#This Row],[AverageScore]]&gt;=90,"A",StudentsTable[[#This Row],[AverageScore]]&gt;=80,"B",StudentsTable[[#This Row],[AverageScore]]&gt;=70,"C",StudentsTable[[#This Row],[AverageScore]]&gt;=60,"D",TRUE,"F")</f>
        <v>D</v>
      </c>
      <c r="L659" t="str">
        <f>IF(StudentsTable[[#This Row],[AverageScore]]&gt;=60,"Pass","Fail")</f>
        <v>Pass</v>
      </c>
      <c r="M659" t="str" cm="1">
        <f t="array" ref="M659">_xlfn.IFS(StudentsTable[[#This Row],[AverageScore]]&gt;=85,"Advanced",StudentsTable[[#This Row],[AverageScore]]&gt;=70,"Intermediate",StudentsTable[[#This Row],[AverageScore]]&gt;=60,"Basic",TRUE,"Needs Help")</f>
        <v>Basic</v>
      </c>
      <c r="N659">
        <f>RANK(StudentsTable[[#This Row],[AverageScore]],StudentsTable[AverageScore])</f>
        <v>584</v>
      </c>
      <c r="O659">
        <f>(StudentsTable[[#This Row],[AverageScore]]-MIN(StudentsTable[AverageScore]))/(MAX(StudentsTable[AverageScore])-MIN(StudentsTable[AverageScore]))*100</f>
        <v>61.904761904761898</v>
      </c>
    </row>
    <row r="660" spans="1:15" x14ac:dyDescent="0.3">
      <c r="A660" t="s">
        <v>8</v>
      </c>
      <c r="B660" t="s">
        <v>21</v>
      </c>
      <c r="C660" t="s">
        <v>19</v>
      </c>
      <c r="D660" t="s">
        <v>20</v>
      </c>
      <c r="E660" t="s">
        <v>12</v>
      </c>
      <c r="F660">
        <v>43</v>
      </c>
      <c r="G660">
        <v>60</v>
      </c>
      <c r="H660">
        <v>58</v>
      </c>
      <c r="I660">
        <f>StudentsTable[[#This Row],[math score]]+StudentsTable[[#This Row],[reading score]]+StudentsTable[[#This Row],[writing score]]</f>
        <v>161</v>
      </c>
      <c r="J660">
        <f>StudentsTable[[#This Row],[TotalScore]]/3</f>
        <v>53.666666666666664</v>
      </c>
      <c r="K660" t="str" cm="1">
        <f t="array" ref="K660">_xlfn.IFS(StudentsTable[[#This Row],[AverageScore]]&gt;=90,"A",StudentsTable[[#This Row],[AverageScore]]&gt;=80,"B",StudentsTable[[#This Row],[AverageScore]]&gt;=70,"C",StudentsTable[[#This Row],[AverageScore]]&gt;=60,"D",TRUE,"F")</f>
        <v>F</v>
      </c>
      <c r="L660" t="str">
        <f>IF(StudentsTable[[#This Row],[AverageScore]]&gt;=60,"Pass","Fail")</f>
        <v>Fail</v>
      </c>
      <c r="M660" t="str" cm="1">
        <f t="array" ref="M660">_xlfn.IFS(StudentsTable[[#This Row],[AverageScore]]&gt;=85,"Advanced",StudentsTable[[#This Row],[AverageScore]]&gt;=70,"Intermediate",StudentsTable[[#This Row],[AverageScore]]&gt;=60,"Basic",TRUE,"Needs Help")</f>
        <v>Needs Help</v>
      </c>
      <c r="N660">
        <f>RANK(StudentsTable[[#This Row],[AverageScore]],StudentsTable[AverageScore])</f>
        <v>830</v>
      </c>
      <c r="O660">
        <f>(StudentsTable[[#This Row],[AverageScore]]-MIN(StudentsTable[AverageScore]))/(MAX(StudentsTable[AverageScore])-MIN(StudentsTable[AverageScore]))*100</f>
        <v>49.08424908424908</v>
      </c>
    </row>
    <row r="661" spans="1:15" x14ac:dyDescent="0.3">
      <c r="A661" t="s">
        <v>17</v>
      </c>
      <c r="B661" t="s">
        <v>21</v>
      </c>
      <c r="C661" t="s">
        <v>19</v>
      </c>
      <c r="D661" t="s">
        <v>11</v>
      </c>
      <c r="E661" t="s">
        <v>12</v>
      </c>
      <c r="F661">
        <v>90</v>
      </c>
      <c r="G661">
        <v>87</v>
      </c>
      <c r="H661">
        <v>85</v>
      </c>
      <c r="I661">
        <f>StudentsTable[[#This Row],[math score]]+StudentsTable[[#This Row],[reading score]]+StudentsTable[[#This Row],[writing score]]</f>
        <v>262</v>
      </c>
      <c r="J661">
        <f>StudentsTable[[#This Row],[TotalScore]]/3</f>
        <v>87.333333333333329</v>
      </c>
      <c r="K661" t="str" cm="1">
        <f t="array" ref="K661">_xlfn.IFS(StudentsTable[[#This Row],[AverageScore]]&gt;=90,"A",StudentsTable[[#This Row],[AverageScore]]&gt;=80,"B",StudentsTable[[#This Row],[AverageScore]]&gt;=70,"C",StudentsTable[[#This Row],[AverageScore]]&gt;=60,"D",TRUE,"F")</f>
        <v>B</v>
      </c>
      <c r="L661" t="str">
        <f>IF(StudentsTable[[#This Row],[AverageScore]]&gt;=60,"Pass","Fail")</f>
        <v>Pass</v>
      </c>
      <c r="M661" t="str" cm="1">
        <f t="array" ref="M661">_xlfn.IFS(StudentsTable[[#This Row],[AverageScore]]&gt;=85,"Advanced",StudentsTable[[#This Row],[AverageScore]]&gt;=70,"Intermediate",StudentsTable[[#This Row],[AverageScore]]&gt;=60,"Basic",TRUE,"Needs Help")</f>
        <v>Advanced</v>
      </c>
      <c r="N661">
        <f>RANK(StudentsTable[[#This Row],[AverageScore]],StudentsTable[AverageScore])</f>
        <v>78</v>
      </c>
      <c r="O661">
        <f>(StudentsTable[[#This Row],[AverageScore]]-MIN(StudentsTable[AverageScore]))/(MAX(StudentsTable[AverageScore])-MIN(StudentsTable[AverageScore]))*100</f>
        <v>86.080586080586073</v>
      </c>
    </row>
    <row r="662" spans="1:15" x14ac:dyDescent="0.3">
      <c r="A662" t="s">
        <v>17</v>
      </c>
      <c r="B662" t="s">
        <v>13</v>
      </c>
      <c r="C662" t="s">
        <v>14</v>
      </c>
      <c r="D662" t="s">
        <v>20</v>
      </c>
      <c r="E662" t="s">
        <v>12</v>
      </c>
      <c r="F662">
        <v>74</v>
      </c>
      <c r="G662">
        <v>77</v>
      </c>
      <c r="H662">
        <v>73</v>
      </c>
      <c r="I662">
        <f>StudentsTable[[#This Row],[math score]]+StudentsTable[[#This Row],[reading score]]+StudentsTable[[#This Row],[writing score]]</f>
        <v>224</v>
      </c>
      <c r="J662">
        <f>StudentsTable[[#This Row],[TotalScore]]/3</f>
        <v>74.666666666666671</v>
      </c>
      <c r="K662" t="str" cm="1">
        <f t="array" ref="K662">_xlfn.IFS(StudentsTable[[#This Row],[AverageScore]]&gt;=90,"A",StudentsTable[[#This Row],[AverageScore]]&gt;=80,"B",StudentsTable[[#This Row],[AverageScore]]&gt;=70,"C",StudentsTable[[#This Row],[AverageScore]]&gt;=60,"D",TRUE,"F")</f>
        <v>C</v>
      </c>
      <c r="L662" t="str">
        <f>IF(StudentsTable[[#This Row],[AverageScore]]&gt;=60,"Pass","Fail")</f>
        <v>Pass</v>
      </c>
      <c r="M662" t="str" cm="1">
        <f t="array" ref="M662">_xlfn.IFS(StudentsTable[[#This Row],[AverageScore]]&gt;=85,"Advanced",StudentsTable[[#This Row],[AverageScore]]&gt;=70,"Intermediate",StudentsTable[[#This Row],[AverageScore]]&gt;=60,"Basic",TRUE,"Needs Help")</f>
        <v>Intermediate</v>
      </c>
      <c r="N662">
        <f>RANK(StudentsTable[[#This Row],[AverageScore]],StudentsTable[AverageScore])</f>
        <v>325</v>
      </c>
      <c r="O662">
        <f>(StudentsTable[[#This Row],[AverageScore]]-MIN(StudentsTable[AverageScore]))/(MAX(StudentsTable[AverageScore])-MIN(StudentsTable[AverageScore]))*100</f>
        <v>72.161172161172175</v>
      </c>
    </row>
    <row r="663" spans="1:15" x14ac:dyDescent="0.3">
      <c r="A663" t="s">
        <v>17</v>
      </c>
      <c r="B663" t="s">
        <v>13</v>
      </c>
      <c r="C663" t="s">
        <v>23</v>
      </c>
      <c r="D663" t="s">
        <v>11</v>
      </c>
      <c r="E663" t="s">
        <v>12</v>
      </c>
      <c r="F663">
        <v>73</v>
      </c>
      <c r="G663">
        <v>66</v>
      </c>
      <c r="H663">
        <v>63</v>
      </c>
      <c r="I663">
        <f>StudentsTable[[#This Row],[math score]]+StudentsTable[[#This Row],[reading score]]+StudentsTable[[#This Row],[writing score]]</f>
        <v>202</v>
      </c>
      <c r="J663">
        <f>StudentsTable[[#This Row],[TotalScore]]/3</f>
        <v>67.333333333333329</v>
      </c>
      <c r="K663" t="str" cm="1">
        <f t="array" ref="K663">_xlfn.IFS(StudentsTable[[#This Row],[AverageScore]]&gt;=90,"A",StudentsTable[[#This Row],[AverageScore]]&gt;=80,"B",StudentsTable[[#This Row],[AverageScore]]&gt;=70,"C",StudentsTable[[#This Row],[AverageScore]]&gt;=60,"D",TRUE,"F")</f>
        <v>D</v>
      </c>
      <c r="L663" t="str">
        <f>IF(StudentsTable[[#This Row],[AverageScore]]&gt;=60,"Pass","Fail")</f>
        <v>Pass</v>
      </c>
      <c r="M663" t="str" cm="1">
        <f t="array" ref="M663">_xlfn.IFS(StudentsTable[[#This Row],[AverageScore]]&gt;=85,"Advanced",StudentsTable[[#This Row],[AverageScore]]&gt;=70,"Intermediate",StudentsTable[[#This Row],[AverageScore]]&gt;=60,"Basic",TRUE,"Needs Help")</f>
        <v>Basic</v>
      </c>
      <c r="N663">
        <f>RANK(StudentsTable[[#This Row],[AverageScore]],StudentsTable[AverageScore])</f>
        <v>534</v>
      </c>
      <c r="O663">
        <f>(StudentsTable[[#This Row],[AverageScore]]-MIN(StudentsTable[AverageScore]))/(MAX(StudentsTable[AverageScore])-MIN(StudentsTable[AverageScore]))*100</f>
        <v>64.102564102564102</v>
      </c>
    </row>
    <row r="664" spans="1:15" x14ac:dyDescent="0.3">
      <c r="A664" t="s">
        <v>8</v>
      </c>
      <c r="B664" t="s">
        <v>21</v>
      </c>
      <c r="C664" t="s">
        <v>14</v>
      </c>
      <c r="D664" t="s">
        <v>20</v>
      </c>
      <c r="E664" t="s">
        <v>12</v>
      </c>
      <c r="F664">
        <v>55</v>
      </c>
      <c r="G664">
        <v>71</v>
      </c>
      <c r="H664">
        <v>69</v>
      </c>
      <c r="I664">
        <f>StudentsTable[[#This Row],[math score]]+StudentsTable[[#This Row],[reading score]]+StudentsTable[[#This Row],[writing score]]</f>
        <v>195</v>
      </c>
      <c r="J664">
        <f>StudentsTable[[#This Row],[TotalScore]]/3</f>
        <v>65</v>
      </c>
      <c r="K664" t="str" cm="1">
        <f t="array" ref="K664">_xlfn.IFS(StudentsTable[[#This Row],[AverageScore]]&gt;=90,"A",StudentsTable[[#This Row],[AverageScore]]&gt;=80,"B",StudentsTable[[#This Row],[AverageScore]]&gt;=70,"C",StudentsTable[[#This Row],[AverageScore]]&gt;=60,"D",TRUE,"F")</f>
        <v>D</v>
      </c>
      <c r="L664" t="str">
        <f>IF(StudentsTable[[#This Row],[AverageScore]]&gt;=60,"Pass","Fail")</f>
        <v>Pass</v>
      </c>
      <c r="M664" t="str" cm="1">
        <f t="array" ref="M664">_xlfn.IFS(StudentsTable[[#This Row],[AverageScore]]&gt;=85,"Advanced",StudentsTable[[#This Row],[AverageScore]]&gt;=70,"Intermediate",StudentsTable[[#This Row],[AverageScore]]&gt;=60,"Basic",TRUE,"Needs Help")</f>
        <v>Basic</v>
      </c>
      <c r="N664">
        <f>RANK(StudentsTable[[#This Row],[AverageScore]],StudentsTable[AverageScore])</f>
        <v>593</v>
      </c>
      <c r="O664">
        <f>(StudentsTable[[#This Row],[AverageScore]]-MIN(StudentsTable[AverageScore]))/(MAX(StudentsTable[AverageScore])-MIN(StudentsTable[AverageScore]))*100</f>
        <v>61.53846153846154</v>
      </c>
    </row>
    <row r="665" spans="1:15" x14ac:dyDescent="0.3">
      <c r="A665" t="s">
        <v>8</v>
      </c>
      <c r="B665" t="s">
        <v>13</v>
      </c>
      <c r="C665" t="s">
        <v>22</v>
      </c>
      <c r="D665" t="s">
        <v>11</v>
      </c>
      <c r="E665" t="s">
        <v>12</v>
      </c>
      <c r="F665">
        <v>65</v>
      </c>
      <c r="G665">
        <v>69</v>
      </c>
      <c r="H665">
        <v>67</v>
      </c>
      <c r="I665">
        <f>StudentsTable[[#This Row],[math score]]+StudentsTable[[#This Row],[reading score]]+StudentsTable[[#This Row],[writing score]]</f>
        <v>201</v>
      </c>
      <c r="J665">
        <f>StudentsTable[[#This Row],[TotalScore]]/3</f>
        <v>67</v>
      </c>
      <c r="K665" t="str" cm="1">
        <f t="array" ref="K665">_xlfn.IFS(StudentsTable[[#This Row],[AverageScore]]&gt;=90,"A",StudentsTable[[#This Row],[AverageScore]]&gt;=80,"B",StudentsTable[[#This Row],[AverageScore]]&gt;=70,"C",StudentsTable[[#This Row],[AverageScore]]&gt;=60,"D",TRUE,"F")</f>
        <v>D</v>
      </c>
      <c r="L665" t="str">
        <f>IF(StudentsTable[[#This Row],[AverageScore]]&gt;=60,"Pass","Fail")</f>
        <v>Pass</v>
      </c>
      <c r="M665" t="str" cm="1">
        <f t="array" ref="M665">_xlfn.IFS(StudentsTable[[#This Row],[AverageScore]]&gt;=85,"Advanced",StudentsTable[[#This Row],[AverageScore]]&gt;=70,"Intermediate",StudentsTable[[#This Row],[AverageScore]]&gt;=60,"Basic",TRUE,"Needs Help")</f>
        <v>Basic</v>
      </c>
      <c r="N665">
        <f>RANK(StudentsTable[[#This Row],[AverageScore]],StudentsTable[AverageScore])</f>
        <v>540</v>
      </c>
      <c r="O665">
        <f>(StudentsTable[[#This Row],[AverageScore]]-MIN(StudentsTable[AverageScore]))/(MAX(StudentsTable[AverageScore])-MIN(StudentsTable[AverageScore]))*100</f>
        <v>63.73626373626373</v>
      </c>
    </row>
    <row r="666" spans="1:15" x14ac:dyDescent="0.3">
      <c r="A666" t="s">
        <v>17</v>
      </c>
      <c r="B666" t="s">
        <v>21</v>
      </c>
      <c r="C666" t="s">
        <v>19</v>
      </c>
      <c r="D666" t="s">
        <v>11</v>
      </c>
      <c r="E666" t="s">
        <v>12</v>
      </c>
      <c r="F666">
        <v>80</v>
      </c>
      <c r="G666">
        <v>63</v>
      </c>
      <c r="H666">
        <v>63</v>
      </c>
      <c r="I666">
        <f>StudentsTable[[#This Row],[math score]]+StudentsTable[[#This Row],[reading score]]+StudentsTable[[#This Row],[writing score]]</f>
        <v>206</v>
      </c>
      <c r="J666">
        <f>StudentsTable[[#This Row],[TotalScore]]/3</f>
        <v>68.666666666666671</v>
      </c>
      <c r="K666" t="str" cm="1">
        <f t="array" ref="K666">_xlfn.IFS(StudentsTable[[#This Row],[AverageScore]]&gt;=90,"A",StudentsTable[[#This Row],[AverageScore]]&gt;=80,"B",StudentsTable[[#This Row],[AverageScore]]&gt;=70,"C",StudentsTable[[#This Row],[AverageScore]]&gt;=60,"D",TRUE,"F")</f>
        <v>D</v>
      </c>
      <c r="L666" t="str">
        <f>IF(StudentsTable[[#This Row],[AverageScore]]&gt;=60,"Pass","Fail")</f>
        <v>Pass</v>
      </c>
      <c r="M666" t="str" cm="1">
        <f t="array" ref="M666">_xlfn.IFS(StudentsTable[[#This Row],[AverageScore]]&gt;=85,"Advanced",StudentsTable[[#This Row],[AverageScore]]&gt;=70,"Intermediate",StudentsTable[[#This Row],[AverageScore]]&gt;=60,"Basic",TRUE,"Needs Help")</f>
        <v>Basic</v>
      </c>
      <c r="N666">
        <f>RANK(StudentsTable[[#This Row],[AverageScore]],StudentsTable[AverageScore])</f>
        <v>487</v>
      </c>
      <c r="O666">
        <f>(StudentsTable[[#This Row],[AverageScore]]-MIN(StudentsTable[AverageScore]))/(MAX(StudentsTable[AverageScore])-MIN(StudentsTable[AverageScore]))*100</f>
        <v>65.567765567765562</v>
      </c>
    </row>
    <row r="667" spans="1:15" x14ac:dyDescent="0.3">
      <c r="A667" t="s">
        <v>8</v>
      </c>
      <c r="B667" t="s">
        <v>13</v>
      </c>
      <c r="C667" t="s">
        <v>23</v>
      </c>
      <c r="D667" t="s">
        <v>20</v>
      </c>
      <c r="E667" t="s">
        <v>15</v>
      </c>
      <c r="F667">
        <v>50</v>
      </c>
      <c r="G667">
        <v>60</v>
      </c>
      <c r="H667">
        <v>60</v>
      </c>
      <c r="I667">
        <f>StudentsTable[[#This Row],[math score]]+StudentsTable[[#This Row],[reading score]]+StudentsTable[[#This Row],[writing score]]</f>
        <v>170</v>
      </c>
      <c r="J667">
        <f>StudentsTable[[#This Row],[TotalScore]]/3</f>
        <v>56.666666666666664</v>
      </c>
      <c r="K667" t="str" cm="1">
        <f t="array" ref="K667">_xlfn.IFS(StudentsTable[[#This Row],[AverageScore]]&gt;=90,"A",StudentsTable[[#This Row],[AverageScore]]&gt;=80,"B",StudentsTable[[#This Row],[AverageScore]]&gt;=70,"C",StudentsTable[[#This Row],[AverageScore]]&gt;=60,"D",TRUE,"F")</f>
        <v>F</v>
      </c>
      <c r="L667" t="str">
        <f>IF(StudentsTable[[#This Row],[AverageScore]]&gt;=60,"Pass","Fail")</f>
        <v>Fail</v>
      </c>
      <c r="M667" t="str" cm="1">
        <f t="array" ref="M667">_xlfn.IFS(StudentsTable[[#This Row],[AverageScore]]&gt;=85,"Advanced",StudentsTable[[#This Row],[AverageScore]]&gt;=70,"Intermediate",StudentsTable[[#This Row],[AverageScore]]&gt;=60,"Basic",TRUE,"Needs Help")</f>
        <v>Needs Help</v>
      </c>
      <c r="N667">
        <f>RANK(StudentsTable[[#This Row],[AverageScore]],StudentsTable[AverageScore])</f>
        <v>776</v>
      </c>
      <c r="O667">
        <f>(StudentsTable[[#This Row],[AverageScore]]-MIN(StudentsTable[AverageScore]))/(MAX(StudentsTable[AverageScore])-MIN(StudentsTable[AverageScore]))*100</f>
        <v>52.380952380952387</v>
      </c>
    </row>
    <row r="668" spans="1:15" x14ac:dyDescent="0.3">
      <c r="A668" t="s">
        <v>8</v>
      </c>
      <c r="B668" t="s">
        <v>13</v>
      </c>
      <c r="C668" t="s">
        <v>14</v>
      </c>
      <c r="D668" t="s">
        <v>20</v>
      </c>
      <c r="E668" t="s">
        <v>15</v>
      </c>
      <c r="F668">
        <v>63</v>
      </c>
      <c r="G668">
        <v>73</v>
      </c>
      <c r="H668">
        <v>71</v>
      </c>
      <c r="I668">
        <f>StudentsTable[[#This Row],[math score]]+StudentsTable[[#This Row],[reading score]]+StudentsTable[[#This Row],[writing score]]</f>
        <v>207</v>
      </c>
      <c r="J668">
        <f>StudentsTable[[#This Row],[TotalScore]]/3</f>
        <v>69</v>
      </c>
      <c r="K668" t="str" cm="1">
        <f t="array" ref="K668">_xlfn.IFS(StudentsTable[[#This Row],[AverageScore]]&gt;=90,"A",StudentsTable[[#This Row],[AverageScore]]&gt;=80,"B",StudentsTable[[#This Row],[AverageScore]]&gt;=70,"C",StudentsTable[[#This Row],[AverageScore]]&gt;=60,"D",TRUE,"F")</f>
        <v>D</v>
      </c>
      <c r="L668" t="str">
        <f>IF(StudentsTable[[#This Row],[AverageScore]]&gt;=60,"Pass","Fail")</f>
        <v>Pass</v>
      </c>
      <c r="M668" t="str" cm="1">
        <f t="array" ref="M668">_xlfn.IFS(StudentsTable[[#This Row],[AverageScore]]&gt;=85,"Advanced",StudentsTable[[#This Row],[AverageScore]]&gt;=70,"Intermediate",StudentsTable[[#This Row],[AverageScore]]&gt;=60,"Basic",TRUE,"Needs Help")</f>
        <v>Basic</v>
      </c>
      <c r="N668">
        <f>RANK(StudentsTable[[#This Row],[AverageScore]],StudentsTable[AverageScore])</f>
        <v>475</v>
      </c>
      <c r="O668">
        <f>(StudentsTable[[#This Row],[AverageScore]]-MIN(StudentsTable[AverageScore]))/(MAX(StudentsTable[AverageScore])-MIN(StudentsTable[AverageScore]))*100</f>
        <v>65.934065934065927</v>
      </c>
    </row>
    <row r="669" spans="1:15" x14ac:dyDescent="0.3">
      <c r="A669" t="s">
        <v>8</v>
      </c>
      <c r="B669" t="s">
        <v>9</v>
      </c>
      <c r="C669" t="s">
        <v>10</v>
      </c>
      <c r="D669" t="s">
        <v>20</v>
      </c>
      <c r="E669" t="s">
        <v>12</v>
      </c>
      <c r="F669">
        <v>77</v>
      </c>
      <c r="G669">
        <v>85</v>
      </c>
      <c r="H669">
        <v>87</v>
      </c>
      <c r="I669">
        <f>StudentsTable[[#This Row],[math score]]+StudentsTable[[#This Row],[reading score]]+StudentsTable[[#This Row],[writing score]]</f>
        <v>249</v>
      </c>
      <c r="J669">
        <f>StudentsTable[[#This Row],[TotalScore]]/3</f>
        <v>83</v>
      </c>
      <c r="K669" t="str" cm="1">
        <f t="array" ref="K669">_xlfn.IFS(StudentsTable[[#This Row],[AverageScore]]&gt;=90,"A",StudentsTable[[#This Row],[AverageScore]]&gt;=80,"B",StudentsTable[[#This Row],[AverageScore]]&gt;=70,"C",StudentsTable[[#This Row],[AverageScore]]&gt;=60,"D",TRUE,"F")</f>
        <v>B</v>
      </c>
      <c r="L669" t="str">
        <f>IF(StudentsTable[[#This Row],[AverageScore]]&gt;=60,"Pass","Fail")</f>
        <v>Pass</v>
      </c>
      <c r="M669" t="str" cm="1">
        <f t="array" ref="M669">_xlfn.IFS(StudentsTable[[#This Row],[AverageScore]]&gt;=85,"Advanced",StudentsTable[[#This Row],[AverageScore]]&gt;=70,"Intermediate",StudentsTable[[#This Row],[AverageScore]]&gt;=60,"Basic",TRUE,"Needs Help")</f>
        <v>Intermediate</v>
      </c>
      <c r="N669">
        <f>RANK(StudentsTable[[#This Row],[AverageScore]],StudentsTable[AverageScore])</f>
        <v>140</v>
      </c>
      <c r="O669">
        <f>(StudentsTable[[#This Row],[AverageScore]]-MIN(StudentsTable[AverageScore]))/(MAX(StudentsTable[AverageScore])-MIN(StudentsTable[AverageScore]))*100</f>
        <v>81.318681318681314</v>
      </c>
    </row>
    <row r="670" spans="1:15" x14ac:dyDescent="0.3">
      <c r="A670" t="s">
        <v>17</v>
      </c>
      <c r="B670" t="s">
        <v>13</v>
      </c>
      <c r="C670" t="s">
        <v>14</v>
      </c>
      <c r="D670" t="s">
        <v>11</v>
      </c>
      <c r="E670" t="s">
        <v>12</v>
      </c>
      <c r="F670">
        <v>73</v>
      </c>
      <c r="G670">
        <v>74</v>
      </c>
      <c r="H670">
        <v>61</v>
      </c>
      <c r="I670">
        <f>StudentsTable[[#This Row],[math score]]+StudentsTable[[#This Row],[reading score]]+StudentsTable[[#This Row],[writing score]]</f>
        <v>208</v>
      </c>
      <c r="J670">
        <f>StudentsTable[[#This Row],[TotalScore]]/3</f>
        <v>69.333333333333329</v>
      </c>
      <c r="K670" t="str" cm="1">
        <f t="array" ref="K670">_xlfn.IFS(StudentsTable[[#This Row],[AverageScore]]&gt;=90,"A",StudentsTable[[#This Row],[AverageScore]]&gt;=80,"B",StudentsTable[[#This Row],[AverageScore]]&gt;=70,"C",StudentsTable[[#This Row],[AverageScore]]&gt;=60,"D",TRUE,"F")</f>
        <v>D</v>
      </c>
      <c r="L670" t="str">
        <f>IF(StudentsTable[[#This Row],[AverageScore]]&gt;=60,"Pass","Fail")</f>
        <v>Pass</v>
      </c>
      <c r="M670" t="str" cm="1">
        <f t="array" ref="M670">_xlfn.IFS(StudentsTable[[#This Row],[AverageScore]]&gt;=85,"Advanced",StudentsTable[[#This Row],[AverageScore]]&gt;=70,"Intermediate",StudentsTable[[#This Row],[AverageScore]]&gt;=60,"Basic",TRUE,"Needs Help")</f>
        <v>Basic</v>
      </c>
      <c r="N670">
        <f>RANK(StudentsTable[[#This Row],[AverageScore]],StudentsTable[AverageScore])</f>
        <v>465</v>
      </c>
      <c r="O670">
        <f>(StudentsTable[[#This Row],[AverageScore]]-MIN(StudentsTable[AverageScore]))/(MAX(StudentsTable[AverageScore])-MIN(StudentsTable[AverageScore]))*100</f>
        <v>66.300366300366292</v>
      </c>
    </row>
    <row r="671" spans="1:15" x14ac:dyDescent="0.3">
      <c r="A671" t="s">
        <v>17</v>
      </c>
      <c r="B671" t="s">
        <v>21</v>
      </c>
      <c r="C671" t="s">
        <v>19</v>
      </c>
      <c r="D671" t="s">
        <v>11</v>
      </c>
      <c r="E671" t="s">
        <v>15</v>
      </c>
      <c r="F671">
        <v>81</v>
      </c>
      <c r="G671">
        <v>72</v>
      </c>
      <c r="H671">
        <v>77</v>
      </c>
      <c r="I671">
        <f>StudentsTable[[#This Row],[math score]]+StudentsTable[[#This Row],[reading score]]+StudentsTable[[#This Row],[writing score]]</f>
        <v>230</v>
      </c>
      <c r="J671">
        <f>StudentsTable[[#This Row],[TotalScore]]/3</f>
        <v>76.666666666666671</v>
      </c>
      <c r="K671" t="str" cm="1">
        <f t="array" ref="K671">_xlfn.IFS(StudentsTable[[#This Row],[AverageScore]]&gt;=90,"A",StudentsTable[[#This Row],[AverageScore]]&gt;=80,"B",StudentsTable[[#This Row],[AverageScore]]&gt;=70,"C",StudentsTable[[#This Row],[AverageScore]]&gt;=60,"D",TRUE,"F")</f>
        <v>C</v>
      </c>
      <c r="L671" t="str">
        <f>IF(StudentsTable[[#This Row],[AverageScore]]&gt;=60,"Pass","Fail")</f>
        <v>Pass</v>
      </c>
      <c r="M671" t="str" cm="1">
        <f t="array" ref="M671">_xlfn.IFS(StudentsTable[[#This Row],[AverageScore]]&gt;=85,"Advanced",StudentsTable[[#This Row],[AverageScore]]&gt;=70,"Intermediate",StudentsTable[[#This Row],[AverageScore]]&gt;=60,"Basic",TRUE,"Needs Help")</f>
        <v>Intermediate</v>
      </c>
      <c r="N671">
        <f>RANK(StudentsTable[[#This Row],[AverageScore]],StudentsTable[AverageScore])</f>
        <v>277</v>
      </c>
      <c r="O671">
        <f>(StudentsTable[[#This Row],[AverageScore]]-MIN(StudentsTable[AverageScore]))/(MAX(StudentsTable[AverageScore])-MIN(StudentsTable[AverageScore]))*100</f>
        <v>74.358974358974365</v>
      </c>
    </row>
    <row r="672" spans="1:15" x14ac:dyDescent="0.3">
      <c r="A672" t="s">
        <v>8</v>
      </c>
      <c r="B672" t="s">
        <v>13</v>
      </c>
      <c r="C672" t="s">
        <v>22</v>
      </c>
      <c r="D672" t="s">
        <v>20</v>
      </c>
      <c r="E672" t="s">
        <v>12</v>
      </c>
      <c r="F672">
        <v>66</v>
      </c>
      <c r="G672">
        <v>76</v>
      </c>
      <c r="H672">
        <v>68</v>
      </c>
      <c r="I672">
        <f>StudentsTable[[#This Row],[math score]]+StudentsTable[[#This Row],[reading score]]+StudentsTable[[#This Row],[writing score]]</f>
        <v>210</v>
      </c>
      <c r="J672">
        <f>StudentsTable[[#This Row],[TotalScore]]/3</f>
        <v>70</v>
      </c>
      <c r="K672" t="str" cm="1">
        <f t="array" ref="K672">_xlfn.IFS(StudentsTable[[#This Row],[AverageScore]]&gt;=90,"A",StudentsTable[[#This Row],[AverageScore]]&gt;=80,"B",StudentsTable[[#This Row],[AverageScore]]&gt;=70,"C",StudentsTable[[#This Row],[AverageScore]]&gt;=60,"D",TRUE,"F")</f>
        <v>C</v>
      </c>
      <c r="L672" t="str">
        <f>IF(StudentsTable[[#This Row],[AverageScore]]&gt;=60,"Pass","Fail")</f>
        <v>Pass</v>
      </c>
      <c r="M672" t="str" cm="1">
        <f t="array" ref="M672">_xlfn.IFS(StudentsTable[[#This Row],[AverageScore]]&gt;=85,"Advanced",StudentsTable[[#This Row],[AverageScore]]&gt;=70,"Intermediate",StudentsTable[[#This Row],[AverageScore]]&gt;=60,"Basic",TRUE,"Needs Help")</f>
        <v>Intermediate</v>
      </c>
      <c r="N672">
        <f>RANK(StudentsTable[[#This Row],[AverageScore]],StudentsTable[AverageScore])</f>
        <v>448</v>
      </c>
      <c r="O672">
        <f>(StudentsTable[[#This Row],[AverageScore]]-MIN(StudentsTable[AverageScore]))/(MAX(StudentsTable[AverageScore])-MIN(StudentsTable[AverageScore]))*100</f>
        <v>67.032967032967022</v>
      </c>
    </row>
    <row r="673" spans="1:15" x14ac:dyDescent="0.3">
      <c r="A673" t="s">
        <v>17</v>
      </c>
      <c r="B673" t="s">
        <v>21</v>
      </c>
      <c r="C673" t="s">
        <v>19</v>
      </c>
      <c r="D673" t="s">
        <v>20</v>
      </c>
      <c r="E673" t="s">
        <v>12</v>
      </c>
      <c r="F673">
        <v>52</v>
      </c>
      <c r="G673">
        <v>57</v>
      </c>
      <c r="H673">
        <v>50</v>
      </c>
      <c r="I673">
        <f>StudentsTable[[#This Row],[math score]]+StudentsTable[[#This Row],[reading score]]+StudentsTable[[#This Row],[writing score]]</f>
        <v>159</v>
      </c>
      <c r="J673">
        <f>StudentsTable[[#This Row],[TotalScore]]/3</f>
        <v>53</v>
      </c>
      <c r="K673" t="str" cm="1">
        <f t="array" ref="K673">_xlfn.IFS(StudentsTable[[#This Row],[AverageScore]]&gt;=90,"A",StudentsTable[[#This Row],[AverageScore]]&gt;=80,"B",StudentsTable[[#This Row],[AverageScore]]&gt;=70,"C",StudentsTable[[#This Row],[AverageScore]]&gt;=60,"D",TRUE,"F")</f>
        <v>F</v>
      </c>
      <c r="L673" t="str">
        <f>IF(StudentsTable[[#This Row],[AverageScore]]&gt;=60,"Pass","Fail")</f>
        <v>Fail</v>
      </c>
      <c r="M673" t="str" cm="1">
        <f t="array" ref="M673">_xlfn.IFS(StudentsTable[[#This Row],[AverageScore]]&gt;=85,"Advanced",StudentsTable[[#This Row],[AverageScore]]&gt;=70,"Intermediate",StudentsTable[[#This Row],[AverageScore]]&gt;=60,"Basic",TRUE,"Needs Help")</f>
        <v>Needs Help</v>
      </c>
      <c r="N673">
        <f>RANK(StudentsTable[[#This Row],[AverageScore]],StudentsTable[AverageScore])</f>
        <v>841</v>
      </c>
      <c r="O673">
        <f>(StudentsTable[[#This Row],[AverageScore]]-MIN(StudentsTable[AverageScore]))/(MAX(StudentsTable[AverageScore])-MIN(StudentsTable[AverageScore]))*100</f>
        <v>48.35164835164835</v>
      </c>
    </row>
    <row r="674" spans="1:15" x14ac:dyDescent="0.3">
      <c r="A674" t="s">
        <v>8</v>
      </c>
      <c r="B674" t="s">
        <v>13</v>
      </c>
      <c r="C674" t="s">
        <v>14</v>
      </c>
      <c r="D674" t="s">
        <v>11</v>
      </c>
      <c r="E674" t="s">
        <v>12</v>
      </c>
      <c r="F674">
        <v>69</v>
      </c>
      <c r="G674">
        <v>78</v>
      </c>
      <c r="H674">
        <v>76</v>
      </c>
      <c r="I674">
        <f>StudentsTable[[#This Row],[math score]]+StudentsTable[[#This Row],[reading score]]+StudentsTable[[#This Row],[writing score]]</f>
        <v>223</v>
      </c>
      <c r="J674">
        <f>StudentsTable[[#This Row],[TotalScore]]/3</f>
        <v>74.333333333333329</v>
      </c>
      <c r="K674" t="str" cm="1">
        <f t="array" ref="K674">_xlfn.IFS(StudentsTable[[#This Row],[AverageScore]]&gt;=90,"A",StudentsTable[[#This Row],[AverageScore]]&gt;=80,"B",StudentsTable[[#This Row],[AverageScore]]&gt;=70,"C",StudentsTable[[#This Row],[AverageScore]]&gt;=60,"D",TRUE,"F")</f>
        <v>C</v>
      </c>
      <c r="L674" t="str">
        <f>IF(StudentsTable[[#This Row],[AverageScore]]&gt;=60,"Pass","Fail")</f>
        <v>Pass</v>
      </c>
      <c r="M674" t="str" cm="1">
        <f t="array" ref="M674">_xlfn.IFS(StudentsTable[[#This Row],[AverageScore]]&gt;=85,"Advanced",StudentsTable[[#This Row],[AverageScore]]&gt;=70,"Intermediate",StudentsTable[[#This Row],[AverageScore]]&gt;=60,"Basic",TRUE,"Needs Help")</f>
        <v>Intermediate</v>
      </c>
      <c r="N674">
        <f>RANK(StudentsTable[[#This Row],[AverageScore]],StudentsTable[AverageScore])</f>
        <v>333</v>
      </c>
      <c r="O674">
        <f>(StudentsTable[[#This Row],[AverageScore]]-MIN(StudentsTable[AverageScore]))/(MAX(StudentsTable[AverageScore])-MIN(StudentsTable[AverageScore]))*100</f>
        <v>71.794871794871796</v>
      </c>
    </row>
    <row r="675" spans="1:15" x14ac:dyDescent="0.3">
      <c r="A675" t="s">
        <v>8</v>
      </c>
      <c r="B675" t="s">
        <v>13</v>
      </c>
      <c r="C675" t="s">
        <v>19</v>
      </c>
      <c r="D675" t="s">
        <v>11</v>
      </c>
      <c r="E675" t="s">
        <v>15</v>
      </c>
      <c r="F675">
        <v>65</v>
      </c>
      <c r="G675">
        <v>84</v>
      </c>
      <c r="H675">
        <v>84</v>
      </c>
      <c r="I675">
        <f>StudentsTable[[#This Row],[math score]]+StudentsTable[[#This Row],[reading score]]+StudentsTable[[#This Row],[writing score]]</f>
        <v>233</v>
      </c>
      <c r="J675">
        <f>StudentsTable[[#This Row],[TotalScore]]/3</f>
        <v>77.666666666666671</v>
      </c>
      <c r="K675" t="str" cm="1">
        <f t="array" ref="K675">_xlfn.IFS(StudentsTable[[#This Row],[AverageScore]]&gt;=90,"A",StudentsTable[[#This Row],[AverageScore]]&gt;=80,"B",StudentsTable[[#This Row],[AverageScore]]&gt;=70,"C",StudentsTable[[#This Row],[AverageScore]]&gt;=60,"D",TRUE,"F")</f>
        <v>C</v>
      </c>
      <c r="L675" t="str">
        <f>IF(StudentsTable[[#This Row],[AverageScore]]&gt;=60,"Pass","Fail")</f>
        <v>Pass</v>
      </c>
      <c r="M675" t="str" cm="1">
        <f t="array" ref="M675">_xlfn.IFS(StudentsTable[[#This Row],[AverageScore]]&gt;=85,"Advanced",StudentsTable[[#This Row],[AverageScore]]&gt;=70,"Intermediate",StudentsTable[[#This Row],[AverageScore]]&gt;=60,"Basic",TRUE,"Needs Help")</f>
        <v>Intermediate</v>
      </c>
      <c r="N675">
        <f>RANK(StudentsTable[[#This Row],[AverageScore]],StudentsTable[AverageScore])</f>
        <v>250</v>
      </c>
      <c r="O675">
        <f>(StudentsTable[[#This Row],[AverageScore]]-MIN(StudentsTable[AverageScore]))/(MAX(StudentsTable[AverageScore])-MIN(StudentsTable[AverageScore]))*100</f>
        <v>75.457875457875474</v>
      </c>
    </row>
    <row r="676" spans="1:15" x14ac:dyDescent="0.3">
      <c r="A676" t="s">
        <v>8</v>
      </c>
      <c r="B676" t="s">
        <v>21</v>
      </c>
      <c r="C676" t="s">
        <v>22</v>
      </c>
      <c r="D676" t="s">
        <v>11</v>
      </c>
      <c r="E676" t="s">
        <v>15</v>
      </c>
      <c r="F676">
        <v>69</v>
      </c>
      <c r="G676">
        <v>77</v>
      </c>
      <c r="H676">
        <v>78</v>
      </c>
      <c r="I676">
        <f>StudentsTable[[#This Row],[math score]]+StudentsTable[[#This Row],[reading score]]+StudentsTable[[#This Row],[writing score]]</f>
        <v>224</v>
      </c>
      <c r="J676">
        <f>StudentsTable[[#This Row],[TotalScore]]/3</f>
        <v>74.666666666666671</v>
      </c>
      <c r="K676" t="str" cm="1">
        <f t="array" ref="K676">_xlfn.IFS(StudentsTable[[#This Row],[AverageScore]]&gt;=90,"A",StudentsTable[[#This Row],[AverageScore]]&gt;=80,"B",StudentsTable[[#This Row],[AverageScore]]&gt;=70,"C",StudentsTable[[#This Row],[AverageScore]]&gt;=60,"D",TRUE,"F")</f>
        <v>C</v>
      </c>
      <c r="L676" t="str">
        <f>IF(StudentsTable[[#This Row],[AverageScore]]&gt;=60,"Pass","Fail")</f>
        <v>Pass</v>
      </c>
      <c r="M676" t="str" cm="1">
        <f t="array" ref="M676">_xlfn.IFS(StudentsTable[[#This Row],[AverageScore]]&gt;=85,"Advanced",StudentsTable[[#This Row],[AverageScore]]&gt;=70,"Intermediate",StudentsTable[[#This Row],[AverageScore]]&gt;=60,"Basic",TRUE,"Needs Help")</f>
        <v>Intermediate</v>
      </c>
      <c r="N676">
        <f>RANK(StudentsTable[[#This Row],[AverageScore]],StudentsTable[AverageScore])</f>
        <v>325</v>
      </c>
      <c r="O676">
        <f>(StudentsTable[[#This Row],[AverageScore]]-MIN(StudentsTable[AverageScore]))/(MAX(StudentsTable[AverageScore])-MIN(StudentsTable[AverageScore]))*100</f>
        <v>72.161172161172175</v>
      </c>
    </row>
    <row r="677" spans="1:15" x14ac:dyDescent="0.3">
      <c r="A677" t="s">
        <v>8</v>
      </c>
      <c r="B677" t="s">
        <v>9</v>
      </c>
      <c r="C677" t="s">
        <v>14</v>
      </c>
      <c r="D677" t="s">
        <v>11</v>
      </c>
      <c r="E677" t="s">
        <v>15</v>
      </c>
      <c r="F677">
        <v>50</v>
      </c>
      <c r="G677">
        <v>64</v>
      </c>
      <c r="H677">
        <v>66</v>
      </c>
      <c r="I677">
        <f>StudentsTable[[#This Row],[math score]]+StudentsTable[[#This Row],[reading score]]+StudentsTable[[#This Row],[writing score]]</f>
        <v>180</v>
      </c>
      <c r="J677">
        <f>StudentsTable[[#This Row],[TotalScore]]/3</f>
        <v>60</v>
      </c>
      <c r="K677" t="str" cm="1">
        <f t="array" ref="K677">_xlfn.IFS(StudentsTable[[#This Row],[AverageScore]]&gt;=90,"A",StudentsTable[[#This Row],[AverageScore]]&gt;=80,"B",StudentsTable[[#This Row],[AverageScore]]&gt;=70,"C",StudentsTable[[#This Row],[AverageScore]]&gt;=60,"D",TRUE,"F")</f>
        <v>D</v>
      </c>
      <c r="L677" t="str">
        <f>IF(StudentsTable[[#This Row],[AverageScore]]&gt;=60,"Pass","Fail")</f>
        <v>Pass</v>
      </c>
      <c r="M677" t="str" cm="1">
        <f t="array" ref="M677">_xlfn.IFS(StudentsTable[[#This Row],[AverageScore]]&gt;=85,"Advanced",StudentsTable[[#This Row],[AverageScore]]&gt;=70,"Intermediate",StudentsTable[[#This Row],[AverageScore]]&gt;=60,"Basic",TRUE,"Needs Help")</f>
        <v>Basic</v>
      </c>
      <c r="N677">
        <f>RANK(StudentsTable[[#This Row],[AverageScore]],StudentsTable[AverageScore])</f>
        <v>708</v>
      </c>
      <c r="O677">
        <f>(StudentsTable[[#This Row],[AverageScore]]-MIN(StudentsTable[AverageScore]))/(MAX(StudentsTable[AverageScore])-MIN(StudentsTable[AverageScore]))*100</f>
        <v>56.043956043956044</v>
      </c>
    </row>
    <row r="678" spans="1:15" x14ac:dyDescent="0.3">
      <c r="A678" t="s">
        <v>8</v>
      </c>
      <c r="B678" t="s">
        <v>24</v>
      </c>
      <c r="C678" t="s">
        <v>14</v>
      </c>
      <c r="D678" t="s">
        <v>11</v>
      </c>
      <c r="E678" t="s">
        <v>15</v>
      </c>
      <c r="F678">
        <v>73</v>
      </c>
      <c r="G678">
        <v>78</v>
      </c>
      <c r="H678">
        <v>76</v>
      </c>
      <c r="I678">
        <f>StudentsTable[[#This Row],[math score]]+StudentsTable[[#This Row],[reading score]]+StudentsTable[[#This Row],[writing score]]</f>
        <v>227</v>
      </c>
      <c r="J678">
        <f>StudentsTable[[#This Row],[TotalScore]]/3</f>
        <v>75.666666666666671</v>
      </c>
      <c r="K678" t="str" cm="1">
        <f t="array" ref="K678">_xlfn.IFS(StudentsTable[[#This Row],[AverageScore]]&gt;=90,"A",StudentsTable[[#This Row],[AverageScore]]&gt;=80,"B",StudentsTable[[#This Row],[AverageScore]]&gt;=70,"C",StudentsTable[[#This Row],[AverageScore]]&gt;=60,"D",TRUE,"F")</f>
        <v>C</v>
      </c>
      <c r="L678" t="str">
        <f>IF(StudentsTable[[#This Row],[AverageScore]]&gt;=60,"Pass","Fail")</f>
        <v>Pass</v>
      </c>
      <c r="M678" t="str" cm="1">
        <f t="array" ref="M678">_xlfn.IFS(StudentsTable[[#This Row],[AverageScore]]&gt;=85,"Advanced",StudentsTable[[#This Row],[AverageScore]]&gt;=70,"Intermediate",StudentsTable[[#This Row],[AverageScore]]&gt;=60,"Basic",TRUE,"Needs Help")</f>
        <v>Intermediate</v>
      </c>
      <c r="N678">
        <f>RANK(StudentsTable[[#This Row],[AverageScore]],StudentsTable[AverageScore])</f>
        <v>297</v>
      </c>
      <c r="O678">
        <f>(StudentsTable[[#This Row],[AverageScore]]-MIN(StudentsTable[AverageScore]))/(MAX(StudentsTable[AverageScore])-MIN(StudentsTable[AverageScore]))*100</f>
        <v>73.26007326007327</v>
      </c>
    </row>
    <row r="679" spans="1:15" x14ac:dyDescent="0.3">
      <c r="A679" t="s">
        <v>8</v>
      </c>
      <c r="B679" t="s">
        <v>13</v>
      </c>
      <c r="C679" t="s">
        <v>23</v>
      </c>
      <c r="D679" t="s">
        <v>11</v>
      </c>
      <c r="E679" t="s">
        <v>15</v>
      </c>
      <c r="F679">
        <v>70</v>
      </c>
      <c r="G679">
        <v>82</v>
      </c>
      <c r="H679">
        <v>76</v>
      </c>
      <c r="I679">
        <f>StudentsTable[[#This Row],[math score]]+StudentsTable[[#This Row],[reading score]]+StudentsTable[[#This Row],[writing score]]</f>
        <v>228</v>
      </c>
      <c r="J679">
        <f>StudentsTable[[#This Row],[TotalScore]]/3</f>
        <v>76</v>
      </c>
      <c r="K679" t="str" cm="1">
        <f t="array" ref="K679">_xlfn.IFS(StudentsTable[[#This Row],[AverageScore]]&gt;=90,"A",StudentsTable[[#This Row],[AverageScore]]&gt;=80,"B",StudentsTable[[#This Row],[AverageScore]]&gt;=70,"C",StudentsTable[[#This Row],[AverageScore]]&gt;=60,"D",TRUE,"F")</f>
        <v>C</v>
      </c>
      <c r="L679" t="str">
        <f>IF(StudentsTable[[#This Row],[AverageScore]]&gt;=60,"Pass","Fail")</f>
        <v>Pass</v>
      </c>
      <c r="M679" t="str" cm="1">
        <f t="array" ref="M679">_xlfn.IFS(StudentsTable[[#This Row],[AverageScore]]&gt;=85,"Advanced",StudentsTable[[#This Row],[AverageScore]]&gt;=70,"Intermediate",StudentsTable[[#This Row],[AverageScore]]&gt;=60,"Basic",TRUE,"Needs Help")</f>
        <v>Intermediate</v>
      </c>
      <c r="N679">
        <f>RANK(StudentsTable[[#This Row],[AverageScore]],StudentsTable[AverageScore])</f>
        <v>288</v>
      </c>
      <c r="O679">
        <f>(StudentsTable[[#This Row],[AverageScore]]-MIN(StudentsTable[AverageScore]))/(MAX(StudentsTable[AverageScore])-MIN(StudentsTable[AverageScore]))*100</f>
        <v>73.626373626373635</v>
      </c>
    </row>
    <row r="680" spans="1:15" x14ac:dyDescent="0.3">
      <c r="A680" t="s">
        <v>17</v>
      </c>
      <c r="B680" t="s">
        <v>21</v>
      </c>
      <c r="C680" t="s">
        <v>19</v>
      </c>
      <c r="D680" t="s">
        <v>20</v>
      </c>
      <c r="E680" t="s">
        <v>12</v>
      </c>
      <c r="F680">
        <v>81</v>
      </c>
      <c r="G680">
        <v>75</v>
      </c>
      <c r="H680">
        <v>78</v>
      </c>
      <c r="I680">
        <f>StudentsTable[[#This Row],[math score]]+StudentsTable[[#This Row],[reading score]]+StudentsTable[[#This Row],[writing score]]</f>
        <v>234</v>
      </c>
      <c r="J680">
        <f>StudentsTable[[#This Row],[TotalScore]]/3</f>
        <v>78</v>
      </c>
      <c r="K680" t="str" cm="1">
        <f t="array" ref="K680">_xlfn.IFS(StudentsTable[[#This Row],[AverageScore]]&gt;=90,"A",StudentsTable[[#This Row],[AverageScore]]&gt;=80,"B",StudentsTable[[#This Row],[AverageScore]]&gt;=70,"C",StudentsTable[[#This Row],[AverageScore]]&gt;=60,"D",TRUE,"F")</f>
        <v>C</v>
      </c>
      <c r="L680" t="str">
        <f>IF(StudentsTable[[#This Row],[AverageScore]]&gt;=60,"Pass","Fail")</f>
        <v>Pass</v>
      </c>
      <c r="M680" t="str" cm="1">
        <f t="array" ref="M680">_xlfn.IFS(StudentsTable[[#This Row],[AverageScore]]&gt;=85,"Advanced",StudentsTable[[#This Row],[AverageScore]]&gt;=70,"Intermediate",StudentsTable[[#This Row],[AverageScore]]&gt;=60,"Basic",TRUE,"Needs Help")</f>
        <v>Intermediate</v>
      </c>
      <c r="N680">
        <f>RANK(StudentsTable[[#This Row],[AverageScore]],StudentsTable[AverageScore])</f>
        <v>240</v>
      </c>
      <c r="O680">
        <f>(StudentsTable[[#This Row],[AverageScore]]-MIN(StudentsTable[AverageScore]))/(MAX(StudentsTable[AverageScore])-MIN(StudentsTable[AverageScore]))*100</f>
        <v>75.824175824175825</v>
      </c>
    </row>
    <row r="681" spans="1:15" x14ac:dyDescent="0.3">
      <c r="A681" t="s">
        <v>17</v>
      </c>
      <c r="B681" t="s">
        <v>21</v>
      </c>
      <c r="C681" t="s">
        <v>14</v>
      </c>
      <c r="D681" t="s">
        <v>20</v>
      </c>
      <c r="E681" t="s">
        <v>12</v>
      </c>
      <c r="F681">
        <v>63</v>
      </c>
      <c r="G681">
        <v>61</v>
      </c>
      <c r="H681">
        <v>60</v>
      </c>
      <c r="I681">
        <f>StudentsTable[[#This Row],[math score]]+StudentsTable[[#This Row],[reading score]]+StudentsTable[[#This Row],[writing score]]</f>
        <v>184</v>
      </c>
      <c r="J681">
        <f>StudentsTable[[#This Row],[TotalScore]]/3</f>
        <v>61.333333333333336</v>
      </c>
      <c r="K681" t="str" cm="1">
        <f t="array" ref="K681">_xlfn.IFS(StudentsTable[[#This Row],[AverageScore]]&gt;=90,"A",StudentsTable[[#This Row],[AverageScore]]&gt;=80,"B",StudentsTable[[#This Row],[AverageScore]]&gt;=70,"C",StudentsTable[[#This Row],[AverageScore]]&gt;=60,"D",TRUE,"F")</f>
        <v>D</v>
      </c>
      <c r="L681" t="str">
        <f>IF(StudentsTable[[#This Row],[AverageScore]]&gt;=60,"Pass","Fail")</f>
        <v>Pass</v>
      </c>
      <c r="M681" t="str" cm="1">
        <f t="array" ref="M681">_xlfn.IFS(StudentsTable[[#This Row],[AverageScore]]&gt;=85,"Advanced",StudentsTable[[#This Row],[AverageScore]]&gt;=70,"Intermediate",StudentsTable[[#This Row],[AverageScore]]&gt;=60,"Basic",TRUE,"Needs Help")</f>
        <v>Basic</v>
      </c>
      <c r="N681">
        <f>RANK(StudentsTable[[#This Row],[AverageScore]],StudentsTable[AverageScore])</f>
        <v>678</v>
      </c>
      <c r="O681">
        <f>(StudentsTable[[#This Row],[AverageScore]]-MIN(StudentsTable[AverageScore]))/(MAX(StudentsTable[AverageScore])-MIN(StudentsTable[AverageScore]))*100</f>
        <v>57.509157509157518</v>
      </c>
    </row>
    <row r="682" spans="1:15" x14ac:dyDescent="0.3">
      <c r="A682" t="s">
        <v>8</v>
      </c>
      <c r="B682" t="s">
        <v>21</v>
      </c>
      <c r="C682" t="s">
        <v>22</v>
      </c>
      <c r="D682" t="s">
        <v>11</v>
      </c>
      <c r="E682" t="s">
        <v>12</v>
      </c>
      <c r="F682">
        <v>67</v>
      </c>
      <c r="G682">
        <v>72</v>
      </c>
      <c r="H682">
        <v>74</v>
      </c>
      <c r="I682">
        <f>StudentsTable[[#This Row],[math score]]+StudentsTable[[#This Row],[reading score]]+StudentsTable[[#This Row],[writing score]]</f>
        <v>213</v>
      </c>
      <c r="J682">
        <f>StudentsTable[[#This Row],[TotalScore]]/3</f>
        <v>71</v>
      </c>
      <c r="K682" t="str" cm="1">
        <f t="array" ref="K682">_xlfn.IFS(StudentsTable[[#This Row],[AverageScore]]&gt;=90,"A",StudentsTable[[#This Row],[AverageScore]]&gt;=80,"B",StudentsTable[[#This Row],[AverageScore]]&gt;=70,"C",StudentsTable[[#This Row],[AverageScore]]&gt;=60,"D",TRUE,"F")</f>
        <v>C</v>
      </c>
      <c r="L682" t="str">
        <f>IF(StudentsTable[[#This Row],[AverageScore]]&gt;=60,"Pass","Fail")</f>
        <v>Pass</v>
      </c>
      <c r="M682" t="str" cm="1">
        <f t="array" ref="M682">_xlfn.IFS(StudentsTable[[#This Row],[AverageScore]]&gt;=85,"Advanced",StudentsTable[[#This Row],[AverageScore]]&gt;=70,"Intermediate",StudentsTable[[#This Row],[AverageScore]]&gt;=60,"Basic",TRUE,"Needs Help")</f>
        <v>Intermediate</v>
      </c>
      <c r="N682">
        <f>RANK(StudentsTable[[#This Row],[AverageScore]],StudentsTable[AverageScore])</f>
        <v>424</v>
      </c>
      <c r="O682">
        <f>(StudentsTable[[#This Row],[AverageScore]]-MIN(StudentsTable[AverageScore]))/(MAX(StudentsTable[AverageScore])-MIN(StudentsTable[AverageScore]))*100</f>
        <v>68.131868131868131</v>
      </c>
    </row>
    <row r="683" spans="1:15" x14ac:dyDescent="0.3">
      <c r="A683" t="s">
        <v>17</v>
      </c>
      <c r="B683" t="s">
        <v>9</v>
      </c>
      <c r="C683" t="s">
        <v>22</v>
      </c>
      <c r="D683" t="s">
        <v>11</v>
      </c>
      <c r="E683" t="s">
        <v>12</v>
      </c>
      <c r="F683">
        <v>60</v>
      </c>
      <c r="G683">
        <v>68</v>
      </c>
      <c r="H683">
        <v>60</v>
      </c>
      <c r="I683">
        <f>StudentsTable[[#This Row],[math score]]+StudentsTable[[#This Row],[reading score]]+StudentsTable[[#This Row],[writing score]]</f>
        <v>188</v>
      </c>
      <c r="J683">
        <f>StudentsTable[[#This Row],[TotalScore]]/3</f>
        <v>62.666666666666664</v>
      </c>
      <c r="K683" t="str" cm="1">
        <f t="array" ref="K683">_xlfn.IFS(StudentsTable[[#This Row],[AverageScore]]&gt;=90,"A",StudentsTable[[#This Row],[AverageScore]]&gt;=80,"B",StudentsTable[[#This Row],[AverageScore]]&gt;=70,"C",StudentsTable[[#This Row],[AverageScore]]&gt;=60,"D",TRUE,"F")</f>
        <v>D</v>
      </c>
      <c r="L683" t="str">
        <f>IF(StudentsTable[[#This Row],[AverageScore]]&gt;=60,"Pass","Fail")</f>
        <v>Pass</v>
      </c>
      <c r="M683" t="str" cm="1">
        <f t="array" ref="M683">_xlfn.IFS(StudentsTable[[#This Row],[AverageScore]]&gt;=85,"Advanced",StudentsTable[[#This Row],[AverageScore]]&gt;=70,"Intermediate",StudentsTable[[#This Row],[AverageScore]]&gt;=60,"Basic",TRUE,"Needs Help")</f>
        <v>Basic</v>
      </c>
      <c r="N683">
        <f>RANK(StudentsTable[[#This Row],[AverageScore]],StudentsTable[AverageScore])</f>
        <v>653</v>
      </c>
      <c r="O683">
        <f>(StudentsTable[[#This Row],[AverageScore]]-MIN(StudentsTable[AverageScore]))/(MAX(StudentsTable[AverageScore])-MIN(StudentsTable[AverageScore]))*100</f>
        <v>58.974358974358978</v>
      </c>
    </row>
    <row r="684" spans="1:15" x14ac:dyDescent="0.3">
      <c r="A684" t="s">
        <v>17</v>
      </c>
      <c r="B684" t="s">
        <v>9</v>
      </c>
      <c r="C684" t="s">
        <v>22</v>
      </c>
      <c r="D684" t="s">
        <v>11</v>
      </c>
      <c r="E684" t="s">
        <v>12</v>
      </c>
      <c r="F684">
        <v>62</v>
      </c>
      <c r="G684">
        <v>55</v>
      </c>
      <c r="H684">
        <v>54</v>
      </c>
      <c r="I684">
        <f>StudentsTable[[#This Row],[math score]]+StudentsTable[[#This Row],[reading score]]+StudentsTable[[#This Row],[writing score]]</f>
        <v>171</v>
      </c>
      <c r="J684">
        <f>StudentsTable[[#This Row],[TotalScore]]/3</f>
        <v>57</v>
      </c>
      <c r="K684" t="str" cm="1">
        <f t="array" ref="K684">_xlfn.IFS(StudentsTable[[#This Row],[AverageScore]]&gt;=90,"A",StudentsTable[[#This Row],[AverageScore]]&gt;=80,"B",StudentsTable[[#This Row],[AverageScore]]&gt;=70,"C",StudentsTable[[#This Row],[AverageScore]]&gt;=60,"D",TRUE,"F")</f>
        <v>F</v>
      </c>
      <c r="L684" t="str">
        <f>IF(StudentsTable[[#This Row],[AverageScore]]&gt;=60,"Pass","Fail")</f>
        <v>Fail</v>
      </c>
      <c r="M684" t="str" cm="1">
        <f t="array" ref="M684">_xlfn.IFS(StudentsTable[[#This Row],[AverageScore]]&gt;=85,"Advanced",StudentsTable[[#This Row],[AverageScore]]&gt;=70,"Intermediate",StudentsTable[[#This Row],[AverageScore]]&gt;=60,"Basic",TRUE,"Needs Help")</f>
        <v>Needs Help</v>
      </c>
      <c r="N684">
        <f>RANK(StudentsTable[[#This Row],[AverageScore]],StudentsTable[AverageScore])</f>
        <v>772</v>
      </c>
      <c r="O684">
        <f>(StudentsTable[[#This Row],[AverageScore]]-MIN(StudentsTable[AverageScore]))/(MAX(StudentsTable[AverageScore])-MIN(StudentsTable[AverageScore]))*100</f>
        <v>52.747252747252752</v>
      </c>
    </row>
    <row r="685" spans="1:15" x14ac:dyDescent="0.3">
      <c r="A685" t="s">
        <v>8</v>
      </c>
      <c r="B685" t="s">
        <v>13</v>
      </c>
      <c r="C685" t="s">
        <v>23</v>
      </c>
      <c r="D685" t="s">
        <v>20</v>
      </c>
      <c r="E685" t="s">
        <v>15</v>
      </c>
      <c r="F685">
        <v>29</v>
      </c>
      <c r="G685">
        <v>40</v>
      </c>
      <c r="H685">
        <v>44</v>
      </c>
      <c r="I685">
        <f>StudentsTable[[#This Row],[math score]]+StudentsTable[[#This Row],[reading score]]+StudentsTable[[#This Row],[writing score]]</f>
        <v>113</v>
      </c>
      <c r="J685">
        <f>StudentsTable[[#This Row],[TotalScore]]/3</f>
        <v>37.666666666666664</v>
      </c>
      <c r="K685" t="str" cm="1">
        <f t="array" ref="K685">_xlfn.IFS(StudentsTable[[#This Row],[AverageScore]]&gt;=90,"A",StudentsTable[[#This Row],[AverageScore]]&gt;=80,"B",StudentsTable[[#This Row],[AverageScore]]&gt;=70,"C",StudentsTable[[#This Row],[AverageScore]]&gt;=60,"D",TRUE,"F")</f>
        <v>F</v>
      </c>
      <c r="L685" t="str">
        <f>IF(StudentsTable[[#This Row],[AverageScore]]&gt;=60,"Pass","Fail")</f>
        <v>Fail</v>
      </c>
      <c r="M685" t="str" cm="1">
        <f t="array" ref="M685">_xlfn.IFS(StudentsTable[[#This Row],[AverageScore]]&gt;=85,"Advanced",StudentsTable[[#This Row],[AverageScore]]&gt;=70,"Intermediate",StudentsTable[[#This Row],[AverageScore]]&gt;=60,"Basic",TRUE,"Needs Help")</f>
        <v>Needs Help</v>
      </c>
      <c r="N685">
        <f>RANK(StudentsTable[[#This Row],[AverageScore]],StudentsTable[AverageScore])</f>
        <v>981</v>
      </c>
      <c r="O685">
        <f>(StudentsTable[[#This Row],[AverageScore]]-MIN(StudentsTable[AverageScore]))/(MAX(StudentsTable[AverageScore])-MIN(StudentsTable[AverageScore]))*100</f>
        <v>31.5018315018315</v>
      </c>
    </row>
    <row r="686" spans="1:15" x14ac:dyDescent="0.3">
      <c r="A686" t="s">
        <v>17</v>
      </c>
      <c r="B686" t="s">
        <v>9</v>
      </c>
      <c r="C686" t="s">
        <v>14</v>
      </c>
      <c r="D686" t="s">
        <v>11</v>
      </c>
      <c r="E686" t="s">
        <v>15</v>
      </c>
      <c r="F686">
        <v>62</v>
      </c>
      <c r="G686">
        <v>66</v>
      </c>
      <c r="H686">
        <v>68</v>
      </c>
      <c r="I686">
        <f>StudentsTable[[#This Row],[math score]]+StudentsTable[[#This Row],[reading score]]+StudentsTable[[#This Row],[writing score]]</f>
        <v>196</v>
      </c>
      <c r="J686">
        <f>StudentsTable[[#This Row],[TotalScore]]/3</f>
        <v>65.333333333333329</v>
      </c>
      <c r="K686" t="str" cm="1">
        <f t="array" ref="K686">_xlfn.IFS(StudentsTable[[#This Row],[AverageScore]]&gt;=90,"A",StudentsTable[[#This Row],[AverageScore]]&gt;=80,"B",StudentsTable[[#This Row],[AverageScore]]&gt;=70,"C",StudentsTable[[#This Row],[AverageScore]]&gt;=60,"D",TRUE,"F")</f>
        <v>D</v>
      </c>
      <c r="L686" t="str">
        <f>IF(StudentsTable[[#This Row],[AverageScore]]&gt;=60,"Pass","Fail")</f>
        <v>Pass</v>
      </c>
      <c r="M686" t="str" cm="1">
        <f t="array" ref="M686">_xlfn.IFS(StudentsTable[[#This Row],[AverageScore]]&gt;=85,"Advanced",StudentsTable[[#This Row],[AverageScore]]&gt;=70,"Intermediate",StudentsTable[[#This Row],[AverageScore]]&gt;=60,"Basic",TRUE,"Needs Help")</f>
        <v>Basic</v>
      </c>
      <c r="N686">
        <f>RANK(StudentsTable[[#This Row],[AverageScore]],StudentsTable[AverageScore])</f>
        <v>584</v>
      </c>
      <c r="O686">
        <f>(StudentsTable[[#This Row],[AverageScore]]-MIN(StudentsTable[AverageScore]))/(MAX(StudentsTable[AverageScore])-MIN(StudentsTable[AverageScore]))*100</f>
        <v>61.904761904761898</v>
      </c>
    </row>
    <row r="687" spans="1:15" x14ac:dyDescent="0.3">
      <c r="A687" t="s">
        <v>8</v>
      </c>
      <c r="B687" t="s">
        <v>24</v>
      </c>
      <c r="C687" t="s">
        <v>16</v>
      </c>
      <c r="D687" t="s">
        <v>11</v>
      </c>
      <c r="E687" t="s">
        <v>15</v>
      </c>
      <c r="F687">
        <v>94</v>
      </c>
      <c r="G687">
        <v>99</v>
      </c>
      <c r="H687">
        <v>100</v>
      </c>
      <c r="I687">
        <f>StudentsTable[[#This Row],[math score]]+StudentsTable[[#This Row],[reading score]]+StudentsTable[[#This Row],[writing score]]</f>
        <v>293</v>
      </c>
      <c r="J687">
        <f>StudentsTable[[#This Row],[TotalScore]]/3</f>
        <v>97.666666666666671</v>
      </c>
      <c r="K687" t="str" cm="1">
        <f t="array" ref="K687">_xlfn.IFS(StudentsTable[[#This Row],[AverageScore]]&gt;=90,"A",StudentsTable[[#This Row],[AverageScore]]&gt;=80,"B",StudentsTable[[#This Row],[AverageScore]]&gt;=70,"C",StudentsTable[[#This Row],[AverageScore]]&gt;=60,"D",TRUE,"F")</f>
        <v>A</v>
      </c>
      <c r="L687" t="str">
        <f>IF(StudentsTable[[#This Row],[AverageScore]]&gt;=60,"Pass","Fail")</f>
        <v>Pass</v>
      </c>
      <c r="M687" t="str" cm="1">
        <f t="array" ref="M687">_xlfn.IFS(StudentsTable[[#This Row],[AverageScore]]&gt;=85,"Advanced",StudentsTable[[#This Row],[AverageScore]]&gt;=70,"Intermediate",StudentsTable[[#This Row],[AverageScore]]&gt;=60,"Basic",TRUE,"Needs Help")</f>
        <v>Advanced</v>
      </c>
      <c r="N687">
        <f>RANK(StudentsTable[[#This Row],[AverageScore]],StudentsTable[AverageScore])</f>
        <v>9</v>
      </c>
      <c r="O687">
        <f>(StudentsTable[[#This Row],[AverageScore]]-MIN(StudentsTable[AverageScore]))/(MAX(StudentsTable[AverageScore])-MIN(StudentsTable[AverageScore]))*100</f>
        <v>97.435897435897445</v>
      </c>
    </row>
    <row r="688" spans="1:15" x14ac:dyDescent="0.3">
      <c r="A688" t="s">
        <v>17</v>
      </c>
      <c r="B688" t="s">
        <v>24</v>
      </c>
      <c r="C688" t="s">
        <v>14</v>
      </c>
      <c r="D688" t="s">
        <v>11</v>
      </c>
      <c r="E688" t="s">
        <v>15</v>
      </c>
      <c r="F688">
        <v>85</v>
      </c>
      <c r="G688">
        <v>75</v>
      </c>
      <c r="H688">
        <v>68</v>
      </c>
      <c r="I688">
        <f>StudentsTable[[#This Row],[math score]]+StudentsTable[[#This Row],[reading score]]+StudentsTable[[#This Row],[writing score]]</f>
        <v>228</v>
      </c>
      <c r="J688">
        <f>StudentsTable[[#This Row],[TotalScore]]/3</f>
        <v>76</v>
      </c>
      <c r="K688" t="str" cm="1">
        <f t="array" ref="K688">_xlfn.IFS(StudentsTable[[#This Row],[AverageScore]]&gt;=90,"A",StudentsTable[[#This Row],[AverageScore]]&gt;=80,"B",StudentsTable[[#This Row],[AverageScore]]&gt;=70,"C",StudentsTable[[#This Row],[AverageScore]]&gt;=60,"D",TRUE,"F")</f>
        <v>C</v>
      </c>
      <c r="L688" t="str">
        <f>IF(StudentsTable[[#This Row],[AverageScore]]&gt;=60,"Pass","Fail")</f>
        <v>Pass</v>
      </c>
      <c r="M688" t="str" cm="1">
        <f t="array" ref="M688">_xlfn.IFS(StudentsTable[[#This Row],[AverageScore]]&gt;=85,"Advanced",StudentsTable[[#This Row],[AverageScore]]&gt;=70,"Intermediate",StudentsTable[[#This Row],[AverageScore]]&gt;=60,"Basic",TRUE,"Needs Help")</f>
        <v>Intermediate</v>
      </c>
      <c r="N688">
        <f>RANK(StudentsTable[[#This Row],[AverageScore]],StudentsTable[AverageScore])</f>
        <v>288</v>
      </c>
      <c r="O688">
        <f>(StudentsTable[[#This Row],[AverageScore]]-MIN(StudentsTable[AverageScore]))/(MAX(StudentsTable[AverageScore])-MIN(StudentsTable[AverageScore]))*100</f>
        <v>73.626373626373635</v>
      </c>
    </row>
    <row r="689" spans="1:15" x14ac:dyDescent="0.3">
      <c r="A689" t="s">
        <v>17</v>
      </c>
      <c r="B689" t="s">
        <v>21</v>
      </c>
      <c r="C689" t="s">
        <v>19</v>
      </c>
      <c r="D689" t="s">
        <v>20</v>
      </c>
      <c r="E689" t="s">
        <v>12</v>
      </c>
      <c r="F689">
        <v>77</v>
      </c>
      <c r="G689">
        <v>78</v>
      </c>
      <c r="H689">
        <v>73</v>
      </c>
      <c r="I689">
        <f>StudentsTable[[#This Row],[math score]]+StudentsTable[[#This Row],[reading score]]+StudentsTable[[#This Row],[writing score]]</f>
        <v>228</v>
      </c>
      <c r="J689">
        <f>StudentsTable[[#This Row],[TotalScore]]/3</f>
        <v>76</v>
      </c>
      <c r="K689" t="str" cm="1">
        <f t="array" ref="K689">_xlfn.IFS(StudentsTable[[#This Row],[AverageScore]]&gt;=90,"A",StudentsTable[[#This Row],[AverageScore]]&gt;=80,"B",StudentsTable[[#This Row],[AverageScore]]&gt;=70,"C",StudentsTable[[#This Row],[AverageScore]]&gt;=60,"D",TRUE,"F")</f>
        <v>C</v>
      </c>
      <c r="L689" t="str">
        <f>IF(StudentsTable[[#This Row],[AverageScore]]&gt;=60,"Pass","Fail")</f>
        <v>Pass</v>
      </c>
      <c r="M689" t="str" cm="1">
        <f t="array" ref="M689">_xlfn.IFS(StudentsTable[[#This Row],[AverageScore]]&gt;=85,"Advanced",StudentsTable[[#This Row],[AverageScore]]&gt;=70,"Intermediate",StudentsTable[[#This Row],[AverageScore]]&gt;=60,"Basic",TRUE,"Needs Help")</f>
        <v>Intermediate</v>
      </c>
      <c r="N689">
        <f>RANK(StudentsTable[[#This Row],[AverageScore]],StudentsTable[AverageScore])</f>
        <v>288</v>
      </c>
      <c r="O689">
        <f>(StudentsTable[[#This Row],[AverageScore]]-MIN(StudentsTable[AverageScore]))/(MAX(StudentsTable[AverageScore])-MIN(StudentsTable[AverageScore]))*100</f>
        <v>73.626373626373635</v>
      </c>
    </row>
    <row r="690" spans="1:15" x14ac:dyDescent="0.3">
      <c r="A690" t="s">
        <v>17</v>
      </c>
      <c r="B690" t="s">
        <v>18</v>
      </c>
      <c r="C690" t="s">
        <v>22</v>
      </c>
      <c r="D690" t="s">
        <v>20</v>
      </c>
      <c r="E690" t="s">
        <v>12</v>
      </c>
      <c r="F690">
        <v>53</v>
      </c>
      <c r="G690">
        <v>58</v>
      </c>
      <c r="H690">
        <v>44</v>
      </c>
      <c r="I690">
        <f>StudentsTable[[#This Row],[math score]]+StudentsTable[[#This Row],[reading score]]+StudentsTable[[#This Row],[writing score]]</f>
        <v>155</v>
      </c>
      <c r="J690">
        <f>StudentsTable[[#This Row],[TotalScore]]/3</f>
        <v>51.666666666666664</v>
      </c>
      <c r="K690" t="str" cm="1">
        <f t="array" ref="K690">_xlfn.IFS(StudentsTable[[#This Row],[AverageScore]]&gt;=90,"A",StudentsTable[[#This Row],[AverageScore]]&gt;=80,"B",StudentsTable[[#This Row],[AverageScore]]&gt;=70,"C",StudentsTable[[#This Row],[AverageScore]]&gt;=60,"D",TRUE,"F")</f>
        <v>F</v>
      </c>
      <c r="L690" t="str">
        <f>IF(StudentsTable[[#This Row],[AverageScore]]&gt;=60,"Pass","Fail")</f>
        <v>Fail</v>
      </c>
      <c r="M690" t="str" cm="1">
        <f t="array" ref="M690">_xlfn.IFS(StudentsTable[[#This Row],[AverageScore]]&gt;=85,"Advanced",StudentsTable[[#This Row],[AverageScore]]&gt;=70,"Intermediate",StudentsTable[[#This Row],[AverageScore]]&gt;=60,"Basic",TRUE,"Needs Help")</f>
        <v>Needs Help</v>
      </c>
      <c r="N690">
        <f>RANK(StudentsTable[[#This Row],[AverageScore]],StudentsTable[AverageScore])</f>
        <v>860</v>
      </c>
      <c r="O690">
        <f>(StudentsTable[[#This Row],[AverageScore]]-MIN(StudentsTable[AverageScore]))/(MAX(StudentsTable[AverageScore])-MIN(StudentsTable[AverageScore]))*100</f>
        <v>46.886446886446883</v>
      </c>
    </row>
    <row r="691" spans="1:15" x14ac:dyDescent="0.3">
      <c r="A691" t="s">
        <v>17</v>
      </c>
      <c r="B691" t="s">
        <v>24</v>
      </c>
      <c r="C691" t="s">
        <v>14</v>
      </c>
      <c r="D691" t="s">
        <v>20</v>
      </c>
      <c r="E691" t="s">
        <v>12</v>
      </c>
      <c r="F691">
        <v>93</v>
      </c>
      <c r="G691">
        <v>90</v>
      </c>
      <c r="H691">
        <v>83</v>
      </c>
      <c r="I691">
        <f>StudentsTable[[#This Row],[math score]]+StudentsTable[[#This Row],[reading score]]+StudentsTable[[#This Row],[writing score]]</f>
        <v>266</v>
      </c>
      <c r="J691">
        <f>StudentsTable[[#This Row],[TotalScore]]/3</f>
        <v>88.666666666666671</v>
      </c>
      <c r="K691" t="str" cm="1">
        <f t="array" ref="K691">_xlfn.IFS(StudentsTable[[#This Row],[AverageScore]]&gt;=90,"A",StudentsTable[[#This Row],[AverageScore]]&gt;=80,"B",StudentsTable[[#This Row],[AverageScore]]&gt;=70,"C",StudentsTable[[#This Row],[AverageScore]]&gt;=60,"D",TRUE,"F")</f>
        <v>B</v>
      </c>
      <c r="L691" t="str">
        <f>IF(StudentsTable[[#This Row],[AverageScore]]&gt;=60,"Pass","Fail")</f>
        <v>Pass</v>
      </c>
      <c r="M691" t="str" cm="1">
        <f t="array" ref="M691">_xlfn.IFS(StudentsTable[[#This Row],[AverageScore]]&gt;=85,"Advanced",StudentsTable[[#This Row],[AverageScore]]&gt;=70,"Intermediate",StudentsTable[[#This Row],[AverageScore]]&gt;=60,"Basic",TRUE,"Needs Help")</f>
        <v>Advanced</v>
      </c>
      <c r="N691">
        <f>RANK(StudentsTable[[#This Row],[AverageScore]],StudentsTable[AverageScore])</f>
        <v>64</v>
      </c>
      <c r="O691">
        <f>(StudentsTable[[#This Row],[AverageScore]]-MIN(StudentsTable[AverageScore]))/(MAX(StudentsTable[AverageScore])-MIN(StudentsTable[AverageScore]))*100</f>
        <v>87.545787545787547</v>
      </c>
    </row>
    <row r="692" spans="1:15" x14ac:dyDescent="0.3">
      <c r="A692" t="s">
        <v>8</v>
      </c>
      <c r="B692" t="s">
        <v>13</v>
      </c>
      <c r="C692" t="s">
        <v>19</v>
      </c>
      <c r="D692" t="s">
        <v>11</v>
      </c>
      <c r="E692" t="s">
        <v>12</v>
      </c>
      <c r="F692">
        <v>49</v>
      </c>
      <c r="G692">
        <v>53</v>
      </c>
      <c r="H692">
        <v>53</v>
      </c>
      <c r="I692">
        <f>StudentsTable[[#This Row],[math score]]+StudentsTable[[#This Row],[reading score]]+StudentsTable[[#This Row],[writing score]]</f>
        <v>155</v>
      </c>
      <c r="J692">
        <f>StudentsTable[[#This Row],[TotalScore]]/3</f>
        <v>51.666666666666664</v>
      </c>
      <c r="K692" t="str" cm="1">
        <f t="array" ref="K692">_xlfn.IFS(StudentsTable[[#This Row],[AverageScore]]&gt;=90,"A",StudentsTable[[#This Row],[AverageScore]]&gt;=80,"B",StudentsTable[[#This Row],[AverageScore]]&gt;=70,"C",StudentsTable[[#This Row],[AverageScore]]&gt;=60,"D",TRUE,"F")</f>
        <v>F</v>
      </c>
      <c r="L692" t="str">
        <f>IF(StudentsTable[[#This Row],[AverageScore]]&gt;=60,"Pass","Fail")</f>
        <v>Fail</v>
      </c>
      <c r="M692" t="str" cm="1">
        <f t="array" ref="M692">_xlfn.IFS(StudentsTable[[#This Row],[AverageScore]]&gt;=85,"Advanced",StudentsTable[[#This Row],[AverageScore]]&gt;=70,"Intermediate",StudentsTable[[#This Row],[AverageScore]]&gt;=60,"Basic",TRUE,"Needs Help")</f>
        <v>Needs Help</v>
      </c>
      <c r="N692">
        <f>RANK(StudentsTable[[#This Row],[AverageScore]],StudentsTable[AverageScore])</f>
        <v>860</v>
      </c>
      <c r="O692">
        <f>(StudentsTable[[#This Row],[AverageScore]]-MIN(StudentsTable[AverageScore]))/(MAX(StudentsTable[AverageScore])-MIN(StudentsTable[AverageScore]))*100</f>
        <v>46.886446886446883</v>
      </c>
    </row>
    <row r="693" spans="1:15" x14ac:dyDescent="0.3">
      <c r="A693" t="s">
        <v>8</v>
      </c>
      <c r="B693" t="s">
        <v>24</v>
      </c>
      <c r="C693" t="s">
        <v>19</v>
      </c>
      <c r="D693" t="s">
        <v>20</v>
      </c>
      <c r="E693" t="s">
        <v>12</v>
      </c>
      <c r="F693">
        <v>73</v>
      </c>
      <c r="G693">
        <v>76</v>
      </c>
      <c r="H693">
        <v>78</v>
      </c>
      <c r="I693">
        <f>StudentsTable[[#This Row],[math score]]+StudentsTable[[#This Row],[reading score]]+StudentsTable[[#This Row],[writing score]]</f>
        <v>227</v>
      </c>
      <c r="J693">
        <f>StudentsTable[[#This Row],[TotalScore]]/3</f>
        <v>75.666666666666671</v>
      </c>
      <c r="K693" t="str" cm="1">
        <f t="array" ref="K693">_xlfn.IFS(StudentsTable[[#This Row],[AverageScore]]&gt;=90,"A",StudentsTable[[#This Row],[AverageScore]]&gt;=80,"B",StudentsTable[[#This Row],[AverageScore]]&gt;=70,"C",StudentsTable[[#This Row],[AverageScore]]&gt;=60,"D",TRUE,"F")</f>
        <v>C</v>
      </c>
      <c r="L693" t="str">
        <f>IF(StudentsTable[[#This Row],[AverageScore]]&gt;=60,"Pass","Fail")</f>
        <v>Pass</v>
      </c>
      <c r="M693" t="str" cm="1">
        <f t="array" ref="M693">_xlfn.IFS(StudentsTable[[#This Row],[AverageScore]]&gt;=85,"Advanced",StudentsTable[[#This Row],[AverageScore]]&gt;=70,"Intermediate",StudentsTable[[#This Row],[AverageScore]]&gt;=60,"Basic",TRUE,"Needs Help")</f>
        <v>Intermediate</v>
      </c>
      <c r="N693">
        <f>RANK(StudentsTable[[#This Row],[AverageScore]],StudentsTable[AverageScore])</f>
        <v>297</v>
      </c>
      <c r="O693">
        <f>(StudentsTable[[#This Row],[AverageScore]]-MIN(StudentsTable[AverageScore]))/(MAX(StudentsTable[AverageScore])-MIN(StudentsTable[AverageScore]))*100</f>
        <v>73.26007326007327</v>
      </c>
    </row>
    <row r="694" spans="1:15" x14ac:dyDescent="0.3">
      <c r="A694" t="s">
        <v>8</v>
      </c>
      <c r="B694" t="s">
        <v>13</v>
      </c>
      <c r="C694" t="s">
        <v>10</v>
      </c>
      <c r="D694" t="s">
        <v>20</v>
      </c>
      <c r="E694" t="s">
        <v>15</v>
      </c>
      <c r="F694">
        <v>66</v>
      </c>
      <c r="G694">
        <v>74</v>
      </c>
      <c r="H694">
        <v>81</v>
      </c>
      <c r="I694">
        <f>StudentsTable[[#This Row],[math score]]+StudentsTable[[#This Row],[reading score]]+StudentsTable[[#This Row],[writing score]]</f>
        <v>221</v>
      </c>
      <c r="J694">
        <f>StudentsTable[[#This Row],[TotalScore]]/3</f>
        <v>73.666666666666671</v>
      </c>
      <c r="K694" t="str" cm="1">
        <f t="array" ref="K694">_xlfn.IFS(StudentsTable[[#This Row],[AverageScore]]&gt;=90,"A",StudentsTable[[#This Row],[AverageScore]]&gt;=80,"B",StudentsTable[[#This Row],[AverageScore]]&gt;=70,"C",StudentsTable[[#This Row],[AverageScore]]&gt;=60,"D",TRUE,"F")</f>
        <v>C</v>
      </c>
      <c r="L694" t="str">
        <f>IF(StudentsTable[[#This Row],[AverageScore]]&gt;=60,"Pass","Fail")</f>
        <v>Pass</v>
      </c>
      <c r="M694" t="str" cm="1">
        <f t="array" ref="M694">_xlfn.IFS(StudentsTable[[#This Row],[AverageScore]]&gt;=85,"Advanced",StudentsTable[[#This Row],[AverageScore]]&gt;=70,"Intermediate",StudentsTable[[#This Row],[AverageScore]]&gt;=60,"Basic",TRUE,"Needs Help")</f>
        <v>Intermediate</v>
      </c>
      <c r="N694">
        <f>RANK(StudentsTable[[#This Row],[AverageScore]],StudentsTable[AverageScore])</f>
        <v>351</v>
      </c>
      <c r="O694">
        <f>(StudentsTable[[#This Row],[AverageScore]]-MIN(StudentsTable[AverageScore]))/(MAX(StudentsTable[AverageScore])-MIN(StudentsTable[AverageScore]))*100</f>
        <v>71.062271062271066</v>
      </c>
    </row>
    <row r="695" spans="1:15" x14ac:dyDescent="0.3">
      <c r="A695" t="s">
        <v>8</v>
      </c>
      <c r="B695" t="s">
        <v>21</v>
      </c>
      <c r="C695" t="s">
        <v>19</v>
      </c>
      <c r="D695" t="s">
        <v>11</v>
      </c>
      <c r="E695" t="s">
        <v>12</v>
      </c>
      <c r="F695">
        <v>77</v>
      </c>
      <c r="G695">
        <v>77</v>
      </c>
      <c r="H695">
        <v>73</v>
      </c>
      <c r="I695">
        <f>StudentsTable[[#This Row],[math score]]+StudentsTable[[#This Row],[reading score]]+StudentsTable[[#This Row],[writing score]]</f>
        <v>227</v>
      </c>
      <c r="J695">
        <f>StudentsTable[[#This Row],[TotalScore]]/3</f>
        <v>75.666666666666671</v>
      </c>
      <c r="K695" t="str" cm="1">
        <f t="array" ref="K695">_xlfn.IFS(StudentsTable[[#This Row],[AverageScore]]&gt;=90,"A",StudentsTable[[#This Row],[AverageScore]]&gt;=80,"B",StudentsTable[[#This Row],[AverageScore]]&gt;=70,"C",StudentsTable[[#This Row],[AverageScore]]&gt;=60,"D",TRUE,"F")</f>
        <v>C</v>
      </c>
      <c r="L695" t="str">
        <f>IF(StudentsTable[[#This Row],[AverageScore]]&gt;=60,"Pass","Fail")</f>
        <v>Pass</v>
      </c>
      <c r="M695" t="str" cm="1">
        <f t="array" ref="M695">_xlfn.IFS(StudentsTable[[#This Row],[AverageScore]]&gt;=85,"Advanced",StudentsTable[[#This Row],[AverageScore]]&gt;=70,"Intermediate",StudentsTable[[#This Row],[AverageScore]]&gt;=60,"Basic",TRUE,"Needs Help")</f>
        <v>Intermediate</v>
      </c>
      <c r="N695">
        <f>RANK(StudentsTable[[#This Row],[AverageScore]],StudentsTable[AverageScore])</f>
        <v>297</v>
      </c>
      <c r="O695">
        <f>(StudentsTable[[#This Row],[AverageScore]]-MIN(StudentsTable[AverageScore]))/(MAX(StudentsTable[AverageScore])-MIN(StudentsTable[AverageScore]))*100</f>
        <v>73.26007326007327</v>
      </c>
    </row>
    <row r="696" spans="1:15" x14ac:dyDescent="0.3">
      <c r="A696" t="s">
        <v>8</v>
      </c>
      <c r="B696" t="s">
        <v>13</v>
      </c>
      <c r="C696" t="s">
        <v>23</v>
      </c>
      <c r="D696" t="s">
        <v>11</v>
      </c>
      <c r="E696" t="s">
        <v>12</v>
      </c>
      <c r="F696">
        <v>49</v>
      </c>
      <c r="G696">
        <v>63</v>
      </c>
      <c r="H696">
        <v>56</v>
      </c>
      <c r="I696">
        <f>StudentsTable[[#This Row],[math score]]+StudentsTable[[#This Row],[reading score]]+StudentsTable[[#This Row],[writing score]]</f>
        <v>168</v>
      </c>
      <c r="J696">
        <f>StudentsTable[[#This Row],[TotalScore]]/3</f>
        <v>56</v>
      </c>
      <c r="K696" t="str" cm="1">
        <f t="array" ref="K696">_xlfn.IFS(StudentsTable[[#This Row],[AverageScore]]&gt;=90,"A",StudentsTable[[#This Row],[AverageScore]]&gt;=80,"B",StudentsTable[[#This Row],[AverageScore]]&gt;=70,"C",StudentsTable[[#This Row],[AverageScore]]&gt;=60,"D",TRUE,"F")</f>
        <v>F</v>
      </c>
      <c r="L696" t="str">
        <f>IF(StudentsTable[[#This Row],[AverageScore]]&gt;=60,"Pass","Fail")</f>
        <v>Fail</v>
      </c>
      <c r="M696" t="str" cm="1">
        <f t="array" ref="M696">_xlfn.IFS(StudentsTable[[#This Row],[AverageScore]]&gt;=85,"Advanced",StudentsTable[[#This Row],[AverageScore]]&gt;=70,"Intermediate",StudentsTable[[#This Row],[AverageScore]]&gt;=60,"Basic",TRUE,"Needs Help")</f>
        <v>Needs Help</v>
      </c>
      <c r="N696">
        <f>RANK(StudentsTable[[#This Row],[AverageScore]],StudentsTable[AverageScore])</f>
        <v>786</v>
      </c>
      <c r="O696">
        <f>(StudentsTable[[#This Row],[AverageScore]]-MIN(StudentsTable[AverageScore]))/(MAX(StudentsTable[AverageScore])-MIN(StudentsTable[AverageScore]))*100</f>
        <v>51.648351648351657</v>
      </c>
    </row>
    <row r="697" spans="1:15" x14ac:dyDescent="0.3">
      <c r="A697" t="s">
        <v>8</v>
      </c>
      <c r="B697" t="s">
        <v>21</v>
      </c>
      <c r="C697" t="s">
        <v>14</v>
      </c>
      <c r="D697" t="s">
        <v>20</v>
      </c>
      <c r="E697" t="s">
        <v>12</v>
      </c>
      <c r="F697">
        <v>79</v>
      </c>
      <c r="G697">
        <v>89</v>
      </c>
      <c r="H697">
        <v>86</v>
      </c>
      <c r="I697">
        <f>StudentsTable[[#This Row],[math score]]+StudentsTable[[#This Row],[reading score]]+StudentsTable[[#This Row],[writing score]]</f>
        <v>254</v>
      </c>
      <c r="J697">
        <f>StudentsTable[[#This Row],[TotalScore]]/3</f>
        <v>84.666666666666671</v>
      </c>
      <c r="K697" t="str" cm="1">
        <f t="array" ref="K697">_xlfn.IFS(StudentsTable[[#This Row],[AverageScore]]&gt;=90,"A",StudentsTable[[#This Row],[AverageScore]]&gt;=80,"B",StudentsTable[[#This Row],[AverageScore]]&gt;=70,"C",StudentsTable[[#This Row],[AverageScore]]&gt;=60,"D",TRUE,"F")</f>
        <v>B</v>
      </c>
      <c r="L697" t="str">
        <f>IF(StudentsTable[[#This Row],[AverageScore]]&gt;=60,"Pass","Fail")</f>
        <v>Pass</v>
      </c>
      <c r="M697" t="str" cm="1">
        <f t="array" ref="M697">_xlfn.IFS(StudentsTable[[#This Row],[AverageScore]]&gt;=85,"Advanced",StudentsTable[[#This Row],[AverageScore]]&gt;=70,"Intermediate",StudentsTable[[#This Row],[AverageScore]]&gt;=60,"Basic",TRUE,"Needs Help")</f>
        <v>Intermediate</v>
      </c>
      <c r="N697">
        <f>RANK(StudentsTable[[#This Row],[AverageScore]],StudentsTable[AverageScore])</f>
        <v>117</v>
      </c>
      <c r="O697">
        <f>(StudentsTable[[#This Row],[AverageScore]]-MIN(StudentsTable[AverageScore]))/(MAX(StudentsTable[AverageScore])-MIN(StudentsTable[AverageScore]))*100</f>
        <v>83.150183150183153</v>
      </c>
    </row>
    <row r="698" spans="1:15" x14ac:dyDescent="0.3">
      <c r="A698" t="s">
        <v>8</v>
      </c>
      <c r="B698" t="s">
        <v>13</v>
      </c>
      <c r="C698" t="s">
        <v>19</v>
      </c>
      <c r="D698" t="s">
        <v>11</v>
      </c>
      <c r="E698" t="s">
        <v>15</v>
      </c>
      <c r="F698">
        <v>75</v>
      </c>
      <c r="G698">
        <v>82</v>
      </c>
      <c r="H698">
        <v>90</v>
      </c>
      <c r="I698">
        <f>StudentsTable[[#This Row],[math score]]+StudentsTable[[#This Row],[reading score]]+StudentsTable[[#This Row],[writing score]]</f>
        <v>247</v>
      </c>
      <c r="J698">
        <f>StudentsTable[[#This Row],[TotalScore]]/3</f>
        <v>82.333333333333329</v>
      </c>
      <c r="K698" t="str" cm="1">
        <f t="array" ref="K698">_xlfn.IFS(StudentsTable[[#This Row],[AverageScore]]&gt;=90,"A",StudentsTable[[#This Row],[AverageScore]]&gt;=80,"B",StudentsTable[[#This Row],[AverageScore]]&gt;=70,"C",StudentsTable[[#This Row],[AverageScore]]&gt;=60,"D",TRUE,"F")</f>
        <v>B</v>
      </c>
      <c r="L698" t="str">
        <f>IF(StudentsTable[[#This Row],[AverageScore]]&gt;=60,"Pass","Fail")</f>
        <v>Pass</v>
      </c>
      <c r="M698" t="str" cm="1">
        <f t="array" ref="M698">_xlfn.IFS(StudentsTable[[#This Row],[AverageScore]]&gt;=85,"Advanced",StudentsTable[[#This Row],[AverageScore]]&gt;=70,"Intermediate",StudentsTable[[#This Row],[AverageScore]]&gt;=60,"Basic",TRUE,"Needs Help")</f>
        <v>Intermediate</v>
      </c>
      <c r="N698">
        <f>RANK(StudentsTable[[#This Row],[AverageScore]],StudentsTable[AverageScore])</f>
        <v>155</v>
      </c>
      <c r="O698">
        <f>(StudentsTable[[#This Row],[AverageScore]]-MIN(StudentsTable[AverageScore]))/(MAX(StudentsTable[AverageScore])-MIN(StudentsTable[AverageScore]))*100</f>
        <v>80.586080586080584</v>
      </c>
    </row>
    <row r="699" spans="1:15" x14ac:dyDescent="0.3">
      <c r="A699" t="s">
        <v>8</v>
      </c>
      <c r="B699" t="s">
        <v>18</v>
      </c>
      <c r="C699" t="s">
        <v>10</v>
      </c>
      <c r="D699" t="s">
        <v>11</v>
      </c>
      <c r="E699" t="s">
        <v>12</v>
      </c>
      <c r="F699">
        <v>59</v>
      </c>
      <c r="G699">
        <v>72</v>
      </c>
      <c r="H699">
        <v>70</v>
      </c>
      <c r="I699">
        <f>StudentsTable[[#This Row],[math score]]+StudentsTable[[#This Row],[reading score]]+StudentsTable[[#This Row],[writing score]]</f>
        <v>201</v>
      </c>
      <c r="J699">
        <f>StudentsTable[[#This Row],[TotalScore]]/3</f>
        <v>67</v>
      </c>
      <c r="K699" t="str" cm="1">
        <f t="array" ref="K699">_xlfn.IFS(StudentsTable[[#This Row],[AverageScore]]&gt;=90,"A",StudentsTable[[#This Row],[AverageScore]]&gt;=80,"B",StudentsTable[[#This Row],[AverageScore]]&gt;=70,"C",StudentsTable[[#This Row],[AverageScore]]&gt;=60,"D",TRUE,"F")</f>
        <v>D</v>
      </c>
      <c r="L699" t="str">
        <f>IF(StudentsTable[[#This Row],[AverageScore]]&gt;=60,"Pass","Fail")</f>
        <v>Pass</v>
      </c>
      <c r="M699" t="str" cm="1">
        <f t="array" ref="M699">_xlfn.IFS(StudentsTable[[#This Row],[AverageScore]]&gt;=85,"Advanced",StudentsTable[[#This Row],[AverageScore]]&gt;=70,"Intermediate",StudentsTable[[#This Row],[AverageScore]]&gt;=60,"Basic",TRUE,"Needs Help")</f>
        <v>Basic</v>
      </c>
      <c r="N699">
        <f>RANK(StudentsTable[[#This Row],[AverageScore]],StudentsTable[AverageScore])</f>
        <v>540</v>
      </c>
      <c r="O699">
        <f>(StudentsTable[[#This Row],[AverageScore]]-MIN(StudentsTable[AverageScore]))/(MAX(StudentsTable[AverageScore])-MIN(StudentsTable[AverageScore]))*100</f>
        <v>63.73626373626373</v>
      </c>
    </row>
    <row r="700" spans="1:15" x14ac:dyDescent="0.3">
      <c r="A700" t="s">
        <v>8</v>
      </c>
      <c r="B700" t="s">
        <v>21</v>
      </c>
      <c r="C700" t="s">
        <v>19</v>
      </c>
      <c r="D700" t="s">
        <v>11</v>
      </c>
      <c r="E700" t="s">
        <v>15</v>
      </c>
      <c r="F700">
        <v>57</v>
      </c>
      <c r="G700">
        <v>78</v>
      </c>
      <c r="H700">
        <v>79</v>
      </c>
      <c r="I700">
        <f>StudentsTable[[#This Row],[math score]]+StudentsTable[[#This Row],[reading score]]+StudentsTable[[#This Row],[writing score]]</f>
        <v>214</v>
      </c>
      <c r="J700">
        <f>StudentsTable[[#This Row],[TotalScore]]/3</f>
        <v>71.333333333333329</v>
      </c>
      <c r="K700" t="str" cm="1">
        <f t="array" ref="K700">_xlfn.IFS(StudentsTable[[#This Row],[AverageScore]]&gt;=90,"A",StudentsTable[[#This Row],[AverageScore]]&gt;=80,"B",StudentsTable[[#This Row],[AverageScore]]&gt;=70,"C",StudentsTable[[#This Row],[AverageScore]]&gt;=60,"D",TRUE,"F")</f>
        <v>C</v>
      </c>
      <c r="L700" t="str">
        <f>IF(StudentsTable[[#This Row],[AverageScore]]&gt;=60,"Pass","Fail")</f>
        <v>Pass</v>
      </c>
      <c r="M700" t="str" cm="1">
        <f t="array" ref="M700">_xlfn.IFS(StudentsTable[[#This Row],[AverageScore]]&gt;=85,"Advanced",StudentsTable[[#This Row],[AverageScore]]&gt;=70,"Intermediate",StudentsTable[[#This Row],[AverageScore]]&gt;=60,"Basic",TRUE,"Needs Help")</f>
        <v>Intermediate</v>
      </c>
      <c r="N700">
        <f>RANK(StudentsTable[[#This Row],[AverageScore]],StudentsTable[AverageScore])</f>
        <v>412</v>
      </c>
      <c r="O700">
        <f>(StudentsTable[[#This Row],[AverageScore]]-MIN(StudentsTable[AverageScore]))/(MAX(StudentsTable[AverageScore])-MIN(StudentsTable[AverageScore]))*100</f>
        <v>68.498168498168482</v>
      </c>
    </row>
    <row r="701" spans="1:15" x14ac:dyDescent="0.3">
      <c r="A701" t="s">
        <v>17</v>
      </c>
      <c r="B701" t="s">
        <v>13</v>
      </c>
      <c r="C701" t="s">
        <v>22</v>
      </c>
      <c r="D701" t="s">
        <v>20</v>
      </c>
      <c r="E701" t="s">
        <v>12</v>
      </c>
      <c r="F701">
        <v>66</v>
      </c>
      <c r="G701">
        <v>66</v>
      </c>
      <c r="H701">
        <v>59</v>
      </c>
      <c r="I701">
        <f>StudentsTable[[#This Row],[math score]]+StudentsTable[[#This Row],[reading score]]+StudentsTable[[#This Row],[writing score]]</f>
        <v>191</v>
      </c>
      <c r="J701">
        <f>StudentsTable[[#This Row],[TotalScore]]/3</f>
        <v>63.666666666666664</v>
      </c>
      <c r="K701" t="str" cm="1">
        <f t="array" ref="K701">_xlfn.IFS(StudentsTable[[#This Row],[AverageScore]]&gt;=90,"A",StudentsTable[[#This Row],[AverageScore]]&gt;=80,"B",StudentsTable[[#This Row],[AverageScore]]&gt;=70,"C",StudentsTable[[#This Row],[AverageScore]]&gt;=60,"D",TRUE,"F")</f>
        <v>D</v>
      </c>
      <c r="L701" t="str">
        <f>IF(StudentsTable[[#This Row],[AverageScore]]&gt;=60,"Pass","Fail")</f>
        <v>Pass</v>
      </c>
      <c r="M701" t="str" cm="1">
        <f t="array" ref="M701">_xlfn.IFS(StudentsTable[[#This Row],[AverageScore]]&gt;=85,"Advanced",StudentsTable[[#This Row],[AverageScore]]&gt;=70,"Intermediate",StudentsTable[[#This Row],[AverageScore]]&gt;=60,"Basic",TRUE,"Needs Help")</f>
        <v>Basic</v>
      </c>
      <c r="N701">
        <f>RANK(StudentsTable[[#This Row],[AverageScore]],StudentsTable[AverageScore])</f>
        <v>632</v>
      </c>
      <c r="O701">
        <f>(StudentsTable[[#This Row],[AverageScore]]-MIN(StudentsTable[AverageScore]))/(MAX(StudentsTable[AverageScore])-MIN(StudentsTable[AverageScore]))*100</f>
        <v>60.073260073260073</v>
      </c>
    </row>
    <row r="702" spans="1:15" x14ac:dyDescent="0.3">
      <c r="A702" t="s">
        <v>8</v>
      </c>
      <c r="B702" t="s">
        <v>24</v>
      </c>
      <c r="C702" t="s">
        <v>10</v>
      </c>
      <c r="D702" t="s">
        <v>11</v>
      </c>
      <c r="E702" t="s">
        <v>15</v>
      </c>
      <c r="F702">
        <v>79</v>
      </c>
      <c r="G702">
        <v>81</v>
      </c>
      <c r="H702">
        <v>82</v>
      </c>
      <c r="I702">
        <f>StudentsTable[[#This Row],[math score]]+StudentsTable[[#This Row],[reading score]]+StudentsTable[[#This Row],[writing score]]</f>
        <v>242</v>
      </c>
      <c r="J702">
        <f>StudentsTable[[#This Row],[TotalScore]]/3</f>
        <v>80.666666666666671</v>
      </c>
      <c r="K702" t="str" cm="1">
        <f t="array" ref="K702">_xlfn.IFS(StudentsTable[[#This Row],[AverageScore]]&gt;=90,"A",StudentsTable[[#This Row],[AverageScore]]&gt;=80,"B",StudentsTable[[#This Row],[AverageScore]]&gt;=70,"C",StudentsTable[[#This Row],[AverageScore]]&gt;=60,"D",TRUE,"F")</f>
        <v>B</v>
      </c>
      <c r="L702" t="str">
        <f>IF(StudentsTable[[#This Row],[AverageScore]]&gt;=60,"Pass","Fail")</f>
        <v>Pass</v>
      </c>
      <c r="M702" t="str" cm="1">
        <f t="array" ref="M702">_xlfn.IFS(StudentsTable[[#This Row],[AverageScore]]&gt;=85,"Advanced",StudentsTable[[#This Row],[AverageScore]]&gt;=70,"Intermediate",StudentsTable[[#This Row],[AverageScore]]&gt;=60,"Basic",TRUE,"Needs Help")</f>
        <v>Intermediate</v>
      </c>
      <c r="N702">
        <f>RANK(StudentsTable[[#This Row],[AverageScore]],StudentsTable[AverageScore])</f>
        <v>180</v>
      </c>
      <c r="O702">
        <f>(StudentsTable[[#This Row],[AverageScore]]-MIN(StudentsTable[AverageScore]))/(MAX(StudentsTable[AverageScore])-MIN(StudentsTable[AverageScore]))*100</f>
        <v>78.754578754578759</v>
      </c>
    </row>
    <row r="703" spans="1:15" x14ac:dyDescent="0.3">
      <c r="A703" t="s">
        <v>8</v>
      </c>
      <c r="B703" t="s">
        <v>9</v>
      </c>
      <c r="C703" t="s">
        <v>23</v>
      </c>
      <c r="D703" t="s">
        <v>11</v>
      </c>
      <c r="E703" t="s">
        <v>12</v>
      </c>
      <c r="F703">
        <v>57</v>
      </c>
      <c r="G703">
        <v>67</v>
      </c>
      <c r="H703">
        <v>72</v>
      </c>
      <c r="I703">
        <f>StudentsTable[[#This Row],[math score]]+StudentsTable[[#This Row],[reading score]]+StudentsTable[[#This Row],[writing score]]</f>
        <v>196</v>
      </c>
      <c r="J703">
        <f>StudentsTable[[#This Row],[TotalScore]]/3</f>
        <v>65.333333333333329</v>
      </c>
      <c r="K703" t="str" cm="1">
        <f t="array" ref="K703">_xlfn.IFS(StudentsTable[[#This Row],[AverageScore]]&gt;=90,"A",StudentsTable[[#This Row],[AverageScore]]&gt;=80,"B",StudentsTable[[#This Row],[AverageScore]]&gt;=70,"C",StudentsTable[[#This Row],[AverageScore]]&gt;=60,"D",TRUE,"F")</f>
        <v>D</v>
      </c>
      <c r="L703" t="str">
        <f>IF(StudentsTable[[#This Row],[AverageScore]]&gt;=60,"Pass","Fail")</f>
        <v>Pass</v>
      </c>
      <c r="M703" t="str" cm="1">
        <f t="array" ref="M703">_xlfn.IFS(StudentsTable[[#This Row],[AverageScore]]&gt;=85,"Advanced",StudentsTable[[#This Row],[AverageScore]]&gt;=70,"Intermediate",StudentsTable[[#This Row],[AverageScore]]&gt;=60,"Basic",TRUE,"Needs Help")</f>
        <v>Basic</v>
      </c>
      <c r="N703">
        <f>RANK(StudentsTable[[#This Row],[AverageScore]],StudentsTable[AverageScore])</f>
        <v>584</v>
      </c>
      <c r="O703">
        <f>(StudentsTable[[#This Row],[AverageScore]]-MIN(StudentsTable[AverageScore]))/(MAX(StudentsTable[AverageScore])-MIN(StudentsTable[AverageScore]))*100</f>
        <v>61.904761904761898</v>
      </c>
    </row>
    <row r="704" spans="1:15" x14ac:dyDescent="0.3">
      <c r="A704" t="s">
        <v>17</v>
      </c>
      <c r="B704" t="s">
        <v>18</v>
      </c>
      <c r="C704" t="s">
        <v>10</v>
      </c>
      <c r="D704" t="s">
        <v>11</v>
      </c>
      <c r="E704" t="s">
        <v>15</v>
      </c>
      <c r="F704">
        <v>87</v>
      </c>
      <c r="G704">
        <v>84</v>
      </c>
      <c r="H704">
        <v>87</v>
      </c>
      <c r="I704">
        <f>StudentsTable[[#This Row],[math score]]+StudentsTable[[#This Row],[reading score]]+StudentsTable[[#This Row],[writing score]]</f>
        <v>258</v>
      </c>
      <c r="J704">
        <f>StudentsTable[[#This Row],[TotalScore]]/3</f>
        <v>86</v>
      </c>
      <c r="K704" t="str" cm="1">
        <f t="array" ref="K704">_xlfn.IFS(StudentsTable[[#This Row],[AverageScore]]&gt;=90,"A",StudentsTable[[#This Row],[AverageScore]]&gt;=80,"B",StudentsTable[[#This Row],[AverageScore]]&gt;=70,"C",StudentsTable[[#This Row],[AverageScore]]&gt;=60,"D",TRUE,"F")</f>
        <v>B</v>
      </c>
      <c r="L704" t="str">
        <f>IF(StudentsTable[[#This Row],[AverageScore]]&gt;=60,"Pass","Fail")</f>
        <v>Pass</v>
      </c>
      <c r="M704" t="str" cm="1">
        <f t="array" ref="M704">_xlfn.IFS(StudentsTable[[#This Row],[AverageScore]]&gt;=85,"Advanced",StudentsTable[[#This Row],[AverageScore]]&gt;=70,"Intermediate",StudentsTable[[#This Row],[AverageScore]]&gt;=60,"Basic",TRUE,"Needs Help")</f>
        <v>Advanced</v>
      </c>
      <c r="N704">
        <f>RANK(StudentsTable[[#This Row],[AverageScore]],StudentsTable[AverageScore])</f>
        <v>99</v>
      </c>
      <c r="O704">
        <f>(StudentsTable[[#This Row],[AverageScore]]-MIN(StudentsTable[AverageScore]))/(MAX(StudentsTable[AverageScore])-MIN(StudentsTable[AverageScore]))*100</f>
        <v>84.615384615384613</v>
      </c>
    </row>
    <row r="705" spans="1:15" x14ac:dyDescent="0.3">
      <c r="A705" t="s">
        <v>8</v>
      </c>
      <c r="B705" t="s">
        <v>21</v>
      </c>
      <c r="C705" t="s">
        <v>14</v>
      </c>
      <c r="D705" t="s">
        <v>11</v>
      </c>
      <c r="E705" t="s">
        <v>12</v>
      </c>
      <c r="F705">
        <v>63</v>
      </c>
      <c r="G705">
        <v>64</v>
      </c>
      <c r="H705">
        <v>67</v>
      </c>
      <c r="I705">
        <f>StudentsTable[[#This Row],[math score]]+StudentsTable[[#This Row],[reading score]]+StudentsTable[[#This Row],[writing score]]</f>
        <v>194</v>
      </c>
      <c r="J705">
        <f>StudentsTable[[#This Row],[TotalScore]]/3</f>
        <v>64.666666666666671</v>
      </c>
      <c r="K705" t="str" cm="1">
        <f t="array" ref="K705">_xlfn.IFS(StudentsTable[[#This Row],[AverageScore]]&gt;=90,"A",StudentsTable[[#This Row],[AverageScore]]&gt;=80,"B",StudentsTable[[#This Row],[AverageScore]]&gt;=70,"C",StudentsTable[[#This Row],[AverageScore]]&gt;=60,"D",TRUE,"F")</f>
        <v>D</v>
      </c>
      <c r="L705" t="str">
        <f>IF(StudentsTable[[#This Row],[AverageScore]]&gt;=60,"Pass","Fail")</f>
        <v>Pass</v>
      </c>
      <c r="M705" t="str" cm="1">
        <f t="array" ref="M705">_xlfn.IFS(StudentsTable[[#This Row],[AverageScore]]&gt;=85,"Advanced",StudentsTable[[#This Row],[AverageScore]]&gt;=70,"Intermediate",StudentsTable[[#This Row],[AverageScore]]&gt;=60,"Basic",TRUE,"Needs Help")</f>
        <v>Basic</v>
      </c>
      <c r="N705">
        <f>RANK(StudentsTable[[#This Row],[AverageScore]],StudentsTable[AverageScore])</f>
        <v>602</v>
      </c>
      <c r="O705">
        <f>(StudentsTable[[#This Row],[AverageScore]]-MIN(StudentsTable[AverageScore]))/(MAX(StudentsTable[AverageScore])-MIN(StudentsTable[AverageScore]))*100</f>
        <v>61.172161172161175</v>
      </c>
    </row>
    <row r="706" spans="1:15" x14ac:dyDescent="0.3">
      <c r="A706" t="s">
        <v>8</v>
      </c>
      <c r="B706" t="s">
        <v>9</v>
      </c>
      <c r="C706" t="s">
        <v>23</v>
      </c>
      <c r="D706" t="s">
        <v>20</v>
      </c>
      <c r="E706" t="s">
        <v>15</v>
      </c>
      <c r="F706">
        <v>59</v>
      </c>
      <c r="G706">
        <v>63</v>
      </c>
      <c r="H706">
        <v>64</v>
      </c>
      <c r="I706">
        <f>StudentsTable[[#This Row],[math score]]+StudentsTable[[#This Row],[reading score]]+StudentsTable[[#This Row],[writing score]]</f>
        <v>186</v>
      </c>
      <c r="J706">
        <f>StudentsTable[[#This Row],[TotalScore]]/3</f>
        <v>62</v>
      </c>
      <c r="K706" t="str" cm="1">
        <f t="array" ref="K706">_xlfn.IFS(StudentsTable[[#This Row],[AverageScore]]&gt;=90,"A",StudentsTable[[#This Row],[AverageScore]]&gt;=80,"B",StudentsTable[[#This Row],[AverageScore]]&gt;=70,"C",StudentsTable[[#This Row],[AverageScore]]&gt;=60,"D",TRUE,"F")</f>
        <v>D</v>
      </c>
      <c r="L706" t="str">
        <f>IF(StudentsTable[[#This Row],[AverageScore]]&gt;=60,"Pass","Fail")</f>
        <v>Pass</v>
      </c>
      <c r="M706" t="str" cm="1">
        <f t="array" ref="M706">_xlfn.IFS(StudentsTable[[#This Row],[AverageScore]]&gt;=85,"Advanced",StudentsTable[[#This Row],[AverageScore]]&gt;=70,"Intermediate",StudentsTable[[#This Row],[AverageScore]]&gt;=60,"Basic",TRUE,"Needs Help")</f>
        <v>Basic</v>
      </c>
      <c r="N706">
        <f>RANK(StudentsTable[[#This Row],[AverageScore]],StudentsTable[AverageScore])</f>
        <v>665</v>
      </c>
      <c r="O706">
        <f>(StudentsTable[[#This Row],[AverageScore]]-MIN(StudentsTable[AverageScore]))/(MAX(StudentsTable[AverageScore])-MIN(StudentsTable[AverageScore]))*100</f>
        <v>58.241758241758248</v>
      </c>
    </row>
    <row r="707" spans="1:15" x14ac:dyDescent="0.3">
      <c r="A707" t="s">
        <v>17</v>
      </c>
      <c r="B707" t="s">
        <v>18</v>
      </c>
      <c r="C707" t="s">
        <v>10</v>
      </c>
      <c r="D707" t="s">
        <v>20</v>
      </c>
      <c r="E707" t="s">
        <v>12</v>
      </c>
      <c r="F707">
        <v>62</v>
      </c>
      <c r="G707">
        <v>72</v>
      </c>
      <c r="H707">
        <v>65</v>
      </c>
      <c r="I707">
        <f>StudentsTable[[#This Row],[math score]]+StudentsTable[[#This Row],[reading score]]+StudentsTable[[#This Row],[writing score]]</f>
        <v>199</v>
      </c>
      <c r="J707">
        <f>StudentsTable[[#This Row],[TotalScore]]/3</f>
        <v>66.333333333333329</v>
      </c>
      <c r="K707" t="str" cm="1">
        <f t="array" ref="K707">_xlfn.IFS(StudentsTable[[#This Row],[AverageScore]]&gt;=90,"A",StudentsTable[[#This Row],[AverageScore]]&gt;=80,"B",StudentsTable[[#This Row],[AverageScore]]&gt;=70,"C",StudentsTable[[#This Row],[AverageScore]]&gt;=60,"D",TRUE,"F")</f>
        <v>D</v>
      </c>
      <c r="L707" t="str">
        <f>IF(StudentsTable[[#This Row],[AverageScore]]&gt;=60,"Pass","Fail")</f>
        <v>Pass</v>
      </c>
      <c r="M707" t="str" cm="1">
        <f t="array" ref="M707">_xlfn.IFS(StudentsTable[[#This Row],[AverageScore]]&gt;=85,"Advanced",StudentsTable[[#This Row],[AverageScore]]&gt;=70,"Intermediate",StudentsTable[[#This Row],[AverageScore]]&gt;=60,"Basic",TRUE,"Needs Help")</f>
        <v>Basic</v>
      </c>
      <c r="N707">
        <f>RANK(StudentsTable[[#This Row],[AverageScore]],StudentsTable[AverageScore])</f>
        <v>557</v>
      </c>
      <c r="O707">
        <f>(StudentsTable[[#This Row],[AverageScore]]-MIN(StudentsTable[AverageScore]))/(MAX(StudentsTable[AverageScore])-MIN(StudentsTable[AverageScore]))*100</f>
        <v>63.003663003663</v>
      </c>
    </row>
    <row r="708" spans="1:15" x14ac:dyDescent="0.3">
      <c r="A708" t="s">
        <v>17</v>
      </c>
      <c r="B708" t="s">
        <v>21</v>
      </c>
      <c r="C708" t="s">
        <v>22</v>
      </c>
      <c r="D708" t="s">
        <v>11</v>
      </c>
      <c r="E708" t="s">
        <v>12</v>
      </c>
      <c r="F708">
        <v>46</v>
      </c>
      <c r="G708">
        <v>34</v>
      </c>
      <c r="H708">
        <v>36</v>
      </c>
      <c r="I708">
        <f>StudentsTable[[#This Row],[math score]]+StudentsTable[[#This Row],[reading score]]+StudentsTable[[#This Row],[writing score]]</f>
        <v>116</v>
      </c>
      <c r="J708">
        <f>StudentsTable[[#This Row],[TotalScore]]/3</f>
        <v>38.666666666666664</v>
      </c>
      <c r="K708" t="str" cm="1">
        <f t="array" ref="K708">_xlfn.IFS(StudentsTable[[#This Row],[AverageScore]]&gt;=90,"A",StudentsTable[[#This Row],[AverageScore]]&gt;=80,"B",StudentsTable[[#This Row],[AverageScore]]&gt;=70,"C",StudentsTable[[#This Row],[AverageScore]]&gt;=60,"D",TRUE,"F")</f>
        <v>F</v>
      </c>
      <c r="L708" t="str">
        <f>IF(StudentsTable[[#This Row],[AverageScore]]&gt;=60,"Pass","Fail")</f>
        <v>Fail</v>
      </c>
      <c r="M708" t="str" cm="1">
        <f t="array" ref="M708">_xlfn.IFS(StudentsTable[[#This Row],[AverageScore]]&gt;=85,"Advanced",StudentsTable[[#This Row],[AverageScore]]&gt;=70,"Intermediate",StudentsTable[[#This Row],[AverageScore]]&gt;=60,"Basic",TRUE,"Needs Help")</f>
        <v>Needs Help</v>
      </c>
      <c r="N708">
        <f>RANK(StudentsTable[[#This Row],[AverageScore]],StudentsTable[AverageScore])</f>
        <v>977</v>
      </c>
      <c r="O708">
        <f>(StudentsTable[[#This Row],[AverageScore]]-MIN(StudentsTable[AverageScore]))/(MAX(StudentsTable[AverageScore])-MIN(StudentsTable[AverageScore]))*100</f>
        <v>32.600732600732599</v>
      </c>
    </row>
    <row r="709" spans="1:15" x14ac:dyDescent="0.3">
      <c r="A709" t="s">
        <v>17</v>
      </c>
      <c r="B709" t="s">
        <v>13</v>
      </c>
      <c r="C709" t="s">
        <v>14</v>
      </c>
      <c r="D709" t="s">
        <v>11</v>
      </c>
      <c r="E709" t="s">
        <v>12</v>
      </c>
      <c r="F709">
        <v>66</v>
      </c>
      <c r="G709">
        <v>59</v>
      </c>
      <c r="H709">
        <v>52</v>
      </c>
      <c r="I709">
        <f>StudentsTable[[#This Row],[math score]]+StudentsTable[[#This Row],[reading score]]+StudentsTable[[#This Row],[writing score]]</f>
        <v>177</v>
      </c>
      <c r="J709">
        <f>StudentsTable[[#This Row],[TotalScore]]/3</f>
        <v>59</v>
      </c>
      <c r="K709" t="str" cm="1">
        <f t="array" ref="K709">_xlfn.IFS(StudentsTable[[#This Row],[AverageScore]]&gt;=90,"A",StudentsTable[[#This Row],[AverageScore]]&gt;=80,"B",StudentsTable[[#This Row],[AverageScore]]&gt;=70,"C",StudentsTable[[#This Row],[AverageScore]]&gt;=60,"D",TRUE,"F")</f>
        <v>F</v>
      </c>
      <c r="L709" t="str">
        <f>IF(StudentsTable[[#This Row],[AverageScore]]&gt;=60,"Pass","Fail")</f>
        <v>Fail</v>
      </c>
      <c r="M709" t="str" cm="1">
        <f t="array" ref="M709">_xlfn.IFS(StudentsTable[[#This Row],[AverageScore]]&gt;=85,"Advanced",StudentsTable[[#This Row],[AverageScore]]&gt;=70,"Intermediate",StudentsTable[[#This Row],[AverageScore]]&gt;=60,"Basic",TRUE,"Needs Help")</f>
        <v>Needs Help</v>
      </c>
      <c r="N709">
        <f>RANK(StudentsTable[[#This Row],[AverageScore]],StudentsTable[AverageScore])</f>
        <v>727</v>
      </c>
      <c r="O709">
        <f>(StudentsTable[[#This Row],[AverageScore]]-MIN(StudentsTable[AverageScore]))/(MAX(StudentsTable[AverageScore])-MIN(StudentsTable[AverageScore]))*100</f>
        <v>54.945054945054949</v>
      </c>
    </row>
    <row r="710" spans="1:15" x14ac:dyDescent="0.3">
      <c r="A710" t="s">
        <v>17</v>
      </c>
      <c r="B710" t="s">
        <v>21</v>
      </c>
      <c r="C710" t="s">
        <v>22</v>
      </c>
      <c r="D710" t="s">
        <v>11</v>
      </c>
      <c r="E710" t="s">
        <v>12</v>
      </c>
      <c r="F710">
        <v>89</v>
      </c>
      <c r="G710">
        <v>87</v>
      </c>
      <c r="H710">
        <v>79</v>
      </c>
      <c r="I710">
        <f>StudentsTable[[#This Row],[math score]]+StudentsTable[[#This Row],[reading score]]+StudentsTable[[#This Row],[writing score]]</f>
        <v>255</v>
      </c>
      <c r="J710">
        <f>StudentsTable[[#This Row],[TotalScore]]/3</f>
        <v>85</v>
      </c>
      <c r="K710" t="str" cm="1">
        <f t="array" ref="K710">_xlfn.IFS(StudentsTable[[#This Row],[AverageScore]]&gt;=90,"A",StudentsTable[[#This Row],[AverageScore]]&gt;=80,"B",StudentsTable[[#This Row],[AverageScore]]&gt;=70,"C",StudentsTable[[#This Row],[AverageScore]]&gt;=60,"D",TRUE,"F")</f>
        <v>B</v>
      </c>
      <c r="L710" t="str">
        <f>IF(StudentsTable[[#This Row],[AverageScore]]&gt;=60,"Pass","Fail")</f>
        <v>Pass</v>
      </c>
      <c r="M710" t="str" cm="1">
        <f t="array" ref="M710">_xlfn.IFS(StudentsTable[[#This Row],[AverageScore]]&gt;=85,"Advanced",StudentsTable[[#This Row],[AverageScore]]&gt;=70,"Intermediate",StudentsTable[[#This Row],[AverageScore]]&gt;=60,"Basic",TRUE,"Needs Help")</f>
        <v>Advanced</v>
      </c>
      <c r="N710">
        <f>RANK(StudentsTable[[#This Row],[AverageScore]],StudentsTable[AverageScore])</f>
        <v>113</v>
      </c>
      <c r="O710">
        <f>(StudentsTable[[#This Row],[AverageScore]]-MIN(StudentsTable[AverageScore]))/(MAX(StudentsTable[AverageScore])-MIN(StudentsTable[AverageScore]))*100</f>
        <v>83.516483516483518</v>
      </c>
    </row>
    <row r="711" spans="1:15" x14ac:dyDescent="0.3">
      <c r="A711" t="s">
        <v>8</v>
      </c>
      <c r="B711" t="s">
        <v>21</v>
      </c>
      <c r="C711" t="s">
        <v>19</v>
      </c>
      <c r="D711" t="s">
        <v>20</v>
      </c>
      <c r="E711" t="s">
        <v>15</v>
      </c>
      <c r="F711">
        <v>42</v>
      </c>
      <c r="G711">
        <v>61</v>
      </c>
      <c r="H711">
        <v>58</v>
      </c>
      <c r="I711">
        <f>StudentsTable[[#This Row],[math score]]+StudentsTable[[#This Row],[reading score]]+StudentsTable[[#This Row],[writing score]]</f>
        <v>161</v>
      </c>
      <c r="J711">
        <f>StudentsTable[[#This Row],[TotalScore]]/3</f>
        <v>53.666666666666664</v>
      </c>
      <c r="K711" t="str" cm="1">
        <f t="array" ref="K711">_xlfn.IFS(StudentsTable[[#This Row],[AverageScore]]&gt;=90,"A",StudentsTable[[#This Row],[AverageScore]]&gt;=80,"B",StudentsTable[[#This Row],[AverageScore]]&gt;=70,"C",StudentsTable[[#This Row],[AverageScore]]&gt;=60,"D",TRUE,"F")</f>
        <v>F</v>
      </c>
      <c r="L711" t="str">
        <f>IF(StudentsTable[[#This Row],[AverageScore]]&gt;=60,"Pass","Fail")</f>
        <v>Fail</v>
      </c>
      <c r="M711" t="str" cm="1">
        <f t="array" ref="M711">_xlfn.IFS(StudentsTable[[#This Row],[AverageScore]]&gt;=85,"Advanced",StudentsTable[[#This Row],[AverageScore]]&gt;=70,"Intermediate",StudentsTable[[#This Row],[AverageScore]]&gt;=60,"Basic",TRUE,"Needs Help")</f>
        <v>Needs Help</v>
      </c>
      <c r="N711">
        <f>RANK(StudentsTable[[#This Row],[AverageScore]],StudentsTable[AverageScore])</f>
        <v>830</v>
      </c>
      <c r="O711">
        <f>(StudentsTable[[#This Row],[AverageScore]]-MIN(StudentsTable[AverageScore]))/(MAX(StudentsTable[AverageScore])-MIN(StudentsTable[AverageScore]))*100</f>
        <v>49.08424908424908</v>
      </c>
    </row>
    <row r="712" spans="1:15" x14ac:dyDescent="0.3">
      <c r="A712" t="s">
        <v>17</v>
      </c>
      <c r="B712" t="s">
        <v>13</v>
      </c>
      <c r="C712" t="s">
        <v>14</v>
      </c>
      <c r="D712" t="s">
        <v>11</v>
      </c>
      <c r="E712" t="s">
        <v>15</v>
      </c>
      <c r="F712">
        <v>93</v>
      </c>
      <c r="G712">
        <v>84</v>
      </c>
      <c r="H712">
        <v>90</v>
      </c>
      <c r="I712">
        <f>StudentsTable[[#This Row],[math score]]+StudentsTable[[#This Row],[reading score]]+StudentsTable[[#This Row],[writing score]]</f>
        <v>267</v>
      </c>
      <c r="J712">
        <f>StudentsTable[[#This Row],[TotalScore]]/3</f>
        <v>89</v>
      </c>
      <c r="K712" t="str" cm="1">
        <f t="array" ref="K712">_xlfn.IFS(StudentsTable[[#This Row],[AverageScore]]&gt;=90,"A",StudentsTable[[#This Row],[AverageScore]]&gt;=80,"B",StudentsTable[[#This Row],[AverageScore]]&gt;=70,"C",StudentsTable[[#This Row],[AverageScore]]&gt;=60,"D",TRUE,"F")</f>
        <v>B</v>
      </c>
      <c r="L712" t="str">
        <f>IF(StudentsTable[[#This Row],[AverageScore]]&gt;=60,"Pass","Fail")</f>
        <v>Pass</v>
      </c>
      <c r="M712" t="str" cm="1">
        <f t="array" ref="M712">_xlfn.IFS(StudentsTable[[#This Row],[AverageScore]]&gt;=85,"Advanced",StudentsTable[[#This Row],[AverageScore]]&gt;=70,"Intermediate",StudentsTable[[#This Row],[AverageScore]]&gt;=60,"Basic",TRUE,"Needs Help")</f>
        <v>Advanced</v>
      </c>
      <c r="N712">
        <f>RANK(StudentsTable[[#This Row],[AverageScore]],StudentsTable[AverageScore])</f>
        <v>59</v>
      </c>
      <c r="O712">
        <f>(StudentsTable[[#This Row],[AverageScore]]-MIN(StudentsTable[AverageScore]))/(MAX(StudentsTable[AverageScore])-MIN(StudentsTable[AverageScore]))*100</f>
        <v>87.912087912087912</v>
      </c>
    </row>
    <row r="713" spans="1:15" x14ac:dyDescent="0.3">
      <c r="A713" t="s">
        <v>8</v>
      </c>
      <c r="B713" t="s">
        <v>24</v>
      </c>
      <c r="C713" t="s">
        <v>23</v>
      </c>
      <c r="D713" t="s">
        <v>11</v>
      </c>
      <c r="E713" t="s">
        <v>15</v>
      </c>
      <c r="F713">
        <v>80</v>
      </c>
      <c r="G713">
        <v>85</v>
      </c>
      <c r="H713">
        <v>85</v>
      </c>
      <c r="I713">
        <f>StudentsTable[[#This Row],[math score]]+StudentsTable[[#This Row],[reading score]]+StudentsTable[[#This Row],[writing score]]</f>
        <v>250</v>
      </c>
      <c r="J713">
        <f>StudentsTable[[#This Row],[TotalScore]]/3</f>
        <v>83.333333333333329</v>
      </c>
      <c r="K713" t="str" cm="1">
        <f t="array" ref="K713">_xlfn.IFS(StudentsTable[[#This Row],[AverageScore]]&gt;=90,"A",StudentsTable[[#This Row],[AverageScore]]&gt;=80,"B",StudentsTable[[#This Row],[AverageScore]]&gt;=70,"C",StudentsTable[[#This Row],[AverageScore]]&gt;=60,"D",TRUE,"F")</f>
        <v>B</v>
      </c>
      <c r="L713" t="str">
        <f>IF(StudentsTable[[#This Row],[AverageScore]]&gt;=60,"Pass","Fail")</f>
        <v>Pass</v>
      </c>
      <c r="M713" t="str" cm="1">
        <f t="array" ref="M713">_xlfn.IFS(StudentsTable[[#This Row],[AverageScore]]&gt;=85,"Advanced",StudentsTable[[#This Row],[AverageScore]]&gt;=70,"Intermediate",StudentsTable[[#This Row],[AverageScore]]&gt;=60,"Basic",TRUE,"Needs Help")</f>
        <v>Intermediate</v>
      </c>
      <c r="N713">
        <f>RANK(StudentsTable[[#This Row],[AverageScore]],StudentsTable[AverageScore])</f>
        <v>135</v>
      </c>
      <c r="O713">
        <f>(StudentsTable[[#This Row],[AverageScore]]-MIN(StudentsTable[AverageScore]))/(MAX(StudentsTable[AverageScore])-MIN(StudentsTable[AverageScore]))*100</f>
        <v>81.684981684981679</v>
      </c>
    </row>
    <row r="714" spans="1:15" x14ac:dyDescent="0.3">
      <c r="A714" t="s">
        <v>8</v>
      </c>
      <c r="B714" t="s">
        <v>21</v>
      </c>
      <c r="C714" t="s">
        <v>14</v>
      </c>
      <c r="D714" t="s">
        <v>11</v>
      </c>
      <c r="E714" t="s">
        <v>12</v>
      </c>
      <c r="F714">
        <v>98</v>
      </c>
      <c r="G714">
        <v>100</v>
      </c>
      <c r="H714">
        <v>99</v>
      </c>
      <c r="I714">
        <f>StudentsTable[[#This Row],[math score]]+StudentsTable[[#This Row],[reading score]]+StudentsTable[[#This Row],[writing score]]</f>
        <v>297</v>
      </c>
      <c r="J714">
        <f>StudentsTable[[#This Row],[TotalScore]]/3</f>
        <v>99</v>
      </c>
      <c r="K714" t="str" cm="1">
        <f t="array" ref="K714">_xlfn.IFS(StudentsTable[[#This Row],[AverageScore]]&gt;=90,"A",StudentsTable[[#This Row],[AverageScore]]&gt;=80,"B",StudentsTable[[#This Row],[AverageScore]]&gt;=70,"C",StudentsTable[[#This Row],[AverageScore]]&gt;=60,"D",TRUE,"F")</f>
        <v>A</v>
      </c>
      <c r="L714" t="str">
        <f>IF(StudentsTable[[#This Row],[AverageScore]]&gt;=60,"Pass","Fail")</f>
        <v>Pass</v>
      </c>
      <c r="M714" t="str" cm="1">
        <f t="array" ref="M714">_xlfn.IFS(StudentsTable[[#This Row],[AverageScore]]&gt;=85,"Advanced",StudentsTable[[#This Row],[AverageScore]]&gt;=70,"Intermediate",StudentsTable[[#This Row],[AverageScore]]&gt;=60,"Basic",TRUE,"Needs Help")</f>
        <v>Advanced</v>
      </c>
      <c r="N714">
        <f>RANK(StudentsTable[[#This Row],[AverageScore]],StudentsTable[AverageScore])</f>
        <v>5</v>
      </c>
      <c r="O714">
        <f>(StudentsTable[[#This Row],[AverageScore]]-MIN(StudentsTable[AverageScore]))/(MAX(StudentsTable[AverageScore])-MIN(StudentsTable[AverageScore]))*100</f>
        <v>98.901098901098905</v>
      </c>
    </row>
    <row r="715" spans="1:15" x14ac:dyDescent="0.3">
      <c r="A715" t="s">
        <v>17</v>
      </c>
      <c r="B715" t="s">
        <v>21</v>
      </c>
      <c r="C715" t="s">
        <v>16</v>
      </c>
      <c r="D715" t="s">
        <v>11</v>
      </c>
      <c r="E715" t="s">
        <v>12</v>
      </c>
      <c r="F715">
        <v>81</v>
      </c>
      <c r="G715">
        <v>81</v>
      </c>
      <c r="H715">
        <v>84</v>
      </c>
      <c r="I715">
        <f>StudentsTable[[#This Row],[math score]]+StudentsTable[[#This Row],[reading score]]+StudentsTable[[#This Row],[writing score]]</f>
        <v>246</v>
      </c>
      <c r="J715">
        <f>StudentsTable[[#This Row],[TotalScore]]/3</f>
        <v>82</v>
      </c>
      <c r="K715" t="str" cm="1">
        <f t="array" ref="K715">_xlfn.IFS(StudentsTable[[#This Row],[AverageScore]]&gt;=90,"A",StudentsTable[[#This Row],[AverageScore]]&gt;=80,"B",StudentsTable[[#This Row],[AverageScore]]&gt;=70,"C",StudentsTable[[#This Row],[AverageScore]]&gt;=60,"D",TRUE,"F")</f>
        <v>B</v>
      </c>
      <c r="L715" t="str">
        <f>IF(StudentsTable[[#This Row],[AverageScore]]&gt;=60,"Pass","Fail")</f>
        <v>Pass</v>
      </c>
      <c r="M715" t="str" cm="1">
        <f t="array" ref="M715">_xlfn.IFS(StudentsTable[[#This Row],[AverageScore]]&gt;=85,"Advanced",StudentsTable[[#This Row],[AverageScore]]&gt;=70,"Intermediate",StudentsTable[[#This Row],[AverageScore]]&gt;=60,"Basic",TRUE,"Needs Help")</f>
        <v>Intermediate</v>
      </c>
      <c r="N715">
        <f>RANK(StudentsTable[[#This Row],[AverageScore]],StudentsTable[AverageScore])</f>
        <v>166</v>
      </c>
      <c r="O715">
        <f>(StudentsTable[[#This Row],[AverageScore]]-MIN(StudentsTable[AverageScore]))/(MAX(StudentsTable[AverageScore])-MIN(StudentsTable[AverageScore]))*100</f>
        <v>80.219780219780219</v>
      </c>
    </row>
    <row r="716" spans="1:15" x14ac:dyDescent="0.3">
      <c r="A716" t="s">
        <v>8</v>
      </c>
      <c r="B716" t="s">
        <v>9</v>
      </c>
      <c r="C716" t="s">
        <v>23</v>
      </c>
      <c r="D716" t="s">
        <v>11</v>
      </c>
      <c r="E716" t="s">
        <v>15</v>
      </c>
      <c r="F716">
        <v>60</v>
      </c>
      <c r="G716">
        <v>70</v>
      </c>
      <c r="H716">
        <v>74</v>
      </c>
      <c r="I716">
        <f>StudentsTable[[#This Row],[math score]]+StudentsTable[[#This Row],[reading score]]+StudentsTable[[#This Row],[writing score]]</f>
        <v>204</v>
      </c>
      <c r="J716">
        <f>StudentsTable[[#This Row],[TotalScore]]/3</f>
        <v>68</v>
      </c>
      <c r="K716" t="str" cm="1">
        <f t="array" ref="K716">_xlfn.IFS(StudentsTable[[#This Row],[AverageScore]]&gt;=90,"A",StudentsTable[[#This Row],[AverageScore]]&gt;=80,"B",StudentsTable[[#This Row],[AverageScore]]&gt;=70,"C",StudentsTable[[#This Row],[AverageScore]]&gt;=60,"D",TRUE,"F")</f>
        <v>D</v>
      </c>
      <c r="L716" t="str">
        <f>IF(StudentsTable[[#This Row],[AverageScore]]&gt;=60,"Pass","Fail")</f>
        <v>Pass</v>
      </c>
      <c r="M716" t="str" cm="1">
        <f t="array" ref="M716">_xlfn.IFS(StudentsTable[[#This Row],[AverageScore]]&gt;=85,"Advanced",StudentsTable[[#This Row],[AverageScore]]&gt;=70,"Intermediate",StudentsTable[[#This Row],[AverageScore]]&gt;=60,"Basic",TRUE,"Needs Help")</f>
        <v>Basic</v>
      </c>
      <c r="N716">
        <f>RANK(StudentsTable[[#This Row],[AverageScore]],StudentsTable[AverageScore])</f>
        <v>512</v>
      </c>
      <c r="O716">
        <f>(StudentsTable[[#This Row],[AverageScore]]-MIN(StudentsTable[AverageScore]))/(MAX(StudentsTable[AverageScore])-MIN(StudentsTable[AverageScore]))*100</f>
        <v>64.835164835164832</v>
      </c>
    </row>
    <row r="717" spans="1:15" x14ac:dyDescent="0.3">
      <c r="A717" t="s">
        <v>8</v>
      </c>
      <c r="B717" t="s">
        <v>9</v>
      </c>
      <c r="C717" t="s">
        <v>19</v>
      </c>
      <c r="D717" t="s">
        <v>20</v>
      </c>
      <c r="E717" t="s">
        <v>15</v>
      </c>
      <c r="F717">
        <v>76</v>
      </c>
      <c r="G717">
        <v>94</v>
      </c>
      <c r="H717">
        <v>87</v>
      </c>
      <c r="I717">
        <f>StudentsTable[[#This Row],[math score]]+StudentsTable[[#This Row],[reading score]]+StudentsTable[[#This Row],[writing score]]</f>
        <v>257</v>
      </c>
      <c r="J717">
        <f>StudentsTable[[#This Row],[TotalScore]]/3</f>
        <v>85.666666666666671</v>
      </c>
      <c r="K717" t="str" cm="1">
        <f t="array" ref="K717">_xlfn.IFS(StudentsTable[[#This Row],[AverageScore]]&gt;=90,"A",StudentsTable[[#This Row],[AverageScore]]&gt;=80,"B",StudentsTable[[#This Row],[AverageScore]]&gt;=70,"C",StudentsTable[[#This Row],[AverageScore]]&gt;=60,"D",TRUE,"F")</f>
        <v>B</v>
      </c>
      <c r="L717" t="str">
        <f>IF(StudentsTable[[#This Row],[AverageScore]]&gt;=60,"Pass","Fail")</f>
        <v>Pass</v>
      </c>
      <c r="M717" t="str" cm="1">
        <f t="array" ref="M717">_xlfn.IFS(StudentsTable[[#This Row],[AverageScore]]&gt;=85,"Advanced",StudentsTable[[#This Row],[AverageScore]]&gt;=70,"Intermediate",StudentsTable[[#This Row],[AverageScore]]&gt;=60,"Basic",TRUE,"Needs Help")</f>
        <v>Advanced</v>
      </c>
      <c r="N717">
        <f>RANK(StudentsTable[[#This Row],[AverageScore]],StudentsTable[AverageScore])</f>
        <v>103</v>
      </c>
      <c r="O717">
        <f>(StudentsTable[[#This Row],[AverageScore]]-MIN(StudentsTable[AverageScore]))/(MAX(StudentsTable[AverageScore])-MIN(StudentsTable[AverageScore]))*100</f>
        <v>84.249084249084248</v>
      </c>
    </row>
    <row r="718" spans="1:15" x14ac:dyDescent="0.3">
      <c r="A718" t="s">
        <v>17</v>
      </c>
      <c r="B718" t="s">
        <v>13</v>
      </c>
      <c r="C718" t="s">
        <v>19</v>
      </c>
      <c r="D718" t="s">
        <v>11</v>
      </c>
      <c r="E718" t="s">
        <v>15</v>
      </c>
      <c r="F718">
        <v>73</v>
      </c>
      <c r="G718">
        <v>78</v>
      </c>
      <c r="H718">
        <v>72</v>
      </c>
      <c r="I718">
        <f>StudentsTable[[#This Row],[math score]]+StudentsTable[[#This Row],[reading score]]+StudentsTable[[#This Row],[writing score]]</f>
        <v>223</v>
      </c>
      <c r="J718">
        <f>StudentsTable[[#This Row],[TotalScore]]/3</f>
        <v>74.333333333333329</v>
      </c>
      <c r="K718" t="str" cm="1">
        <f t="array" ref="K718">_xlfn.IFS(StudentsTable[[#This Row],[AverageScore]]&gt;=90,"A",StudentsTable[[#This Row],[AverageScore]]&gt;=80,"B",StudentsTable[[#This Row],[AverageScore]]&gt;=70,"C",StudentsTable[[#This Row],[AverageScore]]&gt;=60,"D",TRUE,"F")</f>
        <v>C</v>
      </c>
      <c r="L718" t="str">
        <f>IF(StudentsTable[[#This Row],[AverageScore]]&gt;=60,"Pass","Fail")</f>
        <v>Pass</v>
      </c>
      <c r="M718" t="str" cm="1">
        <f t="array" ref="M718">_xlfn.IFS(StudentsTable[[#This Row],[AverageScore]]&gt;=85,"Advanced",StudentsTable[[#This Row],[AverageScore]]&gt;=70,"Intermediate",StudentsTable[[#This Row],[AverageScore]]&gt;=60,"Basic",TRUE,"Needs Help")</f>
        <v>Intermediate</v>
      </c>
      <c r="N718">
        <f>RANK(StudentsTable[[#This Row],[AverageScore]],StudentsTable[AverageScore])</f>
        <v>333</v>
      </c>
      <c r="O718">
        <f>(StudentsTable[[#This Row],[AverageScore]]-MIN(StudentsTable[AverageScore]))/(MAX(StudentsTable[AverageScore])-MIN(StudentsTable[AverageScore]))*100</f>
        <v>71.794871794871796</v>
      </c>
    </row>
    <row r="719" spans="1:15" x14ac:dyDescent="0.3">
      <c r="A719" t="s">
        <v>8</v>
      </c>
      <c r="B719" t="s">
        <v>13</v>
      </c>
      <c r="C719" t="s">
        <v>19</v>
      </c>
      <c r="D719" t="s">
        <v>11</v>
      </c>
      <c r="E719" t="s">
        <v>15</v>
      </c>
      <c r="F719">
        <v>96</v>
      </c>
      <c r="G719">
        <v>96</v>
      </c>
      <c r="H719">
        <v>99</v>
      </c>
      <c r="I719">
        <f>StudentsTable[[#This Row],[math score]]+StudentsTable[[#This Row],[reading score]]+StudentsTable[[#This Row],[writing score]]</f>
        <v>291</v>
      </c>
      <c r="J719">
        <f>StudentsTable[[#This Row],[TotalScore]]/3</f>
        <v>97</v>
      </c>
      <c r="K719" t="str" cm="1">
        <f t="array" ref="K719">_xlfn.IFS(StudentsTable[[#This Row],[AverageScore]]&gt;=90,"A",StudentsTable[[#This Row],[AverageScore]]&gt;=80,"B",StudentsTable[[#This Row],[AverageScore]]&gt;=70,"C",StudentsTable[[#This Row],[AverageScore]]&gt;=60,"D",TRUE,"F")</f>
        <v>A</v>
      </c>
      <c r="L719" t="str">
        <f>IF(StudentsTable[[#This Row],[AverageScore]]&gt;=60,"Pass","Fail")</f>
        <v>Pass</v>
      </c>
      <c r="M719" t="str" cm="1">
        <f t="array" ref="M719">_xlfn.IFS(StudentsTable[[#This Row],[AverageScore]]&gt;=85,"Advanced",StudentsTable[[#This Row],[AverageScore]]&gt;=70,"Intermediate",StudentsTable[[#This Row],[AverageScore]]&gt;=60,"Basic",TRUE,"Needs Help")</f>
        <v>Advanced</v>
      </c>
      <c r="N719">
        <f>RANK(StudentsTable[[#This Row],[AverageScore]],StudentsTable[AverageScore])</f>
        <v>14</v>
      </c>
      <c r="O719">
        <f>(StudentsTable[[#This Row],[AverageScore]]-MIN(StudentsTable[AverageScore]))/(MAX(StudentsTable[AverageScore])-MIN(StudentsTable[AverageScore]))*100</f>
        <v>96.703296703296701</v>
      </c>
    </row>
    <row r="720" spans="1:15" x14ac:dyDescent="0.3">
      <c r="A720" t="s">
        <v>8</v>
      </c>
      <c r="B720" t="s">
        <v>13</v>
      </c>
      <c r="C720" t="s">
        <v>22</v>
      </c>
      <c r="D720" t="s">
        <v>11</v>
      </c>
      <c r="E720" t="s">
        <v>12</v>
      </c>
      <c r="F720">
        <v>76</v>
      </c>
      <c r="G720">
        <v>76</v>
      </c>
      <c r="H720">
        <v>74</v>
      </c>
      <c r="I720">
        <f>StudentsTable[[#This Row],[math score]]+StudentsTable[[#This Row],[reading score]]+StudentsTable[[#This Row],[writing score]]</f>
        <v>226</v>
      </c>
      <c r="J720">
        <f>StudentsTable[[#This Row],[TotalScore]]/3</f>
        <v>75.333333333333329</v>
      </c>
      <c r="K720" t="str" cm="1">
        <f t="array" ref="K720">_xlfn.IFS(StudentsTable[[#This Row],[AverageScore]]&gt;=90,"A",StudentsTable[[#This Row],[AverageScore]]&gt;=80,"B",StudentsTable[[#This Row],[AverageScore]]&gt;=70,"C",StudentsTable[[#This Row],[AverageScore]]&gt;=60,"D",TRUE,"F")</f>
        <v>C</v>
      </c>
      <c r="L720" t="str">
        <f>IF(StudentsTable[[#This Row],[AverageScore]]&gt;=60,"Pass","Fail")</f>
        <v>Pass</v>
      </c>
      <c r="M720" t="str" cm="1">
        <f t="array" ref="M720">_xlfn.IFS(StudentsTable[[#This Row],[AverageScore]]&gt;=85,"Advanced",StudentsTable[[#This Row],[AverageScore]]&gt;=70,"Intermediate",StudentsTable[[#This Row],[AverageScore]]&gt;=60,"Basic",TRUE,"Needs Help")</f>
        <v>Intermediate</v>
      </c>
      <c r="N720">
        <f>RANK(StudentsTable[[#This Row],[AverageScore]],StudentsTable[AverageScore])</f>
        <v>307</v>
      </c>
      <c r="O720">
        <f>(StudentsTable[[#This Row],[AverageScore]]-MIN(StudentsTable[AverageScore]))/(MAX(StudentsTable[AverageScore])-MIN(StudentsTable[AverageScore]))*100</f>
        <v>72.893772893772891</v>
      </c>
    </row>
    <row r="721" spans="1:15" x14ac:dyDescent="0.3">
      <c r="A721" t="s">
        <v>17</v>
      </c>
      <c r="B721" t="s">
        <v>24</v>
      </c>
      <c r="C721" t="s">
        <v>19</v>
      </c>
      <c r="D721" t="s">
        <v>20</v>
      </c>
      <c r="E721" t="s">
        <v>15</v>
      </c>
      <c r="F721">
        <v>91</v>
      </c>
      <c r="G721">
        <v>73</v>
      </c>
      <c r="H721">
        <v>80</v>
      </c>
      <c r="I721">
        <f>StudentsTable[[#This Row],[math score]]+StudentsTable[[#This Row],[reading score]]+StudentsTable[[#This Row],[writing score]]</f>
        <v>244</v>
      </c>
      <c r="J721">
        <f>StudentsTable[[#This Row],[TotalScore]]/3</f>
        <v>81.333333333333329</v>
      </c>
      <c r="K721" t="str" cm="1">
        <f t="array" ref="K721">_xlfn.IFS(StudentsTable[[#This Row],[AverageScore]]&gt;=90,"A",StudentsTable[[#This Row],[AverageScore]]&gt;=80,"B",StudentsTable[[#This Row],[AverageScore]]&gt;=70,"C",StudentsTable[[#This Row],[AverageScore]]&gt;=60,"D",TRUE,"F")</f>
        <v>B</v>
      </c>
      <c r="L721" t="str">
        <f>IF(StudentsTable[[#This Row],[AverageScore]]&gt;=60,"Pass","Fail")</f>
        <v>Pass</v>
      </c>
      <c r="M721" t="str" cm="1">
        <f t="array" ref="M721">_xlfn.IFS(StudentsTable[[#This Row],[AverageScore]]&gt;=85,"Advanced",StudentsTable[[#This Row],[AverageScore]]&gt;=70,"Intermediate",StudentsTable[[#This Row],[AverageScore]]&gt;=60,"Basic",TRUE,"Needs Help")</f>
        <v>Intermediate</v>
      </c>
      <c r="N721">
        <f>RANK(StudentsTable[[#This Row],[AverageScore]],StudentsTable[AverageScore])</f>
        <v>173</v>
      </c>
      <c r="O721">
        <f>(StudentsTable[[#This Row],[AverageScore]]-MIN(StudentsTable[AverageScore]))/(MAX(StudentsTable[AverageScore])-MIN(StudentsTable[AverageScore]))*100</f>
        <v>79.487179487179489</v>
      </c>
    </row>
    <row r="722" spans="1:15" x14ac:dyDescent="0.3">
      <c r="A722" t="s">
        <v>8</v>
      </c>
      <c r="B722" t="s">
        <v>13</v>
      </c>
      <c r="C722" t="s">
        <v>14</v>
      </c>
      <c r="D722" t="s">
        <v>20</v>
      </c>
      <c r="E722" t="s">
        <v>12</v>
      </c>
      <c r="F722">
        <v>62</v>
      </c>
      <c r="G722">
        <v>72</v>
      </c>
      <c r="H722">
        <v>70</v>
      </c>
      <c r="I722">
        <f>StudentsTable[[#This Row],[math score]]+StudentsTable[[#This Row],[reading score]]+StudentsTable[[#This Row],[writing score]]</f>
        <v>204</v>
      </c>
      <c r="J722">
        <f>StudentsTable[[#This Row],[TotalScore]]/3</f>
        <v>68</v>
      </c>
      <c r="K722" t="str" cm="1">
        <f t="array" ref="K722">_xlfn.IFS(StudentsTable[[#This Row],[AverageScore]]&gt;=90,"A",StudentsTable[[#This Row],[AverageScore]]&gt;=80,"B",StudentsTable[[#This Row],[AverageScore]]&gt;=70,"C",StudentsTable[[#This Row],[AverageScore]]&gt;=60,"D",TRUE,"F")</f>
        <v>D</v>
      </c>
      <c r="L722" t="str">
        <f>IF(StudentsTable[[#This Row],[AverageScore]]&gt;=60,"Pass","Fail")</f>
        <v>Pass</v>
      </c>
      <c r="M722" t="str" cm="1">
        <f t="array" ref="M722">_xlfn.IFS(StudentsTable[[#This Row],[AverageScore]]&gt;=85,"Advanced",StudentsTable[[#This Row],[AverageScore]]&gt;=70,"Intermediate",StudentsTable[[#This Row],[AverageScore]]&gt;=60,"Basic",TRUE,"Needs Help")</f>
        <v>Basic</v>
      </c>
      <c r="N722">
        <f>RANK(StudentsTable[[#This Row],[AverageScore]],StudentsTable[AverageScore])</f>
        <v>512</v>
      </c>
      <c r="O722">
        <f>(StudentsTable[[#This Row],[AverageScore]]-MIN(StudentsTable[AverageScore]))/(MAX(StudentsTable[AverageScore])-MIN(StudentsTable[AverageScore]))*100</f>
        <v>64.835164835164832</v>
      </c>
    </row>
    <row r="723" spans="1:15" x14ac:dyDescent="0.3">
      <c r="A723" t="s">
        <v>17</v>
      </c>
      <c r="B723" t="s">
        <v>21</v>
      </c>
      <c r="C723" t="s">
        <v>23</v>
      </c>
      <c r="D723" t="s">
        <v>20</v>
      </c>
      <c r="E723" t="s">
        <v>15</v>
      </c>
      <c r="F723">
        <v>55</v>
      </c>
      <c r="G723">
        <v>59</v>
      </c>
      <c r="H723">
        <v>59</v>
      </c>
      <c r="I723">
        <f>StudentsTable[[#This Row],[math score]]+StudentsTable[[#This Row],[reading score]]+StudentsTable[[#This Row],[writing score]]</f>
        <v>173</v>
      </c>
      <c r="J723">
        <f>StudentsTable[[#This Row],[TotalScore]]/3</f>
        <v>57.666666666666664</v>
      </c>
      <c r="K723" t="str" cm="1">
        <f t="array" ref="K723">_xlfn.IFS(StudentsTable[[#This Row],[AverageScore]]&gt;=90,"A",StudentsTable[[#This Row],[AverageScore]]&gt;=80,"B",StudentsTable[[#This Row],[AverageScore]]&gt;=70,"C",StudentsTable[[#This Row],[AverageScore]]&gt;=60,"D",TRUE,"F")</f>
        <v>F</v>
      </c>
      <c r="L723" t="str">
        <f>IF(StudentsTable[[#This Row],[AverageScore]]&gt;=60,"Pass","Fail")</f>
        <v>Fail</v>
      </c>
      <c r="M723" t="str" cm="1">
        <f t="array" ref="M723">_xlfn.IFS(StudentsTable[[#This Row],[AverageScore]]&gt;=85,"Advanced",StudentsTable[[#This Row],[AverageScore]]&gt;=70,"Intermediate",StudentsTable[[#This Row],[AverageScore]]&gt;=60,"Basic",TRUE,"Needs Help")</f>
        <v>Needs Help</v>
      </c>
      <c r="N723">
        <f>RANK(StudentsTable[[#This Row],[AverageScore]],StudentsTable[AverageScore])</f>
        <v>756</v>
      </c>
      <c r="O723">
        <f>(StudentsTable[[#This Row],[AverageScore]]-MIN(StudentsTable[AverageScore]))/(MAX(StudentsTable[AverageScore])-MIN(StudentsTable[AverageScore]))*100</f>
        <v>53.479853479853482</v>
      </c>
    </row>
    <row r="724" spans="1:15" x14ac:dyDescent="0.3">
      <c r="A724" t="s">
        <v>8</v>
      </c>
      <c r="B724" t="s">
        <v>9</v>
      </c>
      <c r="C724" t="s">
        <v>23</v>
      </c>
      <c r="D724" t="s">
        <v>20</v>
      </c>
      <c r="E724" t="s">
        <v>15</v>
      </c>
      <c r="F724">
        <v>74</v>
      </c>
      <c r="G724">
        <v>90</v>
      </c>
      <c r="H724">
        <v>88</v>
      </c>
      <c r="I724">
        <f>StudentsTable[[#This Row],[math score]]+StudentsTable[[#This Row],[reading score]]+StudentsTable[[#This Row],[writing score]]</f>
        <v>252</v>
      </c>
      <c r="J724">
        <f>StudentsTable[[#This Row],[TotalScore]]/3</f>
        <v>84</v>
      </c>
      <c r="K724" t="str" cm="1">
        <f t="array" ref="K724">_xlfn.IFS(StudentsTable[[#This Row],[AverageScore]]&gt;=90,"A",StudentsTable[[#This Row],[AverageScore]]&gt;=80,"B",StudentsTable[[#This Row],[AverageScore]]&gt;=70,"C",StudentsTable[[#This Row],[AverageScore]]&gt;=60,"D",TRUE,"F")</f>
        <v>B</v>
      </c>
      <c r="L724" t="str">
        <f>IF(StudentsTable[[#This Row],[AverageScore]]&gt;=60,"Pass","Fail")</f>
        <v>Pass</v>
      </c>
      <c r="M724" t="str" cm="1">
        <f t="array" ref="M724">_xlfn.IFS(StudentsTable[[#This Row],[AverageScore]]&gt;=85,"Advanced",StudentsTable[[#This Row],[AverageScore]]&gt;=70,"Intermediate",StudentsTable[[#This Row],[AverageScore]]&gt;=60,"Basic",TRUE,"Needs Help")</f>
        <v>Intermediate</v>
      </c>
      <c r="N724">
        <f>RANK(StudentsTable[[#This Row],[AverageScore]],StudentsTable[AverageScore])</f>
        <v>123</v>
      </c>
      <c r="O724">
        <f>(StudentsTable[[#This Row],[AverageScore]]-MIN(StudentsTable[AverageScore]))/(MAX(StudentsTable[AverageScore])-MIN(StudentsTable[AverageScore]))*100</f>
        <v>82.417582417582409</v>
      </c>
    </row>
    <row r="725" spans="1:15" x14ac:dyDescent="0.3">
      <c r="A725" t="s">
        <v>17</v>
      </c>
      <c r="B725" t="s">
        <v>13</v>
      </c>
      <c r="C725" t="s">
        <v>22</v>
      </c>
      <c r="D725" t="s">
        <v>11</v>
      </c>
      <c r="E725" t="s">
        <v>12</v>
      </c>
      <c r="F725">
        <v>50</v>
      </c>
      <c r="G725">
        <v>48</v>
      </c>
      <c r="H725">
        <v>42</v>
      </c>
      <c r="I725">
        <f>StudentsTable[[#This Row],[math score]]+StudentsTable[[#This Row],[reading score]]+StudentsTable[[#This Row],[writing score]]</f>
        <v>140</v>
      </c>
      <c r="J725">
        <f>StudentsTable[[#This Row],[TotalScore]]/3</f>
        <v>46.666666666666664</v>
      </c>
      <c r="K725" t="str" cm="1">
        <f t="array" ref="K725">_xlfn.IFS(StudentsTable[[#This Row],[AverageScore]]&gt;=90,"A",StudentsTable[[#This Row],[AverageScore]]&gt;=80,"B",StudentsTable[[#This Row],[AverageScore]]&gt;=70,"C",StudentsTable[[#This Row],[AverageScore]]&gt;=60,"D",TRUE,"F")</f>
        <v>F</v>
      </c>
      <c r="L725" t="str">
        <f>IF(StudentsTable[[#This Row],[AverageScore]]&gt;=60,"Pass","Fail")</f>
        <v>Fail</v>
      </c>
      <c r="M725" t="str" cm="1">
        <f t="array" ref="M725">_xlfn.IFS(StudentsTable[[#This Row],[AverageScore]]&gt;=85,"Advanced",StudentsTable[[#This Row],[AverageScore]]&gt;=70,"Intermediate",StudentsTable[[#This Row],[AverageScore]]&gt;=60,"Basic",TRUE,"Needs Help")</f>
        <v>Needs Help</v>
      </c>
      <c r="N725">
        <f>RANK(StudentsTable[[#This Row],[AverageScore]],StudentsTable[AverageScore])</f>
        <v>930</v>
      </c>
      <c r="O725">
        <f>(StudentsTable[[#This Row],[AverageScore]]-MIN(StudentsTable[AverageScore]))/(MAX(StudentsTable[AverageScore])-MIN(StudentsTable[AverageScore]))*100</f>
        <v>41.391941391941387</v>
      </c>
    </row>
    <row r="726" spans="1:15" x14ac:dyDescent="0.3">
      <c r="A726" t="s">
        <v>17</v>
      </c>
      <c r="B726" t="s">
        <v>9</v>
      </c>
      <c r="C726" t="s">
        <v>14</v>
      </c>
      <c r="D726" t="s">
        <v>11</v>
      </c>
      <c r="E726" t="s">
        <v>12</v>
      </c>
      <c r="F726">
        <v>47</v>
      </c>
      <c r="G726">
        <v>43</v>
      </c>
      <c r="H726">
        <v>41</v>
      </c>
      <c r="I726">
        <f>StudentsTable[[#This Row],[math score]]+StudentsTable[[#This Row],[reading score]]+StudentsTable[[#This Row],[writing score]]</f>
        <v>131</v>
      </c>
      <c r="J726">
        <f>StudentsTable[[#This Row],[TotalScore]]/3</f>
        <v>43.666666666666664</v>
      </c>
      <c r="K726" t="str" cm="1">
        <f t="array" ref="K726">_xlfn.IFS(StudentsTable[[#This Row],[AverageScore]]&gt;=90,"A",StudentsTable[[#This Row],[AverageScore]]&gt;=80,"B",StudentsTable[[#This Row],[AverageScore]]&gt;=70,"C",StudentsTable[[#This Row],[AverageScore]]&gt;=60,"D",TRUE,"F")</f>
        <v>F</v>
      </c>
      <c r="L726" t="str">
        <f>IF(StudentsTable[[#This Row],[AverageScore]]&gt;=60,"Pass","Fail")</f>
        <v>Fail</v>
      </c>
      <c r="M726" t="str" cm="1">
        <f t="array" ref="M726">_xlfn.IFS(StudentsTable[[#This Row],[AverageScore]]&gt;=85,"Advanced",StudentsTable[[#This Row],[AverageScore]]&gt;=70,"Intermediate",StudentsTable[[#This Row],[AverageScore]]&gt;=60,"Basic",TRUE,"Needs Help")</f>
        <v>Needs Help</v>
      </c>
      <c r="N726">
        <f>RANK(StudentsTable[[#This Row],[AverageScore]],StudentsTable[AverageScore])</f>
        <v>954</v>
      </c>
      <c r="O726">
        <f>(StudentsTable[[#This Row],[AverageScore]]-MIN(StudentsTable[AverageScore]))/(MAX(StudentsTable[AverageScore])-MIN(StudentsTable[AverageScore]))*100</f>
        <v>38.095238095238095</v>
      </c>
    </row>
    <row r="727" spans="1:15" x14ac:dyDescent="0.3">
      <c r="A727" t="s">
        <v>17</v>
      </c>
      <c r="B727" t="s">
        <v>24</v>
      </c>
      <c r="C727" t="s">
        <v>14</v>
      </c>
      <c r="D727" t="s">
        <v>11</v>
      </c>
      <c r="E727" t="s">
        <v>15</v>
      </c>
      <c r="F727">
        <v>81</v>
      </c>
      <c r="G727">
        <v>74</v>
      </c>
      <c r="H727">
        <v>71</v>
      </c>
      <c r="I727">
        <f>StudentsTable[[#This Row],[math score]]+StudentsTable[[#This Row],[reading score]]+StudentsTable[[#This Row],[writing score]]</f>
        <v>226</v>
      </c>
      <c r="J727">
        <f>StudentsTable[[#This Row],[TotalScore]]/3</f>
        <v>75.333333333333329</v>
      </c>
      <c r="K727" t="str" cm="1">
        <f t="array" ref="K727">_xlfn.IFS(StudentsTable[[#This Row],[AverageScore]]&gt;=90,"A",StudentsTable[[#This Row],[AverageScore]]&gt;=80,"B",StudentsTable[[#This Row],[AverageScore]]&gt;=70,"C",StudentsTable[[#This Row],[AverageScore]]&gt;=60,"D",TRUE,"F")</f>
        <v>C</v>
      </c>
      <c r="L727" t="str">
        <f>IF(StudentsTable[[#This Row],[AverageScore]]&gt;=60,"Pass","Fail")</f>
        <v>Pass</v>
      </c>
      <c r="M727" t="str" cm="1">
        <f t="array" ref="M727">_xlfn.IFS(StudentsTable[[#This Row],[AverageScore]]&gt;=85,"Advanced",StudentsTable[[#This Row],[AverageScore]]&gt;=70,"Intermediate",StudentsTable[[#This Row],[AverageScore]]&gt;=60,"Basic",TRUE,"Needs Help")</f>
        <v>Intermediate</v>
      </c>
      <c r="N727">
        <f>RANK(StudentsTable[[#This Row],[AverageScore]],StudentsTable[AverageScore])</f>
        <v>307</v>
      </c>
      <c r="O727">
        <f>(StudentsTable[[#This Row],[AverageScore]]-MIN(StudentsTable[AverageScore]))/(MAX(StudentsTable[AverageScore])-MIN(StudentsTable[AverageScore]))*100</f>
        <v>72.893772893772891</v>
      </c>
    </row>
    <row r="728" spans="1:15" x14ac:dyDescent="0.3">
      <c r="A728" t="s">
        <v>8</v>
      </c>
      <c r="B728" t="s">
        <v>24</v>
      </c>
      <c r="C728" t="s">
        <v>19</v>
      </c>
      <c r="D728" t="s">
        <v>11</v>
      </c>
      <c r="E728" t="s">
        <v>15</v>
      </c>
      <c r="F728">
        <v>65</v>
      </c>
      <c r="G728">
        <v>75</v>
      </c>
      <c r="H728">
        <v>77</v>
      </c>
      <c r="I728">
        <f>StudentsTable[[#This Row],[math score]]+StudentsTable[[#This Row],[reading score]]+StudentsTable[[#This Row],[writing score]]</f>
        <v>217</v>
      </c>
      <c r="J728">
        <f>StudentsTable[[#This Row],[TotalScore]]/3</f>
        <v>72.333333333333329</v>
      </c>
      <c r="K728" t="str" cm="1">
        <f t="array" ref="K728">_xlfn.IFS(StudentsTable[[#This Row],[AverageScore]]&gt;=90,"A",StudentsTable[[#This Row],[AverageScore]]&gt;=80,"B",StudentsTable[[#This Row],[AverageScore]]&gt;=70,"C",StudentsTable[[#This Row],[AverageScore]]&gt;=60,"D",TRUE,"F")</f>
        <v>C</v>
      </c>
      <c r="L728" t="str">
        <f>IF(StudentsTable[[#This Row],[AverageScore]]&gt;=60,"Pass","Fail")</f>
        <v>Pass</v>
      </c>
      <c r="M728" t="str" cm="1">
        <f t="array" ref="M728">_xlfn.IFS(StudentsTable[[#This Row],[AverageScore]]&gt;=85,"Advanced",StudentsTable[[#This Row],[AverageScore]]&gt;=70,"Intermediate",StudentsTable[[#This Row],[AverageScore]]&gt;=60,"Basic",TRUE,"Needs Help")</f>
        <v>Intermediate</v>
      </c>
      <c r="N728">
        <f>RANK(StudentsTable[[#This Row],[AverageScore]],StudentsTable[AverageScore])</f>
        <v>389</v>
      </c>
      <c r="O728">
        <f>(StudentsTable[[#This Row],[AverageScore]]-MIN(StudentsTable[AverageScore]))/(MAX(StudentsTable[AverageScore])-MIN(StudentsTable[AverageScore]))*100</f>
        <v>69.597069597069591</v>
      </c>
    </row>
    <row r="729" spans="1:15" x14ac:dyDescent="0.3">
      <c r="A729" t="s">
        <v>17</v>
      </c>
      <c r="B729" t="s">
        <v>24</v>
      </c>
      <c r="C729" t="s">
        <v>23</v>
      </c>
      <c r="D729" t="s">
        <v>11</v>
      </c>
      <c r="E729" t="s">
        <v>15</v>
      </c>
      <c r="F729">
        <v>68</v>
      </c>
      <c r="G729">
        <v>51</v>
      </c>
      <c r="H729">
        <v>57</v>
      </c>
      <c r="I729">
        <f>StudentsTable[[#This Row],[math score]]+StudentsTable[[#This Row],[reading score]]+StudentsTable[[#This Row],[writing score]]</f>
        <v>176</v>
      </c>
      <c r="J729">
        <f>StudentsTable[[#This Row],[TotalScore]]/3</f>
        <v>58.666666666666664</v>
      </c>
      <c r="K729" t="str" cm="1">
        <f t="array" ref="K729">_xlfn.IFS(StudentsTable[[#This Row],[AverageScore]]&gt;=90,"A",StudentsTable[[#This Row],[AverageScore]]&gt;=80,"B",StudentsTable[[#This Row],[AverageScore]]&gt;=70,"C",StudentsTable[[#This Row],[AverageScore]]&gt;=60,"D",TRUE,"F")</f>
        <v>F</v>
      </c>
      <c r="L729" t="str">
        <f>IF(StudentsTable[[#This Row],[AverageScore]]&gt;=60,"Pass","Fail")</f>
        <v>Fail</v>
      </c>
      <c r="M729" t="str" cm="1">
        <f t="array" ref="M729">_xlfn.IFS(StudentsTable[[#This Row],[AverageScore]]&gt;=85,"Advanced",StudentsTable[[#This Row],[AverageScore]]&gt;=70,"Intermediate",StudentsTable[[#This Row],[AverageScore]]&gt;=60,"Basic",TRUE,"Needs Help")</f>
        <v>Needs Help</v>
      </c>
      <c r="N729">
        <f>RANK(StudentsTable[[#This Row],[AverageScore]],StudentsTable[AverageScore])</f>
        <v>736</v>
      </c>
      <c r="O729">
        <f>(StudentsTable[[#This Row],[AverageScore]]-MIN(StudentsTable[AverageScore]))/(MAX(StudentsTable[AverageScore])-MIN(StudentsTable[AverageScore]))*100</f>
        <v>54.578754578754577</v>
      </c>
    </row>
    <row r="730" spans="1:15" x14ac:dyDescent="0.3">
      <c r="A730" t="s">
        <v>8</v>
      </c>
      <c r="B730" t="s">
        <v>21</v>
      </c>
      <c r="C730" t="s">
        <v>22</v>
      </c>
      <c r="D730" t="s">
        <v>20</v>
      </c>
      <c r="E730" t="s">
        <v>12</v>
      </c>
      <c r="F730">
        <v>73</v>
      </c>
      <c r="G730">
        <v>92</v>
      </c>
      <c r="H730">
        <v>84</v>
      </c>
      <c r="I730">
        <f>StudentsTable[[#This Row],[math score]]+StudentsTable[[#This Row],[reading score]]+StudentsTable[[#This Row],[writing score]]</f>
        <v>249</v>
      </c>
      <c r="J730">
        <f>StudentsTable[[#This Row],[TotalScore]]/3</f>
        <v>83</v>
      </c>
      <c r="K730" t="str" cm="1">
        <f t="array" ref="K730">_xlfn.IFS(StudentsTable[[#This Row],[AverageScore]]&gt;=90,"A",StudentsTable[[#This Row],[AverageScore]]&gt;=80,"B",StudentsTable[[#This Row],[AverageScore]]&gt;=70,"C",StudentsTable[[#This Row],[AverageScore]]&gt;=60,"D",TRUE,"F")</f>
        <v>B</v>
      </c>
      <c r="L730" t="str">
        <f>IF(StudentsTable[[#This Row],[AverageScore]]&gt;=60,"Pass","Fail")</f>
        <v>Pass</v>
      </c>
      <c r="M730" t="str" cm="1">
        <f t="array" ref="M730">_xlfn.IFS(StudentsTable[[#This Row],[AverageScore]]&gt;=85,"Advanced",StudentsTable[[#This Row],[AverageScore]]&gt;=70,"Intermediate",StudentsTable[[#This Row],[AverageScore]]&gt;=60,"Basic",TRUE,"Needs Help")</f>
        <v>Intermediate</v>
      </c>
      <c r="N730">
        <f>RANK(StudentsTable[[#This Row],[AverageScore]],StudentsTable[AverageScore])</f>
        <v>140</v>
      </c>
      <c r="O730">
        <f>(StudentsTable[[#This Row],[AverageScore]]-MIN(StudentsTable[AverageScore]))/(MAX(StudentsTable[AverageScore])-MIN(StudentsTable[AverageScore]))*100</f>
        <v>81.318681318681314</v>
      </c>
    </row>
    <row r="731" spans="1:15" x14ac:dyDescent="0.3">
      <c r="A731" t="s">
        <v>17</v>
      </c>
      <c r="B731" t="s">
        <v>13</v>
      </c>
      <c r="C731" t="s">
        <v>14</v>
      </c>
      <c r="D731" t="s">
        <v>11</v>
      </c>
      <c r="E731" t="s">
        <v>12</v>
      </c>
      <c r="F731">
        <v>53</v>
      </c>
      <c r="G731">
        <v>39</v>
      </c>
      <c r="H731">
        <v>37</v>
      </c>
      <c r="I731">
        <f>StudentsTable[[#This Row],[math score]]+StudentsTable[[#This Row],[reading score]]+StudentsTable[[#This Row],[writing score]]</f>
        <v>129</v>
      </c>
      <c r="J731">
        <f>StudentsTable[[#This Row],[TotalScore]]/3</f>
        <v>43</v>
      </c>
      <c r="K731" t="str" cm="1">
        <f t="array" ref="K731">_xlfn.IFS(StudentsTable[[#This Row],[AverageScore]]&gt;=90,"A",StudentsTable[[#This Row],[AverageScore]]&gt;=80,"B",StudentsTable[[#This Row],[AverageScore]]&gt;=70,"C",StudentsTable[[#This Row],[AverageScore]]&gt;=60,"D",TRUE,"F")</f>
        <v>F</v>
      </c>
      <c r="L731" t="str">
        <f>IF(StudentsTable[[#This Row],[AverageScore]]&gt;=60,"Pass","Fail")</f>
        <v>Fail</v>
      </c>
      <c r="M731" t="str" cm="1">
        <f t="array" ref="M731">_xlfn.IFS(StudentsTable[[#This Row],[AverageScore]]&gt;=85,"Advanced",StudentsTable[[#This Row],[AverageScore]]&gt;=70,"Intermediate",StudentsTable[[#This Row],[AverageScore]]&gt;=60,"Basic",TRUE,"Needs Help")</f>
        <v>Needs Help</v>
      </c>
      <c r="N731">
        <f>RANK(StudentsTable[[#This Row],[AverageScore]],StudentsTable[AverageScore])</f>
        <v>960</v>
      </c>
      <c r="O731">
        <f>(StudentsTable[[#This Row],[AverageScore]]-MIN(StudentsTable[AverageScore]))/(MAX(StudentsTable[AverageScore])-MIN(StudentsTable[AverageScore]))*100</f>
        <v>37.362637362637365</v>
      </c>
    </row>
    <row r="732" spans="1:15" x14ac:dyDescent="0.3">
      <c r="A732" t="s">
        <v>8</v>
      </c>
      <c r="B732" t="s">
        <v>9</v>
      </c>
      <c r="C732" t="s">
        <v>19</v>
      </c>
      <c r="D732" t="s">
        <v>20</v>
      </c>
      <c r="E732" t="s">
        <v>15</v>
      </c>
      <c r="F732">
        <v>68</v>
      </c>
      <c r="G732">
        <v>77</v>
      </c>
      <c r="H732">
        <v>80</v>
      </c>
      <c r="I732">
        <f>StudentsTable[[#This Row],[math score]]+StudentsTable[[#This Row],[reading score]]+StudentsTable[[#This Row],[writing score]]</f>
        <v>225</v>
      </c>
      <c r="J732">
        <f>StudentsTable[[#This Row],[TotalScore]]/3</f>
        <v>75</v>
      </c>
      <c r="K732" t="str" cm="1">
        <f t="array" ref="K732">_xlfn.IFS(StudentsTable[[#This Row],[AverageScore]]&gt;=90,"A",StudentsTable[[#This Row],[AverageScore]]&gt;=80,"B",StudentsTable[[#This Row],[AverageScore]]&gt;=70,"C",StudentsTable[[#This Row],[AverageScore]]&gt;=60,"D",TRUE,"F")</f>
        <v>C</v>
      </c>
      <c r="L732" t="str">
        <f>IF(StudentsTable[[#This Row],[AverageScore]]&gt;=60,"Pass","Fail")</f>
        <v>Pass</v>
      </c>
      <c r="M732" t="str" cm="1">
        <f t="array" ref="M732">_xlfn.IFS(StudentsTable[[#This Row],[AverageScore]]&gt;=85,"Advanced",StudentsTable[[#This Row],[AverageScore]]&gt;=70,"Intermediate",StudentsTable[[#This Row],[AverageScore]]&gt;=60,"Basic",TRUE,"Needs Help")</f>
        <v>Intermediate</v>
      </c>
      <c r="N732">
        <f>RANK(StudentsTable[[#This Row],[AverageScore]],StudentsTable[AverageScore])</f>
        <v>314</v>
      </c>
      <c r="O732">
        <f>(StudentsTable[[#This Row],[AverageScore]]-MIN(StudentsTable[AverageScore]))/(MAX(StudentsTable[AverageScore])-MIN(StudentsTable[AverageScore]))*100</f>
        <v>72.527472527472526</v>
      </c>
    </row>
    <row r="733" spans="1:15" x14ac:dyDescent="0.3">
      <c r="A733" t="s">
        <v>17</v>
      </c>
      <c r="B733" t="s">
        <v>18</v>
      </c>
      <c r="C733" t="s">
        <v>23</v>
      </c>
      <c r="D733" t="s">
        <v>20</v>
      </c>
      <c r="E733" t="s">
        <v>12</v>
      </c>
      <c r="F733">
        <v>55</v>
      </c>
      <c r="G733">
        <v>46</v>
      </c>
      <c r="H733">
        <v>43</v>
      </c>
      <c r="I733">
        <f>StudentsTable[[#This Row],[math score]]+StudentsTable[[#This Row],[reading score]]+StudentsTable[[#This Row],[writing score]]</f>
        <v>144</v>
      </c>
      <c r="J733">
        <f>StudentsTable[[#This Row],[TotalScore]]/3</f>
        <v>48</v>
      </c>
      <c r="K733" t="str" cm="1">
        <f t="array" ref="K733">_xlfn.IFS(StudentsTable[[#This Row],[AverageScore]]&gt;=90,"A",StudentsTable[[#This Row],[AverageScore]]&gt;=80,"B",StudentsTable[[#This Row],[AverageScore]]&gt;=70,"C",StudentsTable[[#This Row],[AverageScore]]&gt;=60,"D",TRUE,"F")</f>
        <v>F</v>
      </c>
      <c r="L733" t="str">
        <f>IF(StudentsTable[[#This Row],[AverageScore]]&gt;=60,"Pass","Fail")</f>
        <v>Fail</v>
      </c>
      <c r="M733" t="str" cm="1">
        <f t="array" ref="M733">_xlfn.IFS(StudentsTable[[#This Row],[AverageScore]]&gt;=85,"Advanced",StudentsTable[[#This Row],[AverageScore]]&gt;=70,"Intermediate",StudentsTable[[#This Row],[AverageScore]]&gt;=60,"Basic",TRUE,"Needs Help")</f>
        <v>Needs Help</v>
      </c>
      <c r="N733">
        <f>RANK(StudentsTable[[#This Row],[AverageScore]],StudentsTable[AverageScore])</f>
        <v>921</v>
      </c>
      <c r="O733">
        <f>(StudentsTable[[#This Row],[AverageScore]]-MIN(StudentsTable[AverageScore]))/(MAX(StudentsTable[AverageScore])-MIN(StudentsTable[AverageScore]))*100</f>
        <v>42.857142857142854</v>
      </c>
    </row>
    <row r="734" spans="1:15" x14ac:dyDescent="0.3">
      <c r="A734" t="s">
        <v>8</v>
      </c>
      <c r="B734" t="s">
        <v>13</v>
      </c>
      <c r="C734" t="s">
        <v>14</v>
      </c>
      <c r="D734" t="s">
        <v>11</v>
      </c>
      <c r="E734" t="s">
        <v>15</v>
      </c>
      <c r="F734">
        <v>87</v>
      </c>
      <c r="G734">
        <v>89</v>
      </c>
      <c r="H734">
        <v>94</v>
      </c>
      <c r="I734">
        <f>StudentsTable[[#This Row],[math score]]+StudentsTable[[#This Row],[reading score]]+StudentsTable[[#This Row],[writing score]]</f>
        <v>270</v>
      </c>
      <c r="J734">
        <f>StudentsTable[[#This Row],[TotalScore]]/3</f>
        <v>90</v>
      </c>
      <c r="K734" t="str" cm="1">
        <f t="array" ref="K734">_xlfn.IFS(StudentsTable[[#This Row],[AverageScore]]&gt;=90,"A",StudentsTable[[#This Row],[AverageScore]]&gt;=80,"B",StudentsTable[[#This Row],[AverageScore]]&gt;=70,"C",StudentsTable[[#This Row],[AverageScore]]&gt;=60,"D",TRUE,"F")</f>
        <v>A</v>
      </c>
      <c r="L734" t="str">
        <f>IF(StudentsTable[[#This Row],[AverageScore]]&gt;=60,"Pass","Fail")</f>
        <v>Pass</v>
      </c>
      <c r="M734" t="str" cm="1">
        <f t="array" ref="M734">_xlfn.IFS(StudentsTable[[#This Row],[AverageScore]]&gt;=85,"Advanced",StudentsTable[[#This Row],[AverageScore]]&gt;=70,"Intermediate",StudentsTable[[#This Row],[AverageScore]]&gt;=60,"Basic",TRUE,"Needs Help")</f>
        <v>Advanced</v>
      </c>
      <c r="N734">
        <f>RANK(StudentsTable[[#This Row],[AverageScore]],StudentsTable[AverageScore])</f>
        <v>51</v>
      </c>
      <c r="O734">
        <f>(StudentsTable[[#This Row],[AverageScore]]-MIN(StudentsTable[AverageScore]))/(MAX(StudentsTable[AverageScore])-MIN(StudentsTable[AverageScore]))*100</f>
        <v>89.010989010989007</v>
      </c>
    </row>
    <row r="735" spans="1:15" x14ac:dyDescent="0.3">
      <c r="A735" t="s">
        <v>17</v>
      </c>
      <c r="B735" t="s">
        <v>21</v>
      </c>
      <c r="C735" t="s">
        <v>23</v>
      </c>
      <c r="D735" t="s">
        <v>11</v>
      </c>
      <c r="E735" t="s">
        <v>12</v>
      </c>
      <c r="F735">
        <v>55</v>
      </c>
      <c r="G735">
        <v>47</v>
      </c>
      <c r="H735">
        <v>44</v>
      </c>
      <c r="I735">
        <f>StudentsTable[[#This Row],[math score]]+StudentsTable[[#This Row],[reading score]]+StudentsTable[[#This Row],[writing score]]</f>
        <v>146</v>
      </c>
      <c r="J735">
        <f>StudentsTable[[#This Row],[TotalScore]]/3</f>
        <v>48.666666666666664</v>
      </c>
      <c r="K735" t="str" cm="1">
        <f t="array" ref="K735">_xlfn.IFS(StudentsTable[[#This Row],[AverageScore]]&gt;=90,"A",StudentsTable[[#This Row],[AverageScore]]&gt;=80,"B",StudentsTable[[#This Row],[AverageScore]]&gt;=70,"C",StudentsTable[[#This Row],[AverageScore]]&gt;=60,"D",TRUE,"F")</f>
        <v>F</v>
      </c>
      <c r="L735" t="str">
        <f>IF(StudentsTable[[#This Row],[AverageScore]]&gt;=60,"Pass","Fail")</f>
        <v>Fail</v>
      </c>
      <c r="M735" t="str" cm="1">
        <f t="array" ref="M735">_xlfn.IFS(StudentsTable[[#This Row],[AverageScore]]&gt;=85,"Advanced",StudentsTable[[#This Row],[AverageScore]]&gt;=70,"Intermediate",StudentsTable[[#This Row],[AverageScore]]&gt;=60,"Basic",TRUE,"Needs Help")</f>
        <v>Needs Help</v>
      </c>
      <c r="N735">
        <f>RANK(StudentsTable[[#This Row],[AverageScore]],StudentsTable[AverageScore])</f>
        <v>911</v>
      </c>
      <c r="O735">
        <f>(StudentsTable[[#This Row],[AverageScore]]-MIN(StudentsTable[AverageScore]))/(MAX(StudentsTable[AverageScore])-MIN(StudentsTable[AverageScore]))*100</f>
        <v>43.589743589743584</v>
      </c>
    </row>
    <row r="736" spans="1:15" x14ac:dyDescent="0.3">
      <c r="A736" t="s">
        <v>8</v>
      </c>
      <c r="B736" t="s">
        <v>24</v>
      </c>
      <c r="C736" t="s">
        <v>14</v>
      </c>
      <c r="D736" t="s">
        <v>20</v>
      </c>
      <c r="E736" t="s">
        <v>12</v>
      </c>
      <c r="F736">
        <v>53</v>
      </c>
      <c r="G736">
        <v>58</v>
      </c>
      <c r="H736">
        <v>57</v>
      </c>
      <c r="I736">
        <f>StudentsTable[[#This Row],[math score]]+StudentsTable[[#This Row],[reading score]]+StudentsTable[[#This Row],[writing score]]</f>
        <v>168</v>
      </c>
      <c r="J736">
        <f>StudentsTable[[#This Row],[TotalScore]]/3</f>
        <v>56</v>
      </c>
      <c r="K736" t="str" cm="1">
        <f t="array" ref="K736">_xlfn.IFS(StudentsTable[[#This Row],[AverageScore]]&gt;=90,"A",StudentsTable[[#This Row],[AverageScore]]&gt;=80,"B",StudentsTable[[#This Row],[AverageScore]]&gt;=70,"C",StudentsTable[[#This Row],[AverageScore]]&gt;=60,"D",TRUE,"F")</f>
        <v>F</v>
      </c>
      <c r="L736" t="str">
        <f>IF(StudentsTable[[#This Row],[AverageScore]]&gt;=60,"Pass","Fail")</f>
        <v>Fail</v>
      </c>
      <c r="M736" t="str" cm="1">
        <f t="array" ref="M736">_xlfn.IFS(StudentsTable[[#This Row],[AverageScore]]&gt;=85,"Advanced",StudentsTable[[#This Row],[AverageScore]]&gt;=70,"Intermediate",StudentsTable[[#This Row],[AverageScore]]&gt;=60,"Basic",TRUE,"Needs Help")</f>
        <v>Needs Help</v>
      </c>
      <c r="N736">
        <f>RANK(StudentsTable[[#This Row],[AverageScore]],StudentsTable[AverageScore])</f>
        <v>786</v>
      </c>
      <c r="O736">
        <f>(StudentsTable[[#This Row],[AverageScore]]-MIN(StudentsTable[AverageScore]))/(MAX(StudentsTable[AverageScore])-MIN(StudentsTable[AverageScore]))*100</f>
        <v>51.648351648351657</v>
      </c>
    </row>
    <row r="737" spans="1:15" x14ac:dyDescent="0.3">
      <c r="A737" t="s">
        <v>17</v>
      </c>
      <c r="B737" t="s">
        <v>13</v>
      </c>
      <c r="C737" t="s">
        <v>16</v>
      </c>
      <c r="D737" t="s">
        <v>11</v>
      </c>
      <c r="E737" t="s">
        <v>12</v>
      </c>
      <c r="F737">
        <v>67</v>
      </c>
      <c r="G737">
        <v>57</v>
      </c>
      <c r="H737">
        <v>59</v>
      </c>
      <c r="I737">
        <f>StudentsTable[[#This Row],[math score]]+StudentsTable[[#This Row],[reading score]]+StudentsTable[[#This Row],[writing score]]</f>
        <v>183</v>
      </c>
      <c r="J737">
        <f>StudentsTable[[#This Row],[TotalScore]]/3</f>
        <v>61</v>
      </c>
      <c r="K737" t="str" cm="1">
        <f t="array" ref="K737">_xlfn.IFS(StudentsTable[[#This Row],[AverageScore]]&gt;=90,"A",StudentsTable[[#This Row],[AverageScore]]&gt;=80,"B",StudentsTable[[#This Row],[AverageScore]]&gt;=70,"C",StudentsTable[[#This Row],[AverageScore]]&gt;=60,"D",TRUE,"F")</f>
        <v>D</v>
      </c>
      <c r="L737" t="str">
        <f>IF(StudentsTable[[#This Row],[AverageScore]]&gt;=60,"Pass","Fail")</f>
        <v>Pass</v>
      </c>
      <c r="M737" t="str" cm="1">
        <f t="array" ref="M737">_xlfn.IFS(StudentsTable[[#This Row],[AverageScore]]&gt;=85,"Advanced",StudentsTable[[#This Row],[AverageScore]]&gt;=70,"Intermediate",StudentsTable[[#This Row],[AverageScore]]&gt;=60,"Basic",TRUE,"Needs Help")</f>
        <v>Basic</v>
      </c>
      <c r="N737">
        <f>RANK(StudentsTable[[#This Row],[AverageScore]],StudentsTable[AverageScore])</f>
        <v>687</v>
      </c>
      <c r="O737">
        <f>(StudentsTable[[#This Row],[AverageScore]]-MIN(StudentsTable[AverageScore]))/(MAX(StudentsTable[AverageScore])-MIN(StudentsTable[AverageScore]))*100</f>
        <v>57.142857142857139</v>
      </c>
    </row>
    <row r="738" spans="1:15" x14ac:dyDescent="0.3">
      <c r="A738" t="s">
        <v>17</v>
      </c>
      <c r="B738" t="s">
        <v>13</v>
      </c>
      <c r="C738" t="s">
        <v>19</v>
      </c>
      <c r="D738" t="s">
        <v>11</v>
      </c>
      <c r="E738" t="s">
        <v>12</v>
      </c>
      <c r="F738">
        <v>92</v>
      </c>
      <c r="G738">
        <v>79</v>
      </c>
      <c r="H738">
        <v>84</v>
      </c>
      <c r="I738">
        <f>StudentsTable[[#This Row],[math score]]+StudentsTable[[#This Row],[reading score]]+StudentsTable[[#This Row],[writing score]]</f>
        <v>255</v>
      </c>
      <c r="J738">
        <f>StudentsTable[[#This Row],[TotalScore]]/3</f>
        <v>85</v>
      </c>
      <c r="K738" t="str" cm="1">
        <f t="array" ref="K738">_xlfn.IFS(StudentsTable[[#This Row],[AverageScore]]&gt;=90,"A",StudentsTable[[#This Row],[AverageScore]]&gt;=80,"B",StudentsTable[[#This Row],[AverageScore]]&gt;=70,"C",StudentsTable[[#This Row],[AverageScore]]&gt;=60,"D",TRUE,"F")</f>
        <v>B</v>
      </c>
      <c r="L738" t="str">
        <f>IF(StudentsTable[[#This Row],[AverageScore]]&gt;=60,"Pass","Fail")</f>
        <v>Pass</v>
      </c>
      <c r="M738" t="str" cm="1">
        <f t="array" ref="M738">_xlfn.IFS(StudentsTable[[#This Row],[AverageScore]]&gt;=85,"Advanced",StudentsTable[[#This Row],[AverageScore]]&gt;=70,"Intermediate",StudentsTable[[#This Row],[AverageScore]]&gt;=60,"Basic",TRUE,"Needs Help")</f>
        <v>Advanced</v>
      </c>
      <c r="N738">
        <f>RANK(StudentsTable[[#This Row],[AverageScore]],StudentsTable[AverageScore])</f>
        <v>113</v>
      </c>
      <c r="O738">
        <f>(StudentsTable[[#This Row],[AverageScore]]-MIN(StudentsTable[AverageScore]))/(MAX(StudentsTable[AverageScore])-MIN(StudentsTable[AverageScore]))*100</f>
        <v>83.516483516483518</v>
      </c>
    </row>
    <row r="739" spans="1:15" x14ac:dyDescent="0.3">
      <c r="A739" t="s">
        <v>8</v>
      </c>
      <c r="B739" t="s">
        <v>9</v>
      </c>
      <c r="C739" t="s">
        <v>14</v>
      </c>
      <c r="D739" t="s">
        <v>20</v>
      </c>
      <c r="E739" t="s">
        <v>15</v>
      </c>
      <c r="F739">
        <v>53</v>
      </c>
      <c r="G739">
        <v>66</v>
      </c>
      <c r="H739">
        <v>73</v>
      </c>
      <c r="I739">
        <f>StudentsTable[[#This Row],[math score]]+StudentsTable[[#This Row],[reading score]]+StudentsTable[[#This Row],[writing score]]</f>
        <v>192</v>
      </c>
      <c r="J739">
        <f>StudentsTable[[#This Row],[TotalScore]]/3</f>
        <v>64</v>
      </c>
      <c r="K739" t="str" cm="1">
        <f t="array" ref="K739">_xlfn.IFS(StudentsTable[[#This Row],[AverageScore]]&gt;=90,"A",StudentsTable[[#This Row],[AverageScore]]&gt;=80,"B",StudentsTable[[#This Row],[AverageScore]]&gt;=70,"C",StudentsTable[[#This Row],[AverageScore]]&gt;=60,"D",TRUE,"F")</f>
        <v>D</v>
      </c>
      <c r="L739" t="str">
        <f>IF(StudentsTable[[#This Row],[AverageScore]]&gt;=60,"Pass","Fail")</f>
        <v>Pass</v>
      </c>
      <c r="M739" t="str" cm="1">
        <f t="array" ref="M739">_xlfn.IFS(StudentsTable[[#This Row],[AverageScore]]&gt;=85,"Advanced",StudentsTable[[#This Row],[AverageScore]]&gt;=70,"Intermediate",StudentsTable[[#This Row],[AverageScore]]&gt;=60,"Basic",TRUE,"Needs Help")</f>
        <v>Basic</v>
      </c>
      <c r="N739">
        <f>RANK(StudentsTable[[#This Row],[AverageScore]],StudentsTable[AverageScore])</f>
        <v>623</v>
      </c>
      <c r="O739">
        <f>(StudentsTable[[#This Row],[AverageScore]]-MIN(StudentsTable[AverageScore]))/(MAX(StudentsTable[AverageScore])-MIN(StudentsTable[AverageScore]))*100</f>
        <v>60.439560439560438</v>
      </c>
    </row>
    <row r="740" spans="1:15" x14ac:dyDescent="0.3">
      <c r="A740" t="s">
        <v>17</v>
      </c>
      <c r="B740" t="s">
        <v>21</v>
      </c>
      <c r="C740" t="s">
        <v>19</v>
      </c>
      <c r="D740" t="s">
        <v>11</v>
      </c>
      <c r="E740" t="s">
        <v>12</v>
      </c>
      <c r="F740">
        <v>81</v>
      </c>
      <c r="G740">
        <v>71</v>
      </c>
      <c r="H740">
        <v>73</v>
      </c>
      <c r="I740">
        <f>StudentsTable[[#This Row],[math score]]+StudentsTable[[#This Row],[reading score]]+StudentsTable[[#This Row],[writing score]]</f>
        <v>225</v>
      </c>
      <c r="J740">
        <f>StudentsTable[[#This Row],[TotalScore]]/3</f>
        <v>75</v>
      </c>
      <c r="K740" t="str" cm="1">
        <f t="array" ref="K740">_xlfn.IFS(StudentsTable[[#This Row],[AverageScore]]&gt;=90,"A",StudentsTable[[#This Row],[AverageScore]]&gt;=80,"B",StudentsTable[[#This Row],[AverageScore]]&gt;=70,"C",StudentsTable[[#This Row],[AverageScore]]&gt;=60,"D",TRUE,"F")</f>
        <v>C</v>
      </c>
      <c r="L740" t="str">
        <f>IF(StudentsTable[[#This Row],[AverageScore]]&gt;=60,"Pass","Fail")</f>
        <v>Pass</v>
      </c>
      <c r="M740" t="str" cm="1">
        <f t="array" ref="M740">_xlfn.IFS(StudentsTable[[#This Row],[AverageScore]]&gt;=85,"Advanced",StudentsTable[[#This Row],[AverageScore]]&gt;=70,"Intermediate",StudentsTable[[#This Row],[AverageScore]]&gt;=60,"Basic",TRUE,"Needs Help")</f>
        <v>Intermediate</v>
      </c>
      <c r="N740">
        <f>RANK(StudentsTable[[#This Row],[AverageScore]],StudentsTable[AverageScore])</f>
        <v>314</v>
      </c>
      <c r="O740">
        <f>(StudentsTable[[#This Row],[AverageScore]]-MIN(StudentsTable[AverageScore]))/(MAX(StudentsTable[AverageScore])-MIN(StudentsTable[AverageScore]))*100</f>
        <v>72.527472527472526</v>
      </c>
    </row>
    <row r="741" spans="1:15" x14ac:dyDescent="0.3">
      <c r="A741" t="s">
        <v>17</v>
      </c>
      <c r="B741" t="s">
        <v>13</v>
      </c>
      <c r="C741" t="s">
        <v>22</v>
      </c>
      <c r="D741" t="s">
        <v>20</v>
      </c>
      <c r="E741" t="s">
        <v>12</v>
      </c>
      <c r="F741">
        <v>61</v>
      </c>
      <c r="G741">
        <v>60</v>
      </c>
      <c r="H741">
        <v>55</v>
      </c>
      <c r="I741">
        <f>StudentsTable[[#This Row],[math score]]+StudentsTable[[#This Row],[reading score]]+StudentsTable[[#This Row],[writing score]]</f>
        <v>176</v>
      </c>
      <c r="J741">
        <f>StudentsTable[[#This Row],[TotalScore]]/3</f>
        <v>58.666666666666664</v>
      </c>
      <c r="K741" t="str" cm="1">
        <f t="array" ref="K741">_xlfn.IFS(StudentsTable[[#This Row],[AverageScore]]&gt;=90,"A",StudentsTable[[#This Row],[AverageScore]]&gt;=80,"B",StudentsTable[[#This Row],[AverageScore]]&gt;=70,"C",StudentsTable[[#This Row],[AverageScore]]&gt;=60,"D",TRUE,"F")</f>
        <v>F</v>
      </c>
      <c r="L741" t="str">
        <f>IF(StudentsTable[[#This Row],[AverageScore]]&gt;=60,"Pass","Fail")</f>
        <v>Fail</v>
      </c>
      <c r="M741" t="str" cm="1">
        <f t="array" ref="M741">_xlfn.IFS(StudentsTable[[#This Row],[AverageScore]]&gt;=85,"Advanced",StudentsTable[[#This Row],[AverageScore]]&gt;=70,"Intermediate",StudentsTable[[#This Row],[AverageScore]]&gt;=60,"Basic",TRUE,"Needs Help")</f>
        <v>Needs Help</v>
      </c>
      <c r="N741">
        <f>RANK(StudentsTable[[#This Row],[AverageScore]],StudentsTable[AverageScore])</f>
        <v>736</v>
      </c>
      <c r="O741">
        <f>(StudentsTable[[#This Row],[AverageScore]]-MIN(StudentsTable[AverageScore]))/(MAX(StudentsTable[AverageScore])-MIN(StudentsTable[AverageScore]))*100</f>
        <v>54.578754578754577</v>
      </c>
    </row>
    <row r="742" spans="1:15" x14ac:dyDescent="0.3">
      <c r="A742" t="s">
        <v>17</v>
      </c>
      <c r="B742" t="s">
        <v>21</v>
      </c>
      <c r="C742" t="s">
        <v>10</v>
      </c>
      <c r="D742" t="s">
        <v>11</v>
      </c>
      <c r="E742" t="s">
        <v>12</v>
      </c>
      <c r="F742">
        <v>80</v>
      </c>
      <c r="G742">
        <v>73</v>
      </c>
      <c r="H742">
        <v>72</v>
      </c>
      <c r="I742">
        <f>StudentsTable[[#This Row],[math score]]+StudentsTable[[#This Row],[reading score]]+StudentsTable[[#This Row],[writing score]]</f>
        <v>225</v>
      </c>
      <c r="J742">
        <f>StudentsTable[[#This Row],[TotalScore]]/3</f>
        <v>75</v>
      </c>
      <c r="K742" t="str" cm="1">
        <f t="array" ref="K742">_xlfn.IFS(StudentsTable[[#This Row],[AverageScore]]&gt;=90,"A",StudentsTable[[#This Row],[AverageScore]]&gt;=80,"B",StudentsTable[[#This Row],[AverageScore]]&gt;=70,"C",StudentsTable[[#This Row],[AverageScore]]&gt;=60,"D",TRUE,"F")</f>
        <v>C</v>
      </c>
      <c r="L742" t="str">
        <f>IF(StudentsTable[[#This Row],[AverageScore]]&gt;=60,"Pass","Fail")</f>
        <v>Pass</v>
      </c>
      <c r="M742" t="str" cm="1">
        <f t="array" ref="M742">_xlfn.IFS(StudentsTable[[#This Row],[AverageScore]]&gt;=85,"Advanced",StudentsTable[[#This Row],[AverageScore]]&gt;=70,"Intermediate",StudentsTable[[#This Row],[AverageScore]]&gt;=60,"Basic",TRUE,"Needs Help")</f>
        <v>Intermediate</v>
      </c>
      <c r="N742">
        <f>RANK(StudentsTable[[#This Row],[AverageScore]],StudentsTable[AverageScore])</f>
        <v>314</v>
      </c>
      <c r="O742">
        <f>(StudentsTable[[#This Row],[AverageScore]]-MIN(StudentsTable[AverageScore]))/(MAX(StudentsTable[AverageScore])-MIN(StudentsTable[AverageScore]))*100</f>
        <v>72.527472527472526</v>
      </c>
    </row>
    <row r="743" spans="1:15" x14ac:dyDescent="0.3">
      <c r="A743" t="s">
        <v>8</v>
      </c>
      <c r="B743" t="s">
        <v>18</v>
      </c>
      <c r="C743" t="s">
        <v>19</v>
      </c>
      <c r="D743" t="s">
        <v>20</v>
      </c>
      <c r="E743" t="s">
        <v>12</v>
      </c>
      <c r="F743">
        <v>37</v>
      </c>
      <c r="G743">
        <v>57</v>
      </c>
      <c r="H743">
        <v>56</v>
      </c>
      <c r="I743">
        <f>StudentsTable[[#This Row],[math score]]+StudentsTable[[#This Row],[reading score]]+StudentsTable[[#This Row],[writing score]]</f>
        <v>150</v>
      </c>
      <c r="J743">
        <f>StudentsTable[[#This Row],[TotalScore]]/3</f>
        <v>50</v>
      </c>
      <c r="K743" t="str" cm="1">
        <f t="array" ref="K743">_xlfn.IFS(StudentsTable[[#This Row],[AverageScore]]&gt;=90,"A",StudentsTable[[#This Row],[AverageScore]]&gt;=80,"B",StudentsTable[[#This Row],[AverageScore]]&gt;=70,"C",StudentsTable[[#This Row],[AverageScore]]&gt;=60,"D",TRUE,"F")</f>
        <v>F</v>
      </c>
      <c r="L743" t="str">
        <f>IF(StudentsTable[[#This Row],[AverageScore]]&gt;=60,"Pass","Fail")</f>
        <v>Fail</v>
      </c>
      <c r="M743" t="str" cm="1">
        <f t="array" ref="M743">_xlfn.IFS(StudentsTable[[#This Row],[AverageScore]]&gt;=85,"Advanced",StudentsTable[[#This Row],[AverageScore]]&gt;=70,"Intermediate",StudentsTable[[#This Row],[AverageScore]]&gt;=60,"Basic",TRUE,"Needs Help")</f>
        <v>Needs Help</v>
      </c>
      <c r="N743">
        <f>RANK(StudentsTable[[#This Row],[AverageScore]],StudentsTable[AverageScore])</f>
        <v>892</v>
      </c>
      <c r="O743">
        <f>(StudentsTable[[#This Row],[AverageScore]]-MIN(StudentsTable[AverageScore]))/(MAX(StudentsTable[AverageScore])-MIN(StudentsTable[AverageScore]))*100</f>
        <v>45.054945054945058</v>
      </c>
    </row>
    <row r="744" spans="1:15" x14ac:dyDescent="0.3">
      <c r="A744" t="s">
        <v>8</v>
      </c>
      <c r="B744" t="s">
        <v>13</v>
      </c>
      <c r="C744" t="s">
        <v>22</v>
      </c>
      <c r="D744" t="s">
        <v>11</v>
      </c>
      <c r="E744" t="s">
        <v>12</v>
      </c>
      <c r="F744">
        <v>81</v>
      </c>
      <c r="G744">
        <v>84</v>
      </c>
      <c r="H744">
        <v>82</v>
      </c>
      <c r="I744">
        <f>StudentsTable[[#This Row],[math score]]+StudentsTable[[#This Row],[reading score]]+StudentsTable[[#This Row],[writing score]]</f>
        <v>247</v>
      </c>
      <c r="J744">
        <f>StudentsTable[[#This Row],[TotalScore]]/3</f>
        <v>82.333333333333329</v>
      </c>
      <c r="K744" t="str" cm="1">
        <f t="array" ref="K744">_xlfn.IFS(StudentsTable[[#This Row],[AverageScore]]&gt;=90,"A",StudentsTable[[#This Row],[AverageScore]]&gt;=80,"B",StudentsTable[[#This Row],[AverageScore]]&gt;=70,"C",StudentsTable[[#This Row],[AverageScore]]&gt;=60,"D",TRUE,"F")</f>
        <v>B</v>
      </c>
      <c r="L744" t="str">
        <f>IF(StudentsTable[[#This Row],[AverageScore]]&gt;=60,"Pass","Fail")</f>
        <v>Pass</v>
      </c>
      <c r="M744" t="str" cm="1">
        <f t="array" ref="M744">_xlfn.IFS(StudentsTable[[#This Row],[AverageScore]]&gt;=85,"Advanced",StudentsTable[[#This Row],[AverageScore]]&gt;=70,"Intermediate",StudentsTable[[#This Row],[AverageScore]]&gt;=60,"Basic",TRUE,"Needs Help")</f>
        <v>Intermediate</v>
      </c>
      <c r="N744">
        <f>RANK(StudentsTable[[#This Row],[AverageScore]],StudentsTable[AverageScore])</f>
        <v>155</v>
      </c>
      <c r="O744">
        <f>(StudentsTable[[#This Row],[AverageScore]]-MIN(StudentsTable[AverageScore]))/(MAX(StudentsTable[AverageScore])-MIN(StudentsTable[AverageScore]))*100</f>
        <v>80.586080586080584</v>
      </c>
    </row>
    <row r="745" spans="1:15" x14ac:dyDescent="0.3">
      <c r="A745" t="s">
        <v>8</v>
      </c>
      <c r="B745" t="s">
        <v>13</v>
      </c>
      <c r="C745" t="s">
        <v>19</v>
      </c>
      <c r="D745" t="s">
        <v>11</v>
      </c>
      <c r="E745" t="s">
        <v>15</v>
      </c>
      <c r="F745">
        <v>59</v>
      </c>
      <c r="G745">
        <v>73</v>
      </c>
      <c r="H745">
        <v>72</v>
      </c>
      <c r="I745">
        <f>StudentsTable[[#This Row],[math score]]+StudentsTable[[#This Row],[reading score]]+StudentsTable[[#This Row],[writing score]]</f>
        <v>204</v>
      </c>
      <c r="J745">
        <f>StudentsTable[[#This Row],[TotalScore]]/3</f>
        <v>68</v>
      </c>
      <c r="K745" t="str" cm="1">
        <f t="array" ref="K745">_xlfn.IFS(StudentsTable[[#This Row],[AverageScore]]&gt;=90,"A",StudentsTable[[#This Row],[AverageScore]]&gt;=80,"B",StudentsTable[[#This Row],[AverageScore]]&gt;=70,"C",StudentsTable[[#This Row],[AverageScore]]&gt;=60,"D",TRUE,"F")</f>
        <v>D</v>
      </c>
      <c r="L745" t="str">
        <f>IF(StudentsTable[[#This Row],[AverageScore]]&gt;=60,"Pass","Fail")</f>
        <v>Pass</v>
      </c>
      <c r="M745" t="str" cm="1">
        <f t="array" ref="M745">_xlfn.IFS(StudentsTable[[#This Row],[AverageScore]]&gt;=85,"Advanced",StudentsTable[[#This Row],[AverageScore]]&gt;=70,"Intermediate",StudentsTable[[#This Row],[AverageScore]]&gt;=60,"Basic",TRUE,"Needs Help")</f>
        <v>Basic</v>
      </c>
      <c r="N745">
        <f>RANK(StudentsTable[[#This Row],[AverageScore]],StudentsTable[AverageScore])</f>
        <v>512</v>
      </c>
      <c r="O745">
        <f>(StudentsTable[[#This Row],[AverageScore]]-MIN(StudentsTable[AverageScore]))/(MAX(StudentsTable[AverageScore])-MIN(StudentsTable[AverageScore]))*100</f>
        <v>64.835164835164832</v>
      </c>
    </row>
    <row r="746" spans="1:15" x14ac:dyDescent="0.3">
      <c r="A746" t="s">
        <v>17</v>
      </c>
      <c r="B746" t="s">
        <v>9</v>
      </c>
      <c r="C746" t="s">
        <v>14</v>
      </c>
      <c r="D746" t="s">
        <v>20</v>
      </c>
      <c r="E746" t="s">
        <v>12</v>
      </c>
      <c r="F746">
        <v>55</v>
      </c>
      <c r="G746">
        <v>55</v>
      </c>
      <c r="H746">
        <v>47</v>
      </c>
      <c r="I746">
        <f>StudentsTable[[#This Row],[math score]]+StudentsTable[[#This Row],[reading score]]+StudentsTable[[#This Row],[writing score]]</f>
        <v>157</v>
      </c>
      <c r="J746">
        <f>StudentsTable[[#This Row],[TotalScore]]/3</f>
        <v>52.333333333333336</v>
      </c>
      <c r="K746" t="str" cm="1">
        <f t="array" ref="K746">_xlfn.IFS(StudentsTable[[#This Row],[AverageScore]]&gt;=90,"A",StudentsTable[[#This Row],[AverageScore]]&gt;=80,"B",StudentsTable[[#This Row],[AverageScore]]&gt;=70,"C",StudentsTable[[#This Row],[AverageScore]]&gt;=60,"D",TRUE,"F")</f>
        <v>F</v>
      </c>
      <c r="L746" t="str">
        <f>IF(StudentsTable[[#This Row],[AverageScore]]&gt;=60,"Pass","Fail")</f>
        <v>Fail</v>
      </c>
      <c r="M746" t="str" cm="1">
        <f t="array" ref="M746">_xlfn.IFS(StudentsTable[[#This Row],[AverageScore]]&gt;=85,"Advanced",StudentsTable[[#This Row],[AverageScore]]&gt;=70,"Intermediate",StudentsTable[[#This Row],[AverageScore]]&gt;=60,"Basic",TRUE,"Needs Help")</f>
        <v>Needs Help</v>
      </c>
      <c r="N746">
        <f>RANK(StudentsTable[[#This Row],[AverageScore]],StudentsTable[AverageScore])</f>
        <v>850</v>
      </c>
      <c r="O746">
        <f>(StudentsTable[[#This Row],[AverageScore]]-MIN(StudentsTable[AverageScore]))/(MAX(StudentsTable[AverageScore])-MIN(StudentsTable[AverageScore]))*100</f>
        <v>47.61904761904762</v>
      </c>
    </row>
    <row r="747" spans="1:15" x14ac:dyDescent="0.3">
      <c r="A747" t="s">
        <v>17</v>
      </c>
      <c r="B747" t="s">
        <v>21</v>
      </c>
      <c r="C747" t="s">
        <v>19</v>
      </c>
      <c r="D747" t="s">
        <v>11</v>
      </c>
      <c r="E747" t="s">
        <v>12</v>
      </c>
      <c r="F747">
        <v>72</v>
      </c>
      <c r="G747">
        <v>79</v>
      </c>
      <c r="H747">
        <v>74</v>
      </c>
      <c r="I747">
        <f>StudentsTable[[#This Row],[math score]]+StudentsTable[[#This Row],[reading score]]+StudentsTable[[#This Row],[writing score]]</f>
        <v>225</v>
      </c>
      <c r="J747">
        <f>StudentsTable[[#This Row],[TotalScore]]/3</f>
        <v>75</v>
      </c>
      <c r="K747" t="str" cm="1">
        <f t="array" ref="K747">_xlfn.IFS(StudentsTable[[#This Row],[AverageScore]]&gt;=90,"A",StudentsTable[[#This Row],[AverageScore]]&gt;=80,"B",StudentsTable[[#This Row],[AverageScore]]&gt;=70,"C",StudentsTable[[#This Row],[AverageScore]]&gt;=60,"D",TRUE,"F")</f>
        <v>C</v>
      </c>
      <c r="L747" t="str">
        <f>IF(StudentsTable[[#This Row],[AverageScore]]&gt;=60,"Pass","Fail")</f>
        <v>Pass</v>
      </c>
      <c r="M747" t="str" cm="1">
        <f t="array" ref="M747">_xlfn.IFS(StudentsTable[[#This Row],[AverageScore]]&gt;=85,"Advanced",StudentsTable[[#This Row],[AverageScore]]&gt;=70,"Intermediate",StudentsTable[[#This Row],[AverageScore]]&gt;=60,"Basic",TRUE,"Needs Help")</f>
        <v>Intermediate</v>
      </c>
      <c r="N747">
        <f>RANK(StudentsTable[[#This Row],[AverageScore]],StudentsTable[AverageScore])</f>
        <v>314</v>
      </c>
      <c r="O747">
        <f>(StudentsTable[[#This Row],[AverageScore]]-MIN(StudentsTable[AverageScore]))/(MAX(StudentsTable[AverageScore])-MIN(StudentsTable[AverageScore]))*100</f>
        <v>72.527472527472526</v>
      </c>
    </row>
    <row r="748" spans="1:15" x14ac:dyDescent="0.3">
      <c r="A748" t="s">
        <v>17</v>
      </c>
      <c r="B748" t="s">
        <v>21</v>
      </c>
      <c r="C748" t="s">
        <v>22</v>
      </c>
      <c r="D748" t="s">
        <v>11</v>
      </c>
      <c r="E748" t="s">
        <v>12</v>
      </c>
      <c r="F748">
        <v>69</v>
      </c>
      <c r="G748">
        <v>75</v>
      </c>
      <c r="H748">
        <v>71</v>
      </c>
      <c r="I748">
        <f>StudentsTable[[#This Row],[math score]]+StudentsTable[[#This Row],[reading score]]+StudentsTable[[#This Row],[writing score]]</f>
        <v>215</v>
      </c>
      <c r="J748">
        <f>StudentsTable[[#This Row],[TotalScore]]/3</f>
        <v>71.666666666666671</v>
      </c>
      <c r="K748" t="str" cm="1">
        <f t="array" ref="K748">_xlfn.IFS(StudentsTable[[#This Row],[AverageScore]]&gt;=90,"A",StudentsTable[[#This Row],[AverageScore]]&gt;=80,"B",StudentsTable[[#This Row],[AverageScore]]&gt;=70,"C",StudentsTable[[#This Row],[AverageScore]]&gt;=60,"D",TRUE,"F")</f>
        <v>C</v>
      </c>
      <c r="L748" t="str">
        <f>IF(StudentsTable[[#This Row],[AverageScore]]&gt;=60,"Pass","Fail")</f>
        <v>Pass</v>
      </c>
      <c r="M748" t="str" cm="1">
        <f t="array" ref="M748">_xlfn.IFS(StudentsTable[[#This Row],[AverageScore]]&gt;=85,"Advanced",StudentsTable[[#This Row],[AverageScore]]&gt;=70,"Intermediate",StudentsTable[[#This Row],[AverageScore]]&gt;=60,"Basic",TRUE,"Needs Help")</f>
        <v>Intermediate</v>
      </c>
      <c r="N748">
        <f>RANK(StudentsTable[[#This Row],[AverageScore]],StudentsTable[AverageScore])</f>
        <v>404</v>
      </c>
      <c r="O748">
        <f>(StudentsTable[[#This Row],[AverageScore]]-MIN(StudentsTable[AverageScore]))/(MAX(StudentsTable[AverageScore])-MIN(StudentsTable[AverageScore]))*100</f>
        <v>68.864468864468876</v>
      </c>
    </row>
    <row r="749" spans="1:15" x14ac:dyDescent="0.3">
      <c r="A749" t="s">
        <v>17</v>
      </c>
      <c r="B749" t="s">
        <v>13</v>
      </c>
      <c r="C749" t="s">
        <v>14</v>
      </c>
      <c r="D749" t="s">
        <v>11</v>
      </c>
      <c r="E749" t="s">
        <v>12</v>
      </c>
      <c r="F749">
        <v>69</v>
      </c>
      <c r="G749">
        <v>64</v>
      </c>
      <c r="H749">
        <v>68</v>
      </c>
      <c r="I749">
        <f>StudentsTable[[#This Row],[math score]]+StudentsTable[[#This Row],[reading score]]+StudentsTable[[#This Row],[writing score]]</f>
        <v>201</v>
      </c>
      <c r="J749">
        <f>StudentsTable[[#This Row],[TotalScore]]/3</f>
        <v>67</v>
      </c>
      <c r="K749" t="str" cm="1">
        <f t="array" ref="K749">_xlfn.IFS(StudentsTable[[#This Row],[AverageScore]]&gt;=90,"A",StudentsTable[[#This Row],[AverageScore]]&gt;=80,"B",StudentsTable[[#This Row],[AverageScore]]&gt;=70,"C",StudentsTable[[#This Row],[AverageScore]]&gt;=60,"D",TRUE,"F")</f>
        <v>D</v>
      </c>
      <c r="L749" t="str">
        <f>IF(StudentsTable[[#This Row],[AverageScore]]&gt;=60,"Pass","Fail")</f>
        <v>Pass</v>
      </c>
      <c r="M749" t="str" cm="1">
        <f t="array" ref="M749">_xlfn.IFS(StudentsTable[[#This Row],[AverageScore]]&gt;=85,"Advanced",StudentsTable[[#This Row],[AverageScore]]&gt;=70,"Intermediate",StudentsTable[[#This Row],[AverageScore]]&gt;=60,"Basic",TRUE,"Needs Help")</f>
        <v>Basic</v>
      </c>
      <c r="N749">
        <f>RANK(StudentsTable[[#This Row],[AverageScore]],StudentsTable[AverageScore])</f>
        <v>540</v>
      </c>
      <c r="O749">
        <f>(StudentsTable[[#This Row],[AverageScore]]-MIN(StudentsTable[AverageScore]))/(MAX(StudentsTable[AverageScore])-MIN(StudentsTable[AverageScore]))*100</f>
        <v>63.73626373626373</v>
      </c>
    </row>
    <row r="750" spans="1:15" x14ac:dyDescent="0.3">
      <c r="A750" t="s">
        <v>8</v>
      </c>
      <c r="B750" t="s">
        <v>13</v>
      </c>
      <c r="C750" t="s">
        <v>10</v>
      </c>
      <c r="D750" t="s">
        <v>20</v>
      </c>
      <c r="E750" t="s">
        <v>12</v>
      </c>
      <c r="F750">
        <v>50</v>
      </c>
      <c r="G750">
        <v>60</v>
      </c>
      <c r="H750">
        <v>59</v>
      </c>
      <c r="I750">
        <f>StudentsTable[[#This Row],[math score]]+StudentsTable[[#This Row],[reading score]]+StudentsTable[[#This Row],[writing score]]</f>
        <v>169</v>
      </c>
      <c r="J750">
        <f>StudentsTable[[#This Row],[TotalScore]]/3</f>
        <v>56.333333333333336</v>
      </c>
      <c r="K750" t="str" cm="1">
        <f t="array" ref="K750">_xlfn.IFS(StudentsTable[[#This Row],[AverageScore]]&gt;=90,"A",StudentsTable[[#This Row],[AverageScore]]&gt;=80,"B",StudentsTable[[#This Row],[AverageScore]]&gt;=70,"C",StudentsTable[[#This Row],[AverageScore]]&gt;=60,"D",TRUE,"F")</f>
        <v>F</v>
      </c>
      <c r="L750" t="str">
        <f>IF(StudentsTable[[#This Row],[AverageScore]]&gt;=60,"Pass","Fail")</f>
        <v>Fail</v>
      </c>
      <c r="M750" t="str" cm="1">
        <f t="array" ref="M750">_xlfn.IFS(StudentsTable[[#This Row],[AverageScore]]&gt;=85,"Advanced",StudentsTable[[#This Row],[AverageScore]]&gt;=70,"Intermediate",StudentsTable[[#This Row],[AverageScore]]&gt;=60,"Basic",TRUE,"Needs Help")</f>
        <v>Needs Help</v>
      </c>
      <c r="N750">
        <f>RANK(StudentsTable[[#This Row],[AverageScore]],StudentsTable[AverageScore])</f>
        <v>780</v>
      </c>
      <c r="O750">
        <f>(StudentsTable[[#This Row],[AverageScore]]-MIN(StudentsTable[AverageScore]))/(MAX(StudentsTable[AverageScore])-MIN(StudentsTable[AverageScore]))*100</f>
        <v>52.014652014652022</v>
      </c>
    </row>
    <row r="751" spans="1:15" x14ac:dyDescent="0.3">
      <c r="A751" t="s">
        <v>17</v>
      </c>
      <c r="B751" t="s">
        <v>9</v>
      </c>
      <c r="C751" t="s">
        <v>14</v>
      </c>
      <c r="D751" t="s">
        <v>11</v>
      </c>
      <c r="E751" t="s">
        <v>15</v>
      </c>
      <c r="F751">
        <v>87</v>
      </c>
      <c r="G751">
        <v>84</v>
      </c>
      <c r="H751">
        <v>86</v>
      </c>
      <c r="I751">
        <f>StudentsTable[[#This Row],[math score]]+StudentsTable[[#This Row],[reading score]]+StudentsTable[[#This Row],[writing score]]</f>
        <v>257</v>
      </c>
      <c r="J751">
        <f>StudentsTable[[#This Row],[TotalScore]]/3</f>
        <v>85.666666666666671</v>
      </c>
      <c r="K751" t="str" cm="1">
        <f t="array" ref="K751">_xlfn.IFS(StudentsTable[[#This Row],[AverageScore]]&gt;=90,"A",StudentsTable[[#This Row],[AverageScore]]&gt;=80,"B",StudentsTable[[#This Row],[AverageScore]]&gt;=70,"C",StudentsTable[[#This Row],[AverageScore]]&gt;=60,"D",TRUE,"F")</f>
        <v>B</v>
      </c>
      <c r="L751" t="str">
        <f>IF(StudentsTable[[#This Row],[AverageScore]]&gt;=60,"Pass","Fail")</f>
        <v>Pass</v>
      </c>
      <c r="M751" t="str" cm="1">
        <f t="array" ref="M751">_xlfn.IFS(StudentsTable[[#This Row],[AverageScore]]&gt;=85,"Advanced",StudentsTable[[#This Row],[AverageScore]]&gt;=70,"Intermediate",StudentsTable[[#This Row],[AverageScore]]&gt;=60,"Basic",TRUE,"Needs Help")</f>
        <v>Advanced</v>
      </c>
      <c r="N751">
        <f>RANK(StudentsTable[[#This Row],[AverageScore]],StudentsTable[AverageScore])</f>
        <v>103</v>
      </c>
      <c r="O751">
        <f>(StudentsTable[[#This Row],[AverageScore]]-MIN(StudentsTable[AverageScore]))/(MAX(StudentsTable[AverageScore])-MIN(StudentsTable[AverageScore]))*100</f>
        <v>84.249084249084248</v>
      </c>
    </row>
    <row r="752" spans="1:15" x14ac:dyDescent="0.3">
      <c r="A752" t="s">
        <v>17</v>
      </c>
      <c r="B752" t="s">
        <v>21</v>
      </c>
      <c r="C752" t="s">
        <v>23</v>
      </c>
      <c r="D752" t="s">
        <v>11</v>
      </c>
      <c r="E752" t="s">
        <v>15</v>
      </c>
      <c r="F752">
        <v>71</v>
      </c>
      <c r="G752">
        <v>69</v>
      </c>
      <c r="H752">
        <v>68</v>
      </c>
      <c r="I752">
        <f>StudentsTable[[#This Row],[math score]]+StudentsTable[[#This Row],[reading score]]+StudentsTable[[#This Row],[writing score]]</f>
        <v>208</v>
      </c>
      <c r="J752">
        <f>StudentsTable[[#This Row],[TotalScore]]/3</f>
        <v>69.333333333333329</v>
      </c>
      <c r="K752" t="str" cm="1">
        <f t="array" ref="K752">_xlfn.IFS(StudentsTable[[#This Row],[AverageScore]]&gt;=90,"A",StudentsTable[[#This Row],[AverageScore]]&gt;=80,"B",StudentsTable[[#This Row],[AverageScore]]&gt;=70,"C",StudentsTable[[#This Row],[AverageScore]]&gt;=60,"D",TRUE,"F")</f>
        <v>D</v>
      </c>
      <c r="L752" t="str">
        <f>IF(StudentsTable[[#This Row],[AverageScore]]&gt;=60,"Pass","Fail")</f>
        <v>Pass</v>
      </c>
      <c r="M752" t="str" cm="1">
        <f t="array" ref="M752">_xlfn.IFS(StudentsTable[[#This Row],[AverageScore]]&gt;=85,"Advanced",StudentsTable[[#This Row],[AverageScore]]&gt;=70,"Intermediate",StudentsTable[[#This Row],[AverageScore]]&gt;=60,"Basic",TRUE,"Needs Help")</f>
        <v>Basic</v>
      </c>
      <c r="N752">
        <f>RANK(StudentsTable[[#This Row],[AverageScore]],StudentsTable[AverageScore])</f>
        <v>465</v>
      </c>
      <c r="O752">
        <f>(StudentsTable[[#This Row],[AverageScore]]-MIN(StudentsTable[AverageScore]))/(MAX(StudentsTable[AverageScore])-MIN(StudentsTable[AverageScore]))*100</f>
        <v>66.300366300366292</v>
      </c>
    </row>
    <row r="753" spans="1:15" x14ac:dyDescent="0.3">
      <c r="A753" t="s">
        <v>17</v>
      </c>
      <c r="B753" t="s">
        <v>24</v>
      </c>
      <c r="C753" t="s">
        <v>14</v>
      </c>
      <c r="D753" t="s">
        <v>11</v>
      </c>
      <c r="E753" t="s">
        <v>12</v>
      </c>
      <c r="F753">
        <v>68</v>
      </c>
      <c r="G753">
        <v>72</v>
      </c>
      <c r="H753">
        <v>65</v>
      </c>
      <c r="I753">
        <f>StudentsTable[[#This Row],[math score]]+StudentsTable[[#This Row],[reading score]]+StudentsTable[[#This Row],[writing score]]</f>
        <v>205</v>
      </c>
      <c r="J753">
        <f>StudentsTable[[#This Row],[TotalScore]]/3</f>
        <v>68.333333333333329</v>
      </c>
      <c r="K753" t="str" cm="1">
        <f t="array" ref="K753">_xlfn.IFS(StudentsTable[[#This Row],[AverageScore]]&gt;=90,"A",StudentsTable[[#This Row],[AverageScore]]&gt;=80,"B",StudentsTable[[#This Row],[AverageScore]]&gt;=70,"C",StudentsTable[[#This Row],[AverageScore]]&gt;=60,"D",TRUE,"F")</f>
        <v>D</v>
      </c>
      <c r="L753" t="str">
        <f>IF(StudentsTable[[#This Row],[AverageScore]]&gt;=60,"Pass","Fail")</f>
        <v>Pass</v>
      </c>
      <c r="M753" t="str" cm="1">
        <f t="array" ref="M753">_xlfn.IFS(StudentsTable[[#This Row],[AverageScore]]&gt;=85,"Advanced",StudentsTable[[#This Row],[AverageScore]]&gt;=70,"Intermediate",StudentsTable[[#This Row],[AverageScore]]&gt;=60,"Basic",TRUE,"Needs Help")</f>
        <v>Basic</v>
      </c>
      <c r="N753">
        <f>RANK(StudentsTable[[#This Row],[AverageScore]],StudentsTable[AverageScore])</f>
        <v>499</v>
      </c>
      <c r="O753">
        <f>(StudentsTable[[#This Row],[AverageScore]]-MIN(StudentsTable[AverageScore]))/(MAX(StudentsTable[AverageScore])-MIN(StudentsTable[AverageScore]))*100</f>
        <v>65.201465201465197</v>
      </c>
    </row>
    <row r="754" spans="1:15" x14ac:dyDescent="0.3">
      <c r="A754" t="s">
        <v>17</v>
      </c>
      <c r="B754" t="s">
        <v>13</v>
      </c>
      <c r="C754" t="s">
        <v>16</v>
      </c>
      <c r="D754" t="s">
        <v>20</v>
      </c>
      <c r="E754" t="s">
        <v>15</v>
      </c>
      <c r="F754">
        <v>79</v>
      </c>
      <c r="G754">
        <v>77</v>
      </c>
      <c r="H754">
        <v>75</v>
      </c>
      <c r="I754">
        <f>StudentsTable[[#This Row],[math score]]+StudentsTable[[#This Row],[reading score]]+StudentsTable[[#This Row],[writing score]]</f>
        <v>231</v>
      </c>
      <c r="J754">
        <f>StudentsTable[[#This Row],[TotalScore]]/3</f>
        <v>77</v>
      </c>
      <c r="K754" t="str" cm="1">
        <f t="array" ref="K754">_xlfn.IFS(StudentsTable[[#This Row],[AverageScore]]&gt;=90,"A",StudentsTable[[#This Row],[AverageScore]]&gt;=80,"B",StudentsTable[[#This Row],[AverageScore]]&gt;=70,"C",StudentsTable[[#This Row],[AverageScore]]&gt;=60,"D",TRUE,"F")</f>
        <v>C</v>
      </c>
      <c r="L754" t="str">
        <f>IF(StudentsTable[[#This Row],[AverageScore]]&gt;=60,"Pass","Fail")</f>
        <v>Pass</v>
      </c>
      <c r="M754" t="str" cm="1">
        <f t="array" ref="M754">_xlfn.IFS(StudentsTable[[#This Row],[AverageScore]]&gt;=85,"Advanced",StudentsTable[[#This Row],[AverageScore]]&gt;=70,"Intermediate",StudentsTable[[#This Row],[AverageScore]]&gt;=60,"Basic",TRUE,"Needs Help")</f>
        <v>Intermediate</v>
      </c>
      <c r="N754">
        <f>RANK(StudentsTable[[#This Row],[AverageScore]],StudentsTable[AverageScore])</f>
        <v>269</v>
      </c>
      <c r="O754">
        <f>(StudentsTable[[#This Row],[AverageScore]]-MIN(StudentsTable[AverageScore]))/(MAX(StudentsTable[AverageScore])-MIN(StudentsTable[AverageScore]))*100</f>
        <v>74.72527472527473</v>
      </c>
    </row>
    <row r="755" spans="1:15" x14ac:dyDescent="0.3">
      <c r="A755" t="s">
        <v>8</v>
      </c>
      <c r="B755" t="s">
        <v>13</v>
      </c>
      <c r="C755" t="s">
        <v>23</v>
      </c>
      <c r="D755" t="s">
        <v>11</v>
      </c>
      <c r="E755" t="s">
        <v>15</v>
      </c>
      <c r="F755">
        <v>77</v>
      </c>
      <c r="G755">
        <v>90</v>
      </c>
      <c r="H755">
        <v>85</v>
      </c>
      <c r="I755">
        <f>StudentsTable[[#This Row],[math score]]+StudentsTable[[#This Row],[reading score]]+StudentsTable[[#This Row],[writing score]]</f>
        <v>252</v>
      </c>
      <c r="J755">
        <f>StudentsTable[[#This Row],[TotalScore]]/3</f>
        <v>84</v>
      </c>
      <c r="K755" t="str" cm="1">
        <f t="array" ref="K755">_xlfn.IFS(StudentsTable[[#This Row],[AverageScore]]&gt;=90,"A",StudentsTable[[#This Row],[AverageScore]]&gt;=80,"B",StudentsTable[[#This Row],[AverageScore]]&gt;=70,"C",StudentsTable[[#This Row],[AverageScore]]&gt;=60,"D",TRUE,"F")</f>
        <v>B</v>
      </c>
      <c r="L755" t="str">
        <f>IF(StudentsTable[[#This Row],[AverageScore]]&gt;=60,"Pass","Fail")</f>
        <v>Pass</v>
      </c>
      <c r="M755" t="str" cm="1">
        <f t="array" ref="M755">_xlfn.IFS(StudentsTable[[#This Row],[AverageScore]]&gt;=85,"Advanced",StudentsTable[[#This Row],[AverageScore]]&gt;=70,"Intermediate",StudentsTable[[#This Row],[AverageScore]]&gt;=60,"Basic",TRUE,"Needs Help")</f>
        <v>Intermediate</v>
      </c>
      <c r="N755">
        <f>RANK(StudentsTable[[#This Row],[AverageScore]],StudentsTable[AverageScore])</f>
        <v>123</v>
      </c>
      <c r="O755">
        <f>(StudentsTable[[#This Row],[AverageScore]]-MIN(StudentsTable[AverageScore]))/(MAX(StudentsTable[AverageScore])-MIN(StudentsTable[AverageScore]))*100</f>
        <v>82.417582417582409</v>
      </c>
    </row>
    <row r="756" spans="1:15" x14ac:dyDescent="0.3">
      <c r="A756" t="s">
        <v>17</v>
      </c>
      <c r="B756" t="s">
        <v>13</v>
      </c>
      <c r="C756" t="s">
        <v>19</v>
      </c>
      <c r="D756" t="s">
        <v>20</v>
      </c>
      <c r="E756" t="s">
        <v>12</v>
      </c>
      <c r="F756">
        <v>58</v>
      </c>
      <c r="G756">
        <v>55</v>
      </c>
      <c r="H756">
        <v>53</v>
      </c>
      <c r="I756">
        <f>StudentsTable[[#This Row],[math score]]+StudentsTable[[#This Row],[reading score]]+StudentsTable[[#This Row],[writing score]]</f>
        <v>166</v>
      </c>
      <c r="J756">
        <f>StudentsTable[[#This Row],[TotalScore]]/3</f>
        <v>55.333333333333336</v>
      </c>
      <c r="K756" t="str" cm="1">
        <f t="array" ref="K756">_xlfn.IFS(StudentsTable[[#This Row],[AverageScore]]&gt;=90,"A",StudentsTable[[#This Row],[AverageScore]]&gt;=80,"B",StudentsTable[[#This Row],[AverageScore]]&gt;=70,"C",StudentsTable[[#This Row],[AverageScore]]&gt;=60,"D",TRUE,"F")</f>
        <v>F</v>
      </c>
      <c r="L756" t="str">
        <f>IF(StudentsTable[[#This Row],[AverageScore]]&gt;=60,"Pass","Fail")</f>
        <v>Fail</v>
      </c>
      <c r="M756" t="str" cm="1">
        <f t="array" ref="M756">_xlfn.IFS(StudentsTable[[#This Row],[AverageScore]]&gt;=85,"Advanced",StudentsTable[[#This Row],[AverageScore]]&gt;=70,"Intermediate",StudentsTable[[#This Row],[AverageScore]]&gt;=60,"Basic",TRUE,"Needs Help")</f>
        <v>Needs Help</v>
      </c>
      <c r="N756">
        <f>RANK(StudentsTable[[#This Row],[AverageScore]],StudentsTable[AverageScore])</f>
        <v>803</v>
      </c>
      <c r="O756">
        <f>(StudentsTable[[#This Row],[AverageScore]]-MIN(StudentsTable[AverageScore]))/(MAX(StudentsTable[AverageScore])-MIN(StudentsTable[AverageScore]))*100</f>
        <v>50.915750915750927</v>
      </c>
    </row>
    <row r="757" spans="1:15" x14ac:dyDescent="0.3">
      <c r="A757" t="s">
        <v>8</v>
      </c>
      <c r="B757" t="s">
        <v>24</v>
      </c>
      <c r="C757" t="s">
        <v>19</v>
      </c>
      <c r="D757" t="s">
        <v>11</v>
      </c>
      <c r="E757" t="s">
        <v>12</v>
      </c>
      <c r="F757">
        <v>84</v>
      </c>
      <c r="G757">
        <v>95</v>
      </c>
      <c r="H757">
        <v>92</v>
      </c>
      <c r="I757">
        <f>StudentsTable[[#This Row],[math score]]+StudentsTable[[#This Row],[reading score]]+StudentsTable[[#This Row],[writing score]]</f>
        <v>271</v>
      </c>
      <c r="J757">
        <f>StudentsTable[[#This Row],[TotalScore]]/3</f>
        <v>90.333333333333329</v>
      </c>
      <c r="K757" t="str" cm="1">
        <f t="array" ref="K757">_xlfn.IFS(StudentsTable[[#This Row],[AverageScore]]&gt;=90,"A",StudentsTable[[#This Row],[AverageScore]]&gt;=80,"B",StudentsTable[[#This Row],[AverageScore]]&gt;=70,"C",StudentsTable[[#This Row],[AverageScore]]&gt;=60,"D",TRUE,"F")</f>
        <v>A</v>
      </c>
      <c r="L757" t="str">
        <f>IF(StudentsTable[[#This Row],[AverageScore]]&gt;=60,"Pass","Fail")</f>
        <v>Pass</v>
      </c>
      <c r="M757" t="str" cm="1">
        <f t="array" ref="M757">_xlfn.IFS(StudentsTable[[#This Row],[AverageScore]]&gt;=85,"Advanced",StudentsTable[[#This Row],[AverageScore]]&gt;=70,"Intermediate",StudentsTable[[#This Row],[AverageScore]]&gt;=60,"Basic",TRUE,"Needs Help")</f>
        <v>Advanced</v>
      </c>
      <c r="N757">
        <f>RANK(StudentsTable[[#This Row],[AverageScore]],StudentsTable[AverageScore])</f>
        <v>48</v>
      </c>
      <c r="O757">
        <f>(StudentsTable[[#This Row],[AverageScore]]-MIN(StudentsTable[AverageScore]))/(MAX(StudentsTable[AverageScore])-MIN(StudentsTable[AverageScore]))*100</f>
        <v>89.377289377289372</v>
      </c>
    </row>
    <row r="758" spans="1:15" x14ac:dyDescent="0.3">
      <c r="A758" t="s">
        <v>17</v>
      </c>
      <c r="B758" t="s">
        <v>21</v>
      </c>
      <c r="C758" t="s">
        <v>14</v>
      </c>
      <c r="D758" t="s">
        <v>11</v>
      </c>
      <c r="E758" t="s">
        <v>12</v>
      </c>
      <c r="F758">
        <v>55</v>
      </c>
      <c r="G758">
        <v>58</v>
      </c>
      <c r="H758">
        <v>52</v>
      </c>
      <c r="I758">
        <f>StudentsTable[[#This Row],[math score]]+StudentsTable[[#This Row],[reading score]]+StudentsTable[[#This Row],[writing score]]</f>
        <v>165</v>
      </c>
      <c r="J758">
        <f>StudentsTable[[#This Row],[TotalScore]]/3</f>
        <v>55</v>
      </c>
      <c r="K758" t="str" cm="1">
        <f t="array" ref="K758">_xlfn.IFS(StudentsTable[[#This Row],[AverageScore]]&gt;=90,"A",StudentsTable[[#This Row],[AverageScore]]&gt;=80,"B",StudentsTable[[#This Row],[AverageScore]]&gt;=70,"C",StudentsTable[[#This Row],[AverageScore]]&gt;=60,"D",TRUE,"F")</f>
        <v>F</v>
      </c>
      <c r="L758" t="str">
        <f>IF(StudentsTable[[#This Row],[AverageScore]]&gt;=60,"Pass","Fail")</f>
        <v>Fail</v>
      </c>
      <c r="M758" t="str" cm="1">
        <f t="array" ref="M758">_xlfn.IFS(StudentsTable[[#This Row],[AverageScore]]&gt;=85,"Advanced",StudentsTable[[#This Row],[AverageScore]]&gt;=70,"Intermediate",StudentsTable[[#This Row],[AverageScore]]&gt;=60,"Basic",TRUE,"Needs Help")</f>
        <v>Needs Help</v>
      </c>
      <c r="N758">
        <f>RANK(StudentsTable[[#This Row],[AverageScore]],StudentsTable[AverageScore])</f>
        <v>808</v>
      </c>
      <c r="O758">
        <f>(StudentsTable[[#This Row],[AverageScore]]-MIN(StudentsTable[AverageScore]))/(MAX(StudentsTable[AverageScore])-MIN(StudentsTable[AverageScore]))*100</f>
        <v>50.549450549450547</v>
      </c>
    </row>
    <row r="759" spans="1:15" x14ac:dyDescent="0.3">
      <c r="A759" t="s">
        <v>17</v>
      </c>
      <c r="B759" t="s">
        <v>24</v>
      </c>
      <c r="C759" t="s">
        <v>10</v>
      </c>
      <c r="D759" t="s">
        <v>20</v>
      </c>
      <c r="E759" t="s">
        <v>15</v>
      </c>
      <c r="F759">
        <v>70</v>
      </c>
      <c r="G759">
        <v>68</v>
      </c>
      <c r="H759">
        <v>72</v>
      </c>
      <c r="I759">
        <f>StudentsTable[[#This Row],[math score]]+StudentsTable[[#This Row],[reading score]]+StudentsTable[[#This Row],[writing score]]</f>
        <v>210</v>
      </c>
      <c r="J759">
        <f>StudentsTable[[#This Row],[TotalScore]]/3</f>
        <v>70</v>
      </c>
      <c r="K759" t="str" cm="1">
        <f t="array" ref="K759">_xlfn.IFS(StudentsTable[[#This Row],[AverageScore]]&gt;=90,"A",StudentsTable[[#This Row],[AverageScore]]&gt;=80,"B",StudentsTable[[#This Row],[AverageScore]]&gt;=70,"C",StudentsTable[[#This Row],[AverageScore]]&gt;=60,"D",TRUE,"F")</f>
        <v>C</v>
      </c>
      <c r="L759" t="str">
        <f>IF(StudentsTable[[#This Row],[AverageScore]]&gt;=60,"Pass","Fail")</f>
        <v>Pass</v>
      </c>
      <c r="M759" t="str" cm="1">
        <f t="array" ref="M759">_xlfn.IFS(StudentsTable[[#This Row],[AverageScore]]&gt;=85,"Advanced",StudentsTable[[#This Row],[AverageScore]]&gt;=70,"Intermediate",StudentsTable[[#This Row],[AverageScore]]&gt;=60,"Basic",TRUE,"Needs Help")</f>
        <v>Intermediate</v>
      </c>
      <c r="N759">
        <f>RANK(StudentsTable[[#This Row],[AverageScore]],StudentsTable[AverageScore])</f>
        <v>448</v>
      </c>
      <c r="O759">
        <f>(StudentsTable[[#This Row],[AverageScore]]-MIN(StudentsTable[AverageScore]))/(MAX(StudentsTable[AverageScore])-MIN(StudentsTable[AverageScore]))*100</f>
        <v>67.032967032967022</v>
      </c>
    </row>
    <row r="760" spans="1:15" x14ac:dyDescent="0.3">
      <c r="A760" t="s">
        <v>8</v>
      </c>
      <c r="B760" t="s">
        <v>21</v>
      </c>
      <c r="C760" t="s">
        <v>14</v>
      </c>
      <c r="D760" t="s">
        <v>20</v>
      </c>
      <c r="E760" t="s">
        <v>15</v>
      </c>
      <c r="F760">
        <v>52</v>
      </c>
      <c r="G760">
        <v>59</v>
      </c>
      <c r="H760">
        <v>65</v>
      </c>
      <c r="I760">
        <f>StudentsTable[[#This Row],[math score]]+StudentsTable[[#This Row],[reading score]]+StudentsTable[[#This Row],[writing score]]</f>
        <v>176</v>
      </c>
      <c r="J760">
        <f>StudentsTable[[#This Row],[TotalScore]]/3</f>
        <v>58.666666666666664</v>
      </c>
      <c r="K760" t="str" cm="1">
        <f t="array" ref="K760">_xlfn.IFS(StudentsTable[[#This Row],[AverageScore]]&gt;=90,"A",StudentsTable[[#This Row],[AverageScore]]&gt;=80,"B",StudentsTable[[#This Row],[AverageScore]]&gt;=70,"C",StudentsTable[[#This Row],[AverageScore]]&gt;=60,"D",TRUE,"F")</f>
        <v>F</v>
      </c>
      <c r="L760" t="str">
        <f>IF(StudentsTable[[#This Row],[AverageScore]]&gt;=60,"Pass","Fail")</f>
        <v>Fail</v>
      </c>
      <c r="M760" t="str" cm="1">
        <f t="array" ref="M760">_xlfn.IFS(StudentsTable[[#This Row],[AverageScore]]&gt;=85,"Advanced",StudentsTable[[#This Row],[AverageScore]]&gt;=70,"Intermediate",StudentsTable[[#This Row],[AverageScore]]&gt;=60,"Basic",TRUE,"Needs Help")</f>
        <v>Needs Help</v>
      </c>
      <c r="N760">
        <f>RANK(StudentsTable[[#This Row],[AverageScore]],StudentsTable[AverageScore])</f>
        <v>736</v>
      </c>
      <c r="O760">
        <f>(StudentsTable[[#This Row],[AverageScore]]-MIN(StudentsTable[AverageScore]))/(MAX(StudentsTable[AverageScore])-MIN(StudentsTable[AverageScore]))*100</f>
        <v>54.578754578754577</v>
      </c>
    </row>
    <row r="761" spans="1:15" x14ac:dyDescent="0.3">
      <c r="A761" t="s">
        <v>17</v>
      </c>
      <c r="B761" t="s">
        <v>9</v>
      </c>
      <c r="C761" t="s">
        <v>14</v>
      </c>
      <c r="D761" t="s">
        <v>11</v>
      </c>
      <c r="E761" t="s">
        <v>15</v>
      </c>
      <c r="F761">
        <v>69</v>
      </c>
      <c r="G761">
        <v>77</v>
      </c>
      <c r="H761">
        <v>77</v>
      </c>
      <c r="I761">
        <f>StudentsTable[[#This Row],[math score]]+StudentsTable[[#This Row],[reading score]]+StudentsTable[[#This Row],[writing score]]</f>
        <v>223</v>
      </c>
      <c r="J761">
        <f>StudentsTable[[#This Row],[TotalScore]]/3</f>
        <v>74.333333333333329</v>
      </c>
      <c r="K761" t="str" cm="1">
        <f t="array" ref="K761">_xlfn.IFS(StudentsTable[[#This Row],[AverageScore]]&gt;=90,"A",StudentsTable[[#This Row],[AverageScore]]&gt;=80,"B",StudentsTable[[#This Row],[AverageScore]]&gt;=70,"C",StudentsTable[[#This Row],[AverageScore]]&gt;=60,"D",TRUE,"F")</f>
        <v>C</v>
      </c>
      <c r="L761" t="str">
        <f>IF(StudentsTable[[#This Row],[AverageScore]]&gt;=60,"Pass","Fail")</f>
        <v>Pass</v>
      </c>
      <c r="M761" t="str" cm="1">
        <f t="array" ref="M761">_xlfn.IFS(StudentsTable[[#This Row],[AverageScore]]&gt;=85,"Advanced",StudentsTable[[#This Row],[AverageScore]]&gt;=70,"Intermediate",StudentsTable[[#This Row],[AverageScore]]&gt;=60,"Basic",TRUE,"Needs Help")</f>
        <v>Intermediate</v>
      </c>
      <c r="N761">
        <f>RANK(StudentsTable[[#This Row],[AverageScore]],StudentsTable[AverageScore])</f>
        <v>333</v>
      </c>
      <c r="O761">
        <f>(StudentsTable[[#This Row],[AverageScore]]-MIN(StudentsTable[AverageScore]))/(MAX(StudentsTable[AverageScore])-MIN(StudentsTable[AverageScore]))*100</f>
        <v>71.794871794871796</v>
      </c>
    </row>
    <row r="762" spans="1:15" x14ac:dyDescent="0.3">
      <c r="A762" t="s">
        <v>8</v>
      </c>
      <c r="B762" t="s">
        <v>13</v>
      </c>
      <c r="C762" t="s">
        <v>22</v>
      </c>
      <c r="D762" t="s">
        <v>20</v>
      </c>
      <c r="E762" t="s">
        <v>12</v>
      </c>
      <c r="F762">
        <v>53</v>
      </c>
      <c r="G762">
        <v>72</v>
      </c>
      <c r="H762">
        <v>64</v>
      </c>
      <c r="I762">
        <f>StudentsTable[[#This Row],[math score]]+StudentsTable[[#This Row],[reading score]]+StudentsTable[[#This Row],[writing score]]</f>
        <v>189</v>
      </c>
      <c r="J762">
        <f>StudentsTable[[#This Row],[TotalScore]]/3</f>
        <v>63</v>
      </c>
      <c r="K762" t="str" cm="1">
        <f t="array" ref="K762">_xlfn.IFS(StudentsTable[[#This Row],[AverageScore]]&gt;=90,"A",StudentsTable[[#This Row],[AverageScore]]&gt;=80,"B",StudentsTable[[#This Row],[AverageScore]]&gt;=70,"C",StudentsTable[[#This Row],[AverageScore]]&gt;=60,"D",TRUE,"F")</f>
        <v>D</v>
      </c>
      <c r="L762" t="str">
        <f>IF(StudentsTable[[#This Row],[AverageScore]]&gt;=60,"Pass","Fail")</f>
        <v>Pass</v>
      </c>
      <c r="M762" t="str" cm="1">
        <f t="array" ref="M762">_xlfn.IFS(StudentsTable[[#This Row],[AverageScore]]&gt;=85,"Advanced",StudentsTable[[#This Row],[AverageScore]]&gt;=70,"Intermediate",StudentsTable[[#This Row],[AverageScore]]&gt;=60,"Basic",TRUE,"Needs Help")</f>
        <v>Basic</v>
      </c>
      <c r="N762">
        <f>RANK(StudentsTable[[#This Row],[AverageScore]],StudentsTable[AverageScore])</f>
        <v>646</v>
      </c>
      <c r="O762">
        <f>(StudentsTable[[#This Row],[AverageScore]]-MIN(StudentsTable[AverageScore]))/(MAX(StudentsTable[AverageScore])-MIN(StudentsTable[AverageScore]))*100</f>
        <v>59.340659340659343</v>
      </c>
    </row>
    <row r="763" spans="1:15" x14ac:dyDescent="0.3">
      <c r="A763" t="s">
        <v>8</v>
      </c>
      <c r="B763" t="s">
        <v>21</v>
      </c>
      <c r="C763" t="s">
        <v>23</v>
      </c>
      <c r="D763" t="s">
        <v>11</v>
      </c>
      <c r="E763" t="s">
        <v>12</v>
      </c>
      <c r="F763">
        <v>48</v>
      </c>
      <c r="G763">
        <v>58</v>
      </c>
      <c r="H763">
        <v>54</v>
      </c>
      <c r="I763">
        <f>StudentsTable[[#This Row],[math score]]+StudentsTable[[#This Row],[reading score]]+StudentsTable[[#This Row],[writing score]]</f>
        <v>160</v>
      </c>
      <c r="J763">
        <f>StudentsTable[[#This Row],[TotalScore]]/3</f>
        <v>53.333333333333336</v>
      </c>
      <c r="K763" t="str" cm="1">
        <f t="array" ref="K763">_xlfn.IFS(StudentsTable[[#This Row],[AverageScore]]&gt;=90,"A",StudentsTable[[#This Row],[AverageScore]]&gt;=80,"B",StudentsTable[[#This Row],[AverageScore]]&gt;=70,"C",StudentsTable[[#This Row],[AverageScore]]&gt;=60,"D",TRUE,"F")</f>
        <v>F</v>
      </c>
      <c r="L763" t="str">
        <f>IF(StudentsTable[[#This Row],[AverageScore]]&gt;=60,"Pass","Fail")</f>
        <v>Fail</v>
      </c>
      <c r="M763" t="str" cm="1">
        <f t="array" ref="M763">_xlfn.IFS(StudentsTable[[#This Row],[AverageScore]]&gt;=85,"Advanced",StudentsTable[[#This Row],[AverageScore]]&gt;=70,"Intermediate",StudentsTable[[#This Row],[AverageScore]]&gt;=60,"Basic",TRUE,"Needs Help")</f>
        <v>Needs Help</v>
      </c>
      <c r="N763">
        <f>RANK(StudentsTable[[#This Row],[AverageScore]],StudentsTable[AverageScore])</f>
        <v>837</v>
      </c>
      <c r="O763">
        <f>(StudentsTable[[#This Row],[AverageScore]]-MIN(StudentsTable[AverageScore]))/(MAX(StudentsTable[AverageScore])-MIN(StudentsTable[AverageScore]))*100</f>
        <v>48.717948717948723</v>
      </c>
    </row>
    <row r="764" spans="1:15" x14ac:dyDescent="0.3">
      <c r="A764" t="s">
        <v>17</v>
      </c>
      <c r="B764" t="s">
        <v>21</v>
      </c>
      <c r="C764" t="s">
        <v>23</v>
      </c>
      <c r="D764" t="s">
        <v>11</v>
      </c>
      <c r="E764" t="s">
        <v>15</v>
      </c>
      <c r="F764">
        <v>78</v>
      </c>
      <c r="G764">
        <v>81</v>
      </c>
      <c r="H764">
        <v>86</v>
      </c>
      <c r="I764">
        <f>StudentsTable[[#This Row],[math score]]+StudentsTable[[#This Row],[reading score]]+StudentsTable[[#This Row],[writing score]]</f>
        <v>245</v>
      </c>
      <c r="J764">
        <f>StudentsTable[[#This Row],[TotalScore]]/3</f>
        <v>81.666666666666671</v>
      </c>
      <c r="K764" t="str" cm="1">
        <f t="array" ref="K764">_xlfn.IFS(StudentsTable[[#This Row],[AverageScore]]&gt;=90,"A",StudentsTable[[#This Row],[AverageScore]]&gt;=80,"B",StudentsTable[[#This Row],[AverageScore]]&gt;=70,"C",StudentsTable[[#This Row],[AverageScore]]&gt;=60,"D",TRUE,"F")</f>
        <v>B</v>
      </c>
      <c r="L764" t="str">
        <f>IF(StudentsTable[[#This Row],[AverageScore]]&gt;=60,"Pass","Fail")</f>
        <v>Pass</v>
      </c>
      <c r="M764" t="str" cm="1">
        <f t="array" ref="M764">_xlfn.IFS(StudentsTable[[#This Row],[AverageScore]]&gt;=85,"Advanced",StudentsTable[[#This Row],[AverageScore]]&gt;=70,"Intermediate",StudentsTable[[#This Row],[AverageScore]]&gt;=60,"Basic",TRUE,"Needs Help")</f>
        <v>Intermediate</v>
      </c>
      <c r="N764">
        <f>RANK(StudentsTable[[#This Row],[AverageScore]],StudentsTable[AverageScore])</f>
        <v>169</v>
      </c>
      <c r="O764">
        <f>(StudentsTable[[#This Row],[AverageScore]]-MIN(StudentsTable[AverageScore]))/(MAX(StudentsTable[AverageScore])-MIN(StudentsTable[AverageScore]))*100</f>
        <v>79.853479853479854</v>
      </c>
    </row>
    <row r="765" spans="1:15" x14ac:dyDescent="0.3">
      <c r="A765" t="s">
        <v>8</v>
      </c>
      <c r="B765" t="s">
        <v>9</v>
      </c>
      <c r="C765" t="s">
        <v>22</v>
      </c>
      <c r="D765" t="s">
        <v>11</v>
      </c>
      <c r="E765" t="s">
        <v>12</v>
      </c>
      <c r="F765">
        <v>62</v>
      </c>
      <c r="G765">
        <v>62</v>
      </c>
      <c r="H765">
        <v>63</v>
      </c>
      <c r="I765">
        <f>StudentsTable[[#This Row],[math score]]+StudentsTable[[#This Row],[reading score]]+StudentsTable[[#This Row],[writing score]]</f>
        <v>187</v>
      </c>
      <c r="J765">
        <f>StudentsTable[[#This Row],[TotalScore]]/3</f>
        <v>62.333333333333336</v>
      </c>
      <c r="K765" t="str" cm="1">
        <f t="array" ref="K765">_xlfn.IFS(StudentsTable[[#This Row],[AverageScore]]&gt;=90,"A",StudentsTable[[#This Row],[AverageScore]]&gt;=80,"B",StudentsTable[[#This Row],[AverageScore]]&gt;=70,"C",StudentsTable[[#This Row],[AverageScore]]&gt;=60,"D",TRUE,"F")</f>
        <v>D</v>
      </c>
      <c r="L765" t="str">
        <f>IF(StudentsTable[[#This Row],[AverageScore]]&gt;=60,"Pass","Fail")</f>
        <v>Pass</v>
      </c>
      <c r="M765" t="str" cm="1">
        <f t="array" ref="M765">_xlfn.IFS(StudentsTable[[#This Row],[AverageScore]]&gt;=85,"Advanced",StudentsTable[[#This Row],[AverageScore]]&gt;=70,"Intermediate",StudentsTable[[#This Row],[AverageScore]]&gt;=60,"Basic",TRUE,"Needs Help")</f>
        <v>Basic</v>
      </c>
      <c r="N765">
        <f>RANK(StudentsTable[[#This Row],[AverageScore]],StudentsTable[AverageScore])</f>
        <v>657</v>
      </c>
      <c r="O765">
        <f>(StudentsTable[[#This Row],[AverageScore]]-MIN(StudentsTable[AverageScore]))/(MAX(StudentsTable[AverageScore])-MIN(StudentsTable[AverageScore]))*100</f>
        <v>58.608058608058613</v>
      </c>
    </row>
    <row r="766" spans="1:15" x14ac:dyDescent="0.3">
      <c r="A766" t="s">
        <v>17</v>
      </c>
      <c r="B766" t="s">
        <v>21</v>
      </c>
      <c r="C766" t="s">
        <v>14</v>
      </c>
      <c r="D766" t="s">
        <v>11</v>
      </c>
      <c r="E766" t="s">
        <v>12</v>
      </c>
      <c r="F766">
        <v>60</v>
      </c>
      <c r="G766">
        <v>63</v>
      </c>
      <c r="H766">
        <v>59</v>
      </c>
      <c r="I766">
        <f>StudentsTable[[#This Row],[math score]]+StudentsTable[[#This Row],[reading score]]+StudentsTable[[#This Row],[writing score]]</f>
        <v>182</v>
      </c>
      <c r="J766">
        <f>StudentsTable[[#This Row],[TotalScore]]/3</f>
        <v>60.666666666666664</v>
      </c>
      <c r="K766" t="str" cm="1">
        <f t="array" ref="K766">_xlfn.IFS(StudentsTable[[#This Row],[AverageScore]]&gt;=90,"A",StudentsTable[[#This Row],[AverageScore]]&gt;=80,"B",StudentsTable[[#This Row],[AverageScore]]&gt;=70,"C",StudentsTable[[#This Row],[AverageScore]]&gt;=60,"D",TRUE,"F")</f>
        <v>D</v>
      </c>
      <c r="L766" t="str">
        <f>IF(StudentsTable[[#This Row],[AverageScore]]&gt;=60,"Pass","Fail")</f>
        <v>Pass</v>
      </c>
      <c r="M766" t="str" cm="1">
        <f t="array" ref="M766">_xlfn.IFS(StudentsTable[[#This Row],[AverageScore]]&gt;=85,"Advanced",StudentsTable[[#This Row],[AverageScore]]&gt;=70,"Intermediate",StudentsTable[[#This Row],[AverageScore]]&gt;=60,"Basic",TRUE,"Needs Help")</f>
        <v>Basic</v>
      </c>
      <c r="N766">
        <f>RANK(StudentsTable[[#This Row],[AverageScore]],StudentsTable[AverageScore])</f>
        <v>693</v>
      </c>
      <c r="O766">
        <f>(StudentsTable[[#This Row],[AverageScore]]-MIN(StudentsTable[AverageScore]))/(MAX(StudentsTable[AverageScore])-MIN(StudentsTable[AverageScore]))*100</f>
        <v>56.776556776556774</v>
      </c>
    </row>
    <row r="767" spans="1:15" x14ac:dyDescent="0.3">
      <c r="A767" t="s">
        <v>8</v>
      </c>
      <c r="B767" t="s">
        <v>9</v>
      </c>
      <c r="C767" t="s">
        <v>22</v>
      </c>
      <c r="D767" t="s">
        <v>11</v>
      </c>
      <c r="E767" t="s">
        <v>12</v>
      </c>
      <c r="F767">
        <v>74</v>
      </c>
      <c r="G767">
        <v>72</v>
      </c>
      <c r="H767">
        <v>72</v>
      </c>
      <c r="I767">
        <f>StudentsTable[[#This Row],[math score]]+StudentsTable[[#This Row],[reading score]]+StudentsTable[[#This Row],[writing score]]</f>
        <v>218</v>
      </c>
      <c r="J767">
        <f>StudentsTable[[#This Row],[TotalScore]]/3</f>
        <v>72.666666666666671</v>
      </c>
      <c r="K767" t="str" cm="1">
        <f t="array" ref="K767">_xlfn.IFS(StudentsTable[[#This Row],[AverageScore]]&gt;=90,"A",StudentsTable[[#This Row],[AverageScore]]&gt;=80,"B",StudentsTable[[#This Row],[AverageScore]]&gt;=70,"C",StudentsTable[[#This Row],[AverageScore]]&gt;=60,"D",TRUE,"F")</f>
        <v>C</v>
      </c>
      <c r="L767" t="str">
        <f>IF(StudentsTable[[#This Row],[AverageScore]]&gt;=60,"Pass","Fail")</f>
        <v>Pass</v>
      </c>
      <c r="M767" t="str" cm="1">
        <f t="array" ref="M767">_xlfn.IFS(StudentsTable[[#This Row],[AverageScore]]&gt;=85,"Advanced",StudentsTable[[#This Row],[AverageScore]]&gt;=70,"Intermediate",StudentsTable[[#This Row],[AverageScore]]&gt;=60,"Basic",TRUE,"Needs Help")</f>
        <v>Intermediate</v>
      </c>
      <c r="N767">
        <f>RANK(StudentsTable[[#This Row],[AverageScore]],StudentsTable[AverageScore])</f>
        <v>379</v>
      </c>
      <c r="O767">
        <f>(StudentsTable[[#This Row],[AverageScore]]-MIN(StudentsTable[AverageScore]))/(MAX(StudentsTable[AverageScore])-MIN(StudentsTable[AverageScore]))*100</f>
        <v>69.963369963369971</v>
      </c>
    </row>
    <row r="768" spans="1:15" x14ac:dyDescent="0.3">
      <c r="A768" t="s">
        <v>8</v>
      </c>
      <c r="B768" t="s">
        <v>13</v>
      </c>
      <c r="C768" t="s">
        <v>22</v>
      </c>
      <c r="D768" t="s">
        <v>11</v>
      </c>
      <c r="E768" t="s">
        <v>15</v>
      </c>
      <c r="F768">
        <v>58</v>
      </c>
      <c r="G768">
        <v>75</v>
      </c>
      <c r="H768">
        <v>77</v>
      </c>
      <c r="I768">
        <f>StudentsTable[[#This Row],[math score]]+StudentsTable[[#This Row],[reading score]]+StudentsTable[[#This Row],[writing score]]</f>
        <v>210</v>
      </c>
      <c r="J768">
        <f>StudentsTable[[#This Row],[TotalScore]]/3</f>
        <v>70</v>
      </c>
      <c r="K768" t="str" cm="1">
        <f t="array" ref="K768">_xlfn.IFS(StudentsTable[[#This Row],[AverageScore]]&gt;=90,"A",StudentsTable[[#This Row],[AverageScore]]&gt;=80,"B",StudentsTable[[#This Row],[AverageScore]]&gt;=70,"C",StudentsTable[[#This Row],[AverageScore]]&gt;=60,"D",TRUE,"F")</f>
        <v>C</v>
      </c>
      <c r="L768" t="str">
        <f>IF(StudentsTable[[#This Row],[AverageScore]]&gt;=60,"Pass","Fail")</f>
        <v>Pass</v>
      </c>
      <c r="M768" t="str" cm="1">
        <f t="array" ref="M768">_xlfn.IFS(StudentsTable[[#This Row],[AverageScore]]&gt;=85,"Advanced",StudentsTable[[#This Row],[AverageScore]]&gt;=70,"Intermediate",StudentsTable[[#This Row],[AverageScore]]&gt;=60,"Basic",TRUE,"Needs Help")</f>
        <v>Intermediate</v>
      </c>
      <c r="N768">
        <f>RANK(StudentsTable[[#This Row],[AverageScore]],StudentsTable[AverageScore])</f>
        <v>448</v>
      </c>
      <c r="O768">
        <f>(StudentsTable[[#This Row],[AverageScore]]-MIN(StudentsTable[AverageScore]))/(MAX(StudentsTable[AverageScore])-MIN(StudentsTable[AverageScore]))*100</f>
        <v>67.032967032967022</v>
      </c>
    </row>
    <row r="769" spans="1:15" x14ac:dyDescent="0.3">
      <c r="A769" t="s">
        <v>17</v>
      </c>
      <c r="B769" t="s">
        <v>9</v>
      </c>
      <c r="C769" t="s">
        <v>22</v>
      </c>
      <c r="D769" t="s">
        <v>11</v>
      </c>
      <c r="E769" t="s">
        <v>15</v>
      </c>
      <c r="F769">
        <v>76</v>
      </c>
      <c r="G769">
        <v>62</v>
      </c>
      <c r="H769">
        <v>60</v>
      </c>
      <c r="I769">
        <f>StudentsTable[[#This Row],[math score]]+StudentsTable[[#This Row],[reading score]]+StudentsTable[[#This Row],[writing score]]</f>
        <v>198</v>
      </c>
      <c r="J769">
        <f>StudentsTable[[#This Row],[TotalScore]]/3</f>
        <v>66</v>
      </c>
      <c r="K769" t="str" cm="1">
        <f t="array" ref="K769">_xlfn.IFS(StudentsTable[[#This Row],[AverageScore]]&gt;=90,"A",StudentsTable[[#This Row],[AverageScore]]&gt;=80,"B",StudentsTable[[#This Row],[AverageScore]]&gt;=70,"C",StudentsTable[[#This Row],[AverageScore]]&gt;=60,"D",TRUE,"F")</f>
        <v>D</v>
      </c>
      <c r="L769" t="str">
        <f>IF(StudentsTable[[#This Row],[AverageScore]]&gt;=60,"Pass","Fail")</f>
        <v>Pass</v>
      </c>
      <c r="M769" t="str" cm="1">
        <f t="array" ref="M769">_xlfn.IFS(StudentsTable[[#This Row],[AverageScore]]&gt;=85,"Advanced",StudentsTable[[#This Row],[AverageScore]]&gt;=70,"Intermediate",StudentsTable[[#This Row],[AverageScore]]&gt;=60,"Basic",TRUE,"Needs Help")</f>
        <v>Basic</v>
      </c>
      <c r="N769">
        <f>RANK(StudentsTable[[#This Row],[AverageScore]],StudentsTable[AverageScore])</f>
        <v>562</v>
      </c>
      <c r="O769">
        <f>(StudentsTable[[#This Row],[AverageScore]]-MIN(StudentsTable[AverageScore]))/(MAX(StudentsTable[AverageScore])-MIN(StudentsTable[AverageScore]))*100</f>
        <v>62.637362637362635</v>
      </c>
    </row>
    <row r="770" spans="1:15" x14ac:dyDescent="0.3">
      <c r="A770" t="s">
        <v>8</v>
      </c>
      <c r="B770" t="s">
        <v>21</v>
      </c>
      <c r="C770" t="s">
        <v>23</v>
      </c>
      <c r="D770" t="s">
        <v>11</v>
      </c>
      <c r="E770" t="s">
        <v>12</v>
      </c>
      <c r="F770">
        <v>68</v>
      </c>
      <c r="G770">
        <v>71</v>
      </c>
      <c r="H770">
        <v>75</v>
      </c>
      <c r="I770">
        <f>StudentsTable[[#This Row],[math score]]+StudentsTable[[#This Row],[reading score]]+StudentsTable[[#This Row],[writing score]]</f>
        <v>214</v>
      </c>
      <c r="J770">
        <f>StudentsTable[[#This Row],[TotalScore]]/3</f>
        <v>71.333333333333329</v>
      </c>
      <c r="K770" t="str" cm="1">
        <f t="array" ref="K770">_xlfn.IFS(StudentsTable[[#This Row],[AverageScore]]&gt;=90,"A",StudentsTable[[#This Row],[AverageScore]]&gt;=80,"B",StudentsTable[[#This Row],[AverageScore]]&gt;=70,"C",StudentsTable[[#This Row],[AverageScore]]&gt;=60,"D",TRUE,"F")</f>
        <v>C</v>
      </c>
      <c r="L770" t="str">
        <f>IF(StudentsTable[[#This Row],[AverageScore]]&gt;=60,"Pass","Fail")</f>
        <v>Pass</v>
      </c>
      <c r="M770" t="str" cm="1">
        <f t="array" ref="M770">_xlfn.IFS(StudentsTable[[#This Row],[AverageScore]]&gt;=85,"Advanced",StudentsTable[[#This Row],[AverageScore]]&gt;=70,"Intermediate",StudentsTable[[#This Row],[AverageScore]]&gt;=60,"Basic",TRUE,"Needs Help")</f>
        <v>Intermediate</v>
      </c>
      <c r="N770">
        <f>RANK(StudentsTable[[#This Row],[AverageScore]],StudentsTable[AverageScore])</f>
        <v>412</v>
      </c>
      <c r="O770">
        <f>(StudentsTable[[#This Row],[AverageScore]]-MIN(StudentsTable[AverageScore]))/(MAX(StudentsTable[AverageScore])-MIN(StudentsTable[AverageScore]))*100</f>
        <v>68.498168498168482</v>
      </c>
    </row>
    <row r="771" spans="1:15" x14ac:dyDescent="0.3">
      <c r="A771" t="s">
        <v>17</v>
      </c>
      <c r="B771" t="s">
        <v>18</v>
      </c>
      <c r="C771" t="s">
        <v>14</v>
      </c>
      <c r="D771" t="s">
        <v>20</v>
      </c>
      <c r="E771" t="s">
        <v>12</v>
      </c>
      <c r="F771">
        <v>58</v>
      </c>
      <c r="G771">
        <v>60</v>
      </c>
      <c r="H771">
        <v>57</v>
      </c>
      <c r="I771">
        <f>StudentsTable[[#This Row],[math score]]+StudentsTable[[#This Row],[reading score]]+StudentsTable[[#This Row],[writing score]]</f>
        <v>175</v>
      </c>
      <c r="J771">
        <f>StudentsTable[[#This Row],[TotalScore]]/3</f>
        <v>58.333333333333336</v>
      </c>
      <c r="K771" t="str" cm="1">
        <f t="array" ref="K771">_xlfn.IFS(StudentsTable[[#This Row],[AverageScore]]&gt;=90,"A",StudentsTable[[#This Row],[AverageScore]]&gt;=80,"B",StudentsTable[[#This Row],[AverageScore]]&gt;=70,"C",StudentsTable[[#This Row],[AverageScore]]&gt;=60,"D",TRUE,"F")</f>
        <v>F</v>
      </c>
      <c r="L771" t="str">
        <f>IF(StudentsTable[[#This Row],[AverageScore]]&gt;=60,"Pass","Fail")</f>
        <v>Fail</v>
      </c>
      <c r="M771" t="str" cm="1">
        <f t="array" ref="M771">_xlfn.IFS(StudentsTable[[#This Row],[AverageScore]]&gt;=85,"Advanced",StudentsTable[[#This Row],[AverageScore]]&gt;=70,"Intermediate",StudentsTable[[#This Row],[AverageScore]]&gt;=60,"Basic",TRUE,"Needs Help")</f>
        <v>Needs Help</v>
      </c>
      <c r="N771">
        <f>RANK(StudentsTable[[#This Row],[AverageScore]],StudentsTable[AverageScore])</f>
        <v>745</v>
      </c>
      <c r="O771">
        <f>(StudentsTable[[#This Row],[AverageScore]]-MIN(StudentsTable[AverageScore]))/(MAX(StudentsTable[AverageScore])-MIN(StudentsTable[AverageScore]))*100</f>
        <v>54.212454212454219</v>
      </c>
    </row>
    <row r="772" spans="1:15" x14ac:dyDescent="0.3">
      <c r="A772" t="s">
        <v>17</v>
      </c>
      <c r="B772" t="s">
        <v>9</v>
      </c>
      <c r="C772" t="s">
        <v>22</v>
      </c>
      <c r="D772" t="s">
        <v>11</v>
      </c>
      <c r="E772" t="s">
        <v>12</v>
      </c>
      <c r="F772">
        <v>52</v>
      </c>
      <c r="G772">
        <v>48</v>
      </c>
      <c r="H772">
        <v>49</v>
      </c>
      <c r="I772">
        <f>StudentsTable[[#This Row],[math score]]+StudentsTable[[#This Row],[reading score]]+StudentsTable[[#This Row],[writing score]]</f>
        <v>149</v>
      </c>
      <c r="J772">
        <f>StudentsTable[[#This Row],[TotalScore]]/3</f>
        <v>49.666666666666664</v>
      </c>
      <c r="K772" t="str" cm="1">
        <f t="array" ref="K772">_xlfn.IFS(StudentsTable[[#This Row],[AverageScore]]&gt;=90,"A",StudentsTable[[#This Row],[AverageScore]]&gt;=80,"B",StudentsTable[[#This Row],[AverageScore]]&gt;=70,"C",StudentsTable[[#This Row],[AverageScore]]&gt;=60,"D",TRUE,"F")</f>
        <v>F</v>
      </c>
      <c r="L772" t="str">
        <f>IF(StudentsTable[[#This Row],[AverageScore]]&gt;=60,"Pass","Fail")</f>
        <v>Fail</v>
      </c>
      <c r="M772" t="str" cm="1">
        <f t="array" ref="M772">_xlfn.IFS(StudentsTable[[#This Row],[AverageScore]]&gt;=85,"Advanced",StudentsTable[[#This Row],[AverageScore]]&gt;=70,"Intermediate",StudentsTable[[#This Row],[AverageScore]]&gt;=60,"Basic",TRUE,"Needs Help")</f>
        <v>Needs Help</v>
      </c>
      <c r="N772">
        <f>RANK(StudentsTable[[#This Row],[AverageScore]],StudentsTable[AverageScore])</f>
        <v>898</v>
      </c>
      <c r="O772">
        <f>(StudentsTable[[#This Row],[AverageScore]]-MIN(StudentsTable[AverageScore]))/(MAX(StudentsTable[AverageScore])-MIN(StudentsTable[AverageScore]))*100</f>
        <v>44.688644688644686</v>
      </c>
    </row>
    <row r="773" spans="1:15" x14ac:dyDescent="0.3">
      <c r="A773" t="s">
        <v>17</v>
      </c>
      <c r="B773" t="s">
        <v>21</v>
      </c>
      <c r="C773" t="s">
        <v>10</v>
      </c>
      <c r="D773" t="s">
        <v>11</v>
      </c>
      <c r="E773" t="s">
        <v>12</v>
      </c>
      <c r="F773">
        <v>75</v>
      </c>
      <c r="G773">
        <v>73</v>
      </c>
      <c r="H773">
        <v>74</v>
      </c>
      <c r="I773">
        <f>StudentsTable[[#This Row],[math score]]+StudentsTable[[#This Row],[reading score]]+StudentsTable[[#This Row],[writing score]]</f>
        <v>222</v>
      </c>
      <c r="J773">
        <f>StudentsTable[[#This Row],[TotalScore]]/3</f>
        <v>74</v>
      </c>
      <c r="K773" t="str" cm="1">
        <f t="array" ref="K773">_xlfn.IFS(StudentsTable[[#This Row],[AverageScore]]&gt;=90,"A",StudentsTable[[#This Row],[AverageScore]]&gt;=80,"B",StudentsTable[[#This Row],[AverageScore]]&gt;=70,"C",StudentsTable[[#This Row],[AverageScore]]&gt;=60,"D",TRUE,"F")</f>
        <v>C</v>
      </c>
      <c r="L773" t="str">
        <f>IF(StudentsTable[[#This Row],[AverageScore]]&gt;=60,"Pass","Fail")</f>
        <v>Pass</v>
      </c>
      <c r="M773" t="str" cm="1">
        <f t="array" ref="M773">_xlfn.IFS(StudentsTable[[#This Row],[AverageScore]]&gt;=85,"Advanced",StudentsTable[[#This Row],[AverageScore]]&gt;=70,"Intermediate",StudentsTable[[#This Row],[AverageScore]]&gt;=60,"Basic",TRUE,"Needs Help")</f>
        <v>Intermediate</v>
      </c>
      <c r="N773">
        <f>RANK(StudentsTable[[#This Row],[AverageScore]],StudentsTable[AverageScore])</f>
        <v>345</v>
      </c>
      <c r="O773">
        <f>(StudentsTable[[#This Row],[AverageScore]]-MIN(StudentsTable[AverageScore]))/(MAX(StudentsTable[AverageScore])-MIN(StudentsTable[AverageScore]))*100</f>
        <v>71.428571428571431</v>
      </c>
    </row>
    <row r="774" spans="1:15" x14ac:dyDescent="0.3">
      <c r="A774" t="s">
        <v>8</v>
      </c>
      <c r="B774" t="s">
        <v>9</v>
      </c>
      <c r="C774" t="s">
        <v>23</v>
      </c>
      <c r="D774" t="s">
        <v>20</v>
      </c>
      <c r="E774" t="s">
        <v>15</v>
      </c>
      <c r="F774">
        <v>52</v>
      </c>
      <c r="G774">
        <v>67</v>
      </c>
      <c r="H774">
        <v>72</v>
      </c>
      <c r="I774">
        <f>StudentsTable[[#This Row],[math score]]+StudentsTable[[#This Row],[reading score]]+StudentsTable[[#This Row],[writing score]]</f>
        <v>191</v>
      </c>
      <c r="J774">
        <f>StudentsTable[[#This Row],[TotalScore]]/3</f>
        <v>63.666666666666664</v>
      </c>
      <c r="K774" t="str" cm="1">
        <f t="array" ref="K774">_xlfn.IFS(StudentsTable[[#This Row],[AverageScore]]&gt;=90,"A",StudentsTable[[#This Row],[AverageScore]]&gt;=80,"B",StudentsTable[[#This Row],[AverageScore]]&gt;=70,"C",StudentsTable[[#This Row],[AverageScore]]&gt;=60,"D",TRUE,"F")</f>
        <v>D</v>
      </c>
      <c r="L774" t="str">
        <f>IF(StudentsTable[[#This Row],[AverageScore]]&gt;=60,"Pass","Fail")</f>
        <v>Pass</v>
      </c>
      <c r="M774" t="str" cm="1">
        <f t="array" ref="M774">_xlfn.IFS(StudentsTable[[#This Row],[AverageScore]]&gt;=85,"Advanced",StudentsTable[[#This Row],[AverageScore]]&gt;=70,"Intermediate",StudentsTable[[#This Row],[AverageScore]]&gt;=60,"Basic",TRUE,"Needs Help")</f>
        <v>Basic</v>
      </c>
      <c r="N774">
        <f>RANK(StudentsTable[[#This Row],[AverageScore]],StudentsTable[AverageScore])</f>
        <v>632</v>
      </c>
      <c r="O774">
        <f>(StudentsTable[[#This Row],[AverageScore]]-MIN(StudentsTable[AverageScore]))/(MAX(StudentsTable[AverageScore])-MIN(StudentsTable[AverageScore]))*100</f>
        <v>60.073260073260073</v>
      </c>
    </row>
    <row r="775" spans="1:15" x14ac:dyDescent="0.3">
      <c r="A775" t="s">
        <v>8</v>
      </c>
      <c r="B775" t="s">
        <v>13</v>
      </c>
      <c r="C775" t="s">
        <v>10</v>
      </c>
      <c r="D775" t="s">
        <v>20</v>
      </c>
      <c r="E775" t="s">
        <v>12</v>
      </c>
      <c r="F775">
        <v>62</v>
      </c>
      <c r="G775">
        <v>78</v>
      </c>
      <c r="H775">
        <v>79</v>
      </c>
      <c r="I775">
        <f>StudentsTable[[#This Row],[math score]]+StudentsTable[[#This Row],[reading score]]+StudentsTable[[#This Row],[writing score]]</f>
        <v>219</v>
      </c>
      <c r="J775">
        <f>StudentsTable[[#This Row],[TotalScore]]/3</f>
        <v>73</v>
      </c>
      <c r="K775" t="str" cm="1">
        <f t="array" ref="K775">_xlfn.IFS(StudentsTable[[#This Row],[AverageScore]]&gt;=90,"A",StudentsTable[[#This Row],[AverageScore]]&gt;=80,"B",StudentsTable[[#This Row],[AverageScore]]&gt;=70,"C",StudentsTable[[#This Row],[AverageScore]]&gt;=60,"D",TRUE,"F")</f>
        <v>C</v>
      </c>
      <c r="L775" t="str">
        <f>IF(StudentsTable[[#This Row],[AverageScore]]&gt;=60,"Pass","Fail")</f>
        <v>Pass</v>
      </c>
      <c r="M775" t="str" cm="1">
        <f t="array" ref="M775">_xlfn.IFS(StudentsTable[[#This Row],[AverageScore]]&gt;=85,"Advanced",StudentsTable[[#This Row],[AverageScore]]&gt;=70,"Intermediate",StudentsTable[[#This Row],[AverageScore]]&gt;=60,"Basic",TRUE,"Needs Help")</f>
        <v>Intermediate</v>
      </c>
      <c r="N775">
        <f>RANK(StudentsTable[[#This Row],[AverageScore]],StudentsTable[AverageScore])</f>
        <v>367</v>
      </c>
      <c r="O775">
        <f>(StudentsTable[[#This Row],[AverageScore]]-MIN(StudentsTable[AverageScore]))/(MAX(StudentsTable[AverageScore])-MIN(StudentsTable[AverageScore]))*100</f>
        <v>70.329670329670336</v>
      </c>
    </row>
    <row r="776" spans="1:15" x14ac:dyDescent="0.3">
      <c r="A776" t="s">
        <v>17</v>
      </c>
      <c r="B776" t="s">
        <v>9</v>
      </c>
      <c r="C776" t="s">
        <v>14</v>
      </c>
      <c r="D776" t="s">
        <v>11</v>
      </c>
      <c r="E776" t="s">
        <v>12</v>
      </c>
      <c r="F776">
        <v>66</v>
      </c>
      <c r="G776">
        <v>65</v>
      </c>
      <c r="H776">
        <v>60</v>
      </c>
      <c r="I776">
        <f>StudentsTable[[#This Row],[math score]]+StudentsTable[[#This Row],[reading score]]+StudentsTable[[#This Row],[writing score]]</f>
        <v>191</v>
      </c>
      <c r="J776">
        <f>StudentsTable[[#This Row],[TotalScore]]/3</f>
        <v>63.666666666666664</v>
      </c>
      <c r="K776" t="str" cm="1">
        <f t="array" ref="K776">_xlfn.IFS(StudentsTable[[#This Row],[AverageScore]]&gt;=90,"A",StudentsTable[[#This Row],[AverageScore]]&gt;=80,"B",StudentsTable[[#This Row],[AverageScore]]&gt;=70,"C",StudentsTable[[#This Row],[AverageScore]]&gt;=60,"D",TRUE,"F")</f>
        <v>D</v>
      </c>
      <c r="L776" t="str">
        <f>IF(StudentsTable[[#This Row],[AverageScore]]&gt;=60,"Pass","Fail")</f>
        <v>Pass</v>
      </c>
      <c r="M776" t="str" cm="1">
        <f t="array" ref="M776">_xlfn.IFS(StudentsTable[[#This Row],[AverageScore]]&gt;=85,"Advanced",StudentsTable[[#This Row],[AverageScore]]&gt;=70,"Intermediate",StudentsTable[[#This Row],[AverageScore]]&gt;=60,"Basic",TRUE,"Needs Help")</f>
        <v>Basic</v>
      </c>
      <c r="N776">
        <f>RANK(StudentsTable[[#This Row],[AverageScore]],StudentsTable[AverageScore])</f>
        <v>632</v>
      </c>
      <c r="O776">
        <f>(StudentsTable[[#This Row],[AverageScore]]-MIN(StudentsTable[AverageScore]))/(MAX(StudentsTable[AverageScore])-MIN(StudentsTable[AverageScore]))*100</f>
        <v>60.073260073260073</v>
      </c>
    </row>
    <row r="777" spans="1:15" x14ac:dyDescent="0.3">
      <c r="A777" t="s">
        <v>8</v>
      </c>
      <c r="B777" t="s">
        <v>9</v>
      </c>
      <c r="C777" t="s">
        <v>23</v>
      </c>
      <c r="D777" t="s">
        <v>20</v>
      </c>
      <c r="E777" t="s">
        <v>12</v>
      </c>
      <c r="F777">
        <v>49</v>
      </c>
      <c r="G777">
        <v>58</v>
      </c>
      <c r="H777">
        <v>55</v>
      </c>
      <c r="I777">
        <f>StudentsTable[[#This Row],[math score]]+StudentsTable[[#This Row],[reading score]]+StudentsTable[[#This Row],[writing score]]</f>
        <v>162</v>
      </c>
      <c r="J777">
        <f>StudentsTable[[#This Row],[TotalScore]]/3</f>
        <v>54</v>
      </c>
      <c r="K777" t="str" cm="1">
        <f t="array" ref="K777">_xlfn.IFS(StudentsTable[[#This Row],[AverageScore]]&gt;=90,"A",StudentsTable[[#This Row],[AverageScore]]&gt;=80,"B",StudentsTable[[#This Row],[AverageScore]]&gt;=70,"C",StudentsTable[[#This Row],[AverageScore]]&gt;=60,"D",TRUE,"F")</f>
        <v>F</v>
      </c>
      <c r="L777" t="str">
        <f>IF(StudentsTable[[#This Row],[AverageScore]]&gt;=60,"Pass","Fail")</f>
        <v>Fail</v>
      </c>
      <c r="M777" t="str" cm="1">
        <f t="array" ref="M777">_xlfn.IFS(StudentsTable[[#This Row],[AverageScore]]&gt;=85,"Advanced",StudentsTable[[#This Row],[AverageScore]]&gt;=70,"Intermediate",StudentsTable[[#This Row],[AverageScore]]&gt;=60,"Basic",TRUE,"Needs Help")</f>
        <v>Needs Help</v>
      </c>
      <c r="N777">
        <f>RANK(StudentsTable[[#This Row],[AverageScore]],StudentsTable[AverageScore])</f>
        <v>824</v>
      </c>
      <c r="O777">
        <f>(StudentsTable[[#This Row],[AverageScore]]-MIN(StudentsTable[AverageScore]))/(MAX(StudentsTable[AverageScore])-MIN(StudentsTable[AverageScore]))*100</f>
        <v>49.450549450549453</v>
      </c>
    </row>
    <row r="778" spans="1:15" x14ac:dyDescent="0.3">
      <c r="A778" t="s">
        <v>8</v>
      </c>
      <c r="B778" t="s">
        <v>9</v>
      </c>
      <c r="C778" t="s">
        <v>22</v>
      </c>
      <c r="D778" t="s">
        <v>11</v>
      </c>
      <c r="E778" t="s">
        <v>12</v>
      </c>
      <c r="F778">
        <v>66</v>
      </c>
      <c r="G778">
        <v>72</v>
      </c>
      <c r="H778">
        <v>70</v>
      </c>
      <c r="I778">
        <f>StudentsTable[[#This Row],[math score]]+StudentsTable[[#This Row],[reading score]]+StudentsTable[[#This Row],[writing score]]</f>
        <v>208</v>
      </c>
      <c r="J778">
        <f>StudentsTable[[#This Row],[TotalScore]]/3</f>
        <v>69.333333333333329</v>
      </c>
      <c r="K778" t="str" cm="1">
        <f t="array" ref="K778">_xlfn.IFS(StudentsTable[[#This Row],[AverageScore]]&gt;=90,"A",StudentsTable[[#This Row],[AverageScore]]&gt;=80,"B",StudentsTable[[#This Row],[AverageScore]]&gt;=70,"C",StudentsTable[[#This Row],[AverageScore]]&gt;=60,"D",TRUE,"F")</f>
        <v>D</v>
      </c>
      <c r="L778" t="str">
        <f>IF(StudentsTable[[#This Row],[AverageScore]]&gt;=60,"Pass","Fail")</f>
        <v>Pass</v>
      </c>
      <c r="M778" t="str" cm="1">
        <f t="array" ref="M778">_xlfn.IFS(StudentsTable[[#This Row],[AverageScore]]&gt;=85,"Advanced",StudentsTable[[#This Row],[AverageScore]]&gt;=70,"Intermediate",StudentsTable[[#This Row],[AverageScore]]&gt;=60,"Basic",TRUE,"Needs Help")</f>
        <v>Basic</v>
      </c>
      <c r="N778">
        <f>RANK(StudentsTable[[#This Row],[AverageScore]],StudentsTable[AverageScore])</f>
        <v>465</v>
      </c>
      <c r="O778">
        <f>(StudentsTable[[#This Row],[AverageScore]]-MIN(StudentsTable[AverageScore]))/(MAX(StudentsTable[AverageScore])-MIN(StudentsTable[AverageScore]))*100</f>
        <v>66.300366300366292</v>
      </c>
    </row>
    <row r="779" spans="1:15" x14ac:dyDescent="0.3">
      <c r="A779" t="s">
        <v>8</v>
      </c>
      <c r="B779" t="s">
        <v>13</v>
      </c>
      <c r="C779" t="s">
        <v>14</v>
      </c>
      <c r="D779" t="s">
        <v>20</v>
      </c>
      <c r="E779" t="s">
        <v>12</v>
      </c>
      <c r="F779">
        <v>35</v>
      </c>
      <c r="G779">
        <v>44</v>
      </c>
      <c r="H779">
        <v>43</v>
      </c>
      <c r="I779">
        <f>StudentsTable[[#This Row],[math score]]+StudentsTable[[#This Row],[reading score]]+StudentsTable[[#This Row],[writing score]]</f>
        <v>122</v>
      </c>
      <c r="J779">
        <f>StudentsTable[[#This Row],[TotalScore]]/3</f>
        <v>40.666666666666664</v>
      </c>
      <c r="K779" t="str" cm="1">
        <f t="array" ref="K779">_xlfn.IFS(StudentsTable[[#This Row],[AverageScore]]&gt;=90,"A",StudentsTable[[#This Row],[AverageScore]]&gt;=80,"B",StudentsTable[[#This Row],[AverageScore]]&gt;=70,"C",StudentsTable[[#This Row],[AverageScore]]&gt;=60,"D",TRUE,"F")</f>
        <v>F</v>
      </c>
      <c r="L779" t="str">
        <f>IF(StudentsTable[[#This Row],[AverageScore]]&gt;=60,"Pass","Fail")</f>
        <v>Fail</v>
      </c>
      <c r="M779" t="str" cm="1">
        <f t="array" ref="M779">_xlfn.IFS(StudentsTable[[#This Row],[AverageScore]]&gt;=85,"Advanced",StudentsTable[[#This Row],[AverageScore]]&gt;=70,"Intermediate",StudentsTable[[#This Row],[AverageScore]]&gt;=60,"Basic",TRUE,"Needs Help")</f>
        <v>Needs Help</v>
      </c>
      <c r="N779">
        <f>RANK(StudentsTable[[#This Row],[AverageScore]],StudentsTable[AverageScore])</f>
        <v>967</v>
      </c>
      <c r="O779">
        <f>(StudentsTable[[#This Row],[AverageScore]]-MIN(StudentsTable[AverageScore]))/(MAX(StudentsTable[AverageScore])-MIN(StudentsTable[AverageScore]))*100</f>
        <v>34.798534798534796</v>
      </c>
    </row>
    <row r="780" spans="1:15" x14ac:dyDescent="0.3">
      <c r="A780" t="s">
        <v>8</v>
      </c>
      <c r="B780" t="s">
        <v>18</v>
      </c>
      <c r="C780" t="s">
        <v>14</v>
      </c>
      <c r="D780" t="s">
        <v>11</v>
      </c>
      <c r="E780" t="s">
        <v>15</v>
      </c>
      <c r="F780">
        <v>72</v>
      </c>
      <c r="G780">
        <v>79</v>
      </c>
      <c r="H780">
        <v>82</v>
      </c>
      <c r="I780">
        <f>StudentsTable[[#This Row],[math score]]+StudentsTable[[#This Row],[reading score]]+StudentsTable[[#This Row],[writing score]]</f>
        <v>233</v>
      </c>
      <c r="J780">
        <f>StudentsTable[[#This Row],[TotalScore]]/3</f>
        <v>77.666666666666671</v>
      </c>
      <c r="K780" t="str" cm="1">
        <f t="array" ref="K780">_xlfn.IFS(StudentsTable[[#This Row],[AverageScore]]&gt;=90,"A",StudentsTable[[#This Row],[AverageScore]]&gt;=80,"B",StudentsTable[[#This Row],[AverageScore]]&gt;=70,"C",StudentsTable[[#This Row],[AverageScore]]&gt;=60,"D",TRUE,"F")</f>
        <v>C</v>
      </c>
      <c r="L780" t="str">
        <f>IF(StudentsTable[[#This Row],[AverageScore]]&gt;=60,"Pass","Fail")</f>
        <v>Pass</v>
      </c>
      <c r="M780" t="str" cm="1">
        <f t="array" ref="M780">_xlfn.IFS(StudentsTable[[#This Row],[AverageScore]]&gt;=85,"Advanced",StudentsTable[[#This Row],[AverageScore]]&gt;=70,"Intermediate",StudentsTable[[#This Row],[AverageScore]]&gt;=60,"Basic",TRUE,"Needs Help")</f>
        <v>Intermediate</v>
      </c>
      <c r="N780">
        <f>RANK(StudentsTable[[#This Row],[AverageScore]],StudentsTable[AverageScore])</f>
        <v>250</v>
      </c>
      <c r="O780">
        <f>(StudentsTable[[#This Row],[AverageScore]]-MIN(StudentsTable[AverageScore]))/(MAX(StudentsTable[AverageScore])-MIN(StudentsTable[AverageScore]))*100</f>
        <v>75.457875457875474</v>
      </c>
    </row>
    <row r="781" spans="1:15" x14ac:dyDescent="0.3">
      <c r="A781" t="s">
        <v>17</v>
      </c>
      <c r="B781" t="s">
        <v>24</v>
      </c>
      <c r="C781" t="s">
        <v>19</v>
      </c>
      <c r="D781" t="s">
        <v>11</v>
      </c>
      <c r="E781" t="s">
        <v>15</v>
      </c>
      <c r="F781">
        <v>94</v>
      </c>
      <c r="G781">
        <v>85</v>
      </c>
      <c r="H781">
        <v>82</v>
      </c>
      <c r="I781">
        <f>StudentsTable[[#This Row],[math score]]+StudentsTable[[#This Row],[reading score]]+StudentsTable[[#This Row],[writing score]]</f>
        <v>261</v>
      </c>
      <c r="J781">
        <f>StudentsTable[[#This Row],[TotalScore]]/3</f>
        <v>87</v>
      </c>
      <c r="K781" t="str" cm="1">
        <f t="array" ref="K781">_xlfn.IFS(StudentsTable[[#This Row],[AverageScore]]&gt;=90,"A",StudentsTable[[#This Row],[AverageScore]]&gt;=80,"B",StudentsTable[[#This Row],[AverageScore]]&gt;=70,"C",StudentsTable[[#This Row],[AverageScore]]&gt;=60,"D",TRUE,"F")</f>
        <v>B</v>
      </c>
      <c r="L781" t="str">
        <f>IF(StudentsTable[[#This Row],[AverageScore]]&gt;=60,"Pass","Fail")</f>
        <v>Pass</v>
      </c>
      <c r="M781" t="str" cm="1">
        <f t="array" ref="M781">_xlfn.IFS(StudentsTable[[#This Row],[AverageScore]]&gt;=85,"Advanced",StudentsTable[[#This Row],[AverageScore]]&gt;=70,"Intermediate",StudentsTable[[#This Row],[AverageScore]]&gt;=60,"Basic",TRUE,"Needs Help")</f>
        <v>Advanced</v>
      </c>
      <c r="N781">
        <f>RANK(StudentsTable[[#This Row],[AverageScore]],StudentsTable[AverageScore])</f>
        <v>83</v>
      </c>
      <c r="O781">
        <f>(StudentsTable[[#This Row],[AverageScore]]-MIN(StudentsTable[AverageScore]))/(MAX(StudentsTable[AverageScore])-MIN(StudentsTable[AverageScore]))*100</f>
        <v>85.714285714285708</v>
      </c>
    </row>
    <row r="782" spans="1:15" x14ac:dyDescent="0.3">
      <c r="A782" t="s">
        <v>8</v>
      </c>
      <c r="B782" t="s">
        <v>21</v>
      </c>
      <c r="C782" t="s">
        <v>19</v>
      </c>
      <c r="D782" t="s">
        <v>20</v>
      </c>
      <c r="E782" t="s">
        <v>12</v>
      </c>
      <c r="F782">
        <v>46</v>
      </c>
      <c r="G782">
        <v>56</v>
      </c>
      <c r="H782">
        <v>57</v>
      </c>
      <c r="I782">
        <f>StudentsTable[[#This Row],[math score]]+StudentsTable[[#This Row],[reading score]]+StudentsTable[[#This Row],[writing score]]</f>
        <v>159</v>
      </c>
      <c r="J782">
        <f>StudentsTable[[#This Row],[TotalScore]]/3</f>
        <v>53</v>
      </c>
      <c r="K782" t="str" cm="1">
        <f t="array" ref="K782">_xlfn.IFS(StudentsTable[[#This Row],[AverageScore]]&gt;=90,"A",StudentsTable[[#This Row],[AverageScore]]&gt;=80,"B",StudentsTable[[#This Row],[AverageScore]]&gt;=70,"C",StudentsTable[[#This Row],[AverageScore]]&gt;=60,"D",TRUE,"F")</f>
        <v>F</v>
      </c>
      <c r="L782" t="str">
        <f>IF(StudentsTable[[#This Row],[AverageScore]]&gt;=60,"Pass","Fail")</f>
        <v>Fail</v>
      </c>
      <c r="M782" t="str" cm="1">
        <f t="array" ref="M782">_xlfn.IFS(StudentsTable[[#This Row],[AverageScore]]&gt;=85,"Advanced",StudentsTable[[#This Row],[AverageScore]]&gt;=70,"Intermediate",StudentsTable[[#This Row],[AverageScore]]&gt;=60,"Basic",TRUE,"Needs Help")</f>
        <v>Needs Help</v>
      </c>
      <c r="N782">
        <f>RANK(StudentsTable[[#This Row],[AverageScore]],StudentsTable[AverageScore])</f>
        <v>841</v>
      </c>
      <c r="O782">
        <f>(StudentsTable[[#This Row],[AverageScore]]-MIN(StudentsTable[AverageScore]))/(MAX(StudentsTable[AverageScore])-MIN(StudentsTable[AverageScore]))*100</f>
        <v>48.35164835164835</v>
      </c>
    </row>
    <row r="783" spans="1:15" x14ac:dyDescent="0.3">
      <c r="A783" t="s">
        <v>8</v>
      </c>
      <c r="B783" t="s">
        <v>9</v>
      </c>
      <c r="C783" t="s">
        <v>16</v>
      </c>
      <c r="D783" t="s">
        <v>11</v>
      </c>
      <c r="E783" t="s">
        <v>12</v>
      </c>
      <c r="F783">
        <v>77</v>
      </c>
      <c r="G783">
        <v>90</v>
      </c>
      <c r="H783">
        <v>84</v>
      </c>
      <c r="I783">
        <f>StudentsTable[[#This Row],[math score]]+StudentsTable[[#This Row],[reading score]]+StudentsTable[[#This Row],[writing score]]</f>
        <v>251</v>
      </c>
      <c r="J783">
        <f>StudentsTable[[#This Row],[TotalScore]]/3</f>
        <v>83.666666666666671</v>
      </c>
      <c r="K783" t="str" cm="1">
        <f t="array" ref="K783">_xlfn.IFS(StudentsTable[[#This Row],[AverageScore]]&gt;=90,"A",StudentsTable[[#This Row],[AverageScore]]&gt;=80,"B",StudentsTable[[#This Row],[AverageScore]]&gt;=70,"C",StudentsTable[[#This Row],[AverageScore]]&gt;=60,"D",TRUE,"F")</f>
        <v>B</v>
      </c>
      <c r="L783" t="str">
        <f>IF(StudentsTable[[#This Row],[AverageScore]]&gt;=60,"Pass","Fail")</f>
        <v>Pass</v>
      </c>
      <c r="M783" t="str" cm="1">
        <f t="array" ref="M783">_xlfn.IFS(StudentsTable[[#This Row],[AverageScore]]&gt;=85,"Advanced",StudentsTable[[#This Row],[AverageScore]]&gt;=70,"Intermediate",StudentsTable[[#This Row],[AverageScore]]&gt;=60,"Basic",TRUE,"Needs Help")</f>
        <v>Intermediate</v>
      </c>
      <c r="N783">
        <f>RANK(StudentsTable[[#This Row],[AverageScore]],StudentsTable[AverageScore])</f>
        <v>131</v>
      </c>
      <c r="O783">
        <f>(StudentsTable[[#This Row],[AverageScore]]-MIN(StudentsTable[AverageScore]))/(MAX(StudentsTable[AverageScore])-MIN(StudentsTable[AverageScore]))*100</f>
        <v>82.051282051282058</v>
      </c>
    </row>
    <row r="784" spans="1:15" x14ac:dyDescent="0.3">
      <c r="A784" t="s">
        <v>8</v>
      </c>
      <c r="B784" t="s">
        <v>9</v>
      </c>
      <c r="C784" t="s">
        <v>22</v>
      </c>
      <c r="D784" t="s">
        <v>20</v>
      </c>
      <c r="E784" t="s">
        <v>15</v>
      </c>
      <c r="F784">
        <v>76</v>
      </c>
      <c r="G784">
        <v>85</v>
      </c>
      <c r="H784">
        <v>82</v>
      </c>
      <c r="I784">
        <f>StudentsTable[[#This Row],[math score]]+StudentsTable[[#This Row],[reading score]]+StudentsTable[[#This Row],[writing score]]</f>
        <v>243</v>
      </c>
      <c r="J784">
        <f>StudentsTable[[#This Row],[TotalScore]]/3</f>
        <v>81</v>
      </c>
      <c r="K784" t="str" cm="1">
        <f t="array" ref="K784">_xlfn.IFS(StudentsTable[[#This Row],[AverageScore]]&gt;=90,"A",StudentsTable[[#This Row],[AverageScore]]&gt;=80,"B",StudentsTable[[#This Row],[AverageScore]]&gt;=70,"C",StudentsTable[[#This Row],[AverageScore]]&gt;=60,"D",TRUE,"F")</f>
        <v>B</v>
      </c>
      <c r="L784" t="str">
        <f>IF(StudentsTable[[#This Row],[AverageScore]]&gt;=60,"Pass","Fail")</f>
        <v>Pass</v>
      </c>
      <c r="M784" t="str" cm="1">
        <f t="array" ref="M784">_xlfn.IFS(StudentsTable[[#This Row],[AverageScore]]&gt;=85,"Advanced",StudentsTable[[#This Row],[AverageScore]]&gt;=70,"Intermediate",StudentsTable[[#This Row],[AverageScore]]&gt;=60,"Basic",TRUE,"Needs Help")</f>
        <v>Intermediate</v>
      </c>
      <c r="N784">
        <f>RANK(StudentsTable[[#This Row],[AverageScore]],StudentsTable[AverageScore])</f>
        <v>178</v>
      </c>
      <c r="O784">
        <f>(StudentsTable[[#This Row],[AverageScore]]-MIN(StudentsTable[AverageScore]))/(MAX(StudentsTable[AverageScore])-MIN(StudentsTable[AverageScore]))*100</f>
        <v>79.120879120879124</v>
      </c>
    </row>
    <row r="785" spans="1:15" x14ac:dyDescent="0.3">
      <c r="A785" t="s">
        <v>8</v>
      </c>
      <c r="B785" t="s">
        <v>13</v>
      </c>
      <c r="C785" t="s">
        <v>19</v>
      </c>
      <c r="D785" t="s">
        <v>11</v>
      </c>
      <c r="E785" t="s">
        <v>15</v>
      </c>
      <c r="F785">
        <v>52</v>
      </c>
      <c r="G785">
        <v>59</v>
      </c>
      <c r="H785">
        <v>62</v>
      </c>
      <c r="I785">
        <f>StudentsTable[[#This Row],[math score]]+StudentsTable[[#This Row],[reading score]]+StudentsTable[[#This Row],[writing score]]</f>
        <v>173</v>
      </c>
      <c r="J785">
        <f>StudentsTable[[#This Row],[TotalScore]]/3</f>
        <v>57.666666666666664</v>
      </c>
      <c r="K785" t="str" cm="1">
        <f t="array" ref="K785">_xlfn.IFS(StudentsTable[[#This Row],[AverageScore]]&gt;=90,"A",StudentsTable[[#This Row],[AverageScore]]&gt;=80,"B",StudentsTable[[#This Row],[AverageScore]]&gt;=70,"C",StudentsTable[[#This Row],[AverageScore]]&gt;=60,"D",TRUE,"F")</f>
        <v>F</v>
      </c>
      <c r="L785" t="str">
        <f>IF(StudentsTable[[#This Row],[AverageScore]]&gt;=60,"Pass","Fail")</f>
        <v>Fail</v>
      </c>
      <c r="M785" t="str" cm="1">
        <f t="array" ref="M785">_xlfn.IFS(StudentsTable[[#This Row],[AverageScore]]&gt;=85,"Advanced",StudentsTable[[#This Row],[AverageScore]]&gt;=70,"Intermediate",StudentsTable[[#This Row],[AverageScore]]&gt;=60,"Basic",TRUE,"Needs Help")</f>
        <v>Needs Help</v>
      </c>
      <c r="N785">
        <f>RANK(StudentsTable[[#This Row],[AverageScore]],StudentsTable[AverageScore])</f>
        <v>756</v>
      </c>
      <c r="O785">
        <f>(StudentsTable[[#This Row],[AverageScore]]-MIN(StudentsTable[AverageScore]))/(MAX(StudentsTable[AverageScore])-MIN(StudentsTable[AverageScore]))*100</f>
        <v>53.479853479853482</v>
      </c>
    </row>
    <row r="786" spans="1:15" x14ac:dyDescent="0.3">
      <c r="A786" t="s">
        <v>17</v>
      </c>
      <c r="B786" t="s">
        <v>13</v>
      </c>
      <c r="C786" t="s">
        <v>10</v>
      </c>
      <c r="D786" t="s">
        <v>11</v>
      </c>
      <c r="E786" t="s">
        <v>15</v>
      </c>
      <c r="F786">
        <v>91</v>
      </c>
      <c r="G786">
        <v>81</v>
      </c>
      <c r="H786">
        <v>79</v>
      </c>
      <c r="I786">
        <f>StudentsTable[[#This Row],[math score]]+StudentsTable[[#This Row],[reading score]]+StudentsTable[[#This Row],[writing score]]</f>
        <v>251</v>
      </c>
      <c r="J786">
        <f>StudentsTable[[#This Row],[TotalScore]]/3</f>
        <v>83.666666666666671</v>
      </c>
      <c r="K786" t="str" cm="1">
        <f t="array" ref="K786">_xlfn.IFS(StudentsTable[[#This Row],[AverageScore]]&gt;=90,"A",StudentsTable[[#This Row],[AverageScore]]&gt;=80,"B",StudentsTable[[#This Row],[AverageScore]]&gt;=70,"C",StudentsTable[[#This Row],[AverageScore]]&gt;=60,"D",TRUE,"F")</f>
        <v>B</v>
      </c>
      <c r="L786" t="str">
        <f>IF(StudentsTable[[#This Row],[AverageScore]]&gt;=60,"Pass","Fail")</f>
        <v>Pass</v>
      </c>
      <c r="M786" t="str" cm="1">
        <f t="array" ref="M786">_xlfn.IFS(StudentsTable[[#This Row],[AverageScore]]&gt;=85,"Advanced",StudentsTable[[#This Row],[AverageScore]]&gt;=70,"Intermediate",StudentsTable[[#This Row],[AverageScore]]&gt;=60,"Basic",TRUE,"Needs Help")</f>
        <v>Intermediate</v>
      </c>
      <c r="N786">
        <f>RANK(StudentsTable[[#This Row],[AverageScore]],StudentsTable[AverageScore])</f>
        <v>131</v>
      </c>
      <c r="O786">
        <f>(StudentsTable[[#This Row],[AverageScore]]-MIN(StudentsTable[AverageScore]))/(MAX(StudentsTable[AverageScore])-MIN(StudentsTable[AverageScore]))*100</f>
        <v>82.051282051282058</v>
      </c>
    </row>
    <row r="787" spans="1:15" x14ac:dyDescent="0.3">
      <c r="A787" t="s">
        <v>8</v>
      </c>
      <c r="B787" t="s">
        <v>9</v>
      </c>
      <c r="C787" t="s">
        <v>23</v>
      </c>
      <c r="D787" t="s">
        <v>11</v>
      </c>
      <c r="E787" t="s">
        <v>15</v>
      </c>
      <c r="F787">
        <v>32</v>
      </c>
      <c r="G787">
        <v>51</v>
      </c>
      <c r="H787">
        <v>44</v>
      </c>
      <c r="I787">
        <f>StudentsTable[[#This Row],[math score]]+StudentsTable[[#This Row],[reading score]]+StudentsTable[[#This Row],[writing score]]</f>
        <v>127</v>
      </c>
      <c r="J787">
        <f>StudentsTable[[#This Row],[TotalScore]]/3</f>
        <v>42.333333333333336</v>
      </c>
      <c r="K787" t="str" cm="1">
        <f t="array" ref="K787">_xlfn.IFS(StudentsTable[[#This Row],[AverageScore]]&gt;=90,"A",StudentsTable[[#This Row],[AverageScore]]&gt;=80,"B",StudentsTable[[#This Row],[AverageScore]]&gt;=70,"C",StudentsTable[[#This Row],[AverageScore]]&gt;=60,"D",TRUE,"F")</f>
        <v>F</v>
      </c>
      <c r="L787" t="str">
        <f>IF(StudentsTable[[#This Row],[AverageScore]]&gt;=60,"Pass","Fail")</f>
        <v>Fail</v>
      </c>
      <c r="M787" t="str" cm="1">
        <f t="array" ref="M787">_xlfn.IFS(StudentsTable[[#This Row],[AverageScore]]&gt;=85,"Advanced",StudentsTable[[#This Row],[AverageScore]]&gt;=70,"Intermediate",StudentsTable[[#This Row],[AverageScore]]&gt;=60,"Basic",TRUE,"Needs Help")</f>
        <v>Needs Help</v>
      </c>
      <c r="N787">
        <f>RANK(StudentsTable[[#This Row],[AverageScore]],StudentsTable[AverageScore])</f>
        <v>962</v>
      </c>
      <c r="O787">
        <f>(StudentsTable[[#This Row],[AverageScore]]-MIN(StudentsTable[AverageScore]))/(MAX(StudentsTable[AverageScore])-MIN(StudentsTable[AverageScore]))*100</f>
        <v>36.630036630036635</v>
      </c>
    </row>
    <row r="788" spans="1:15" x14ac:dyDescent="0.3">
      <c r="A788" t="s">
        <v>8</v>
      </c>
      <c r="B788" t="s">
        <v>24</v>
      </c>
      <c r="C788" t="s">
        <v>23</v>
      </c>
      <c r="D788" t="s">
        <v>20</v>
      </c>
      <c r="E788" t="s">
        <v>12</v>
      </c>
      <c r="F788">
        <v>72</v>
      </c>
      <c r="G788">
        <v>79</v>
      </c>
      <c r="H788">
        <v>77</v>
      </c>
      <c r="I788">
        <f>StudentsTable[[#This Row],[math score]]+StudentsTable[[#This Row],[reading score]]+StudentsTable[[#This Row],[writing score]]</f>
        <v>228</v>
      </c>
      <c r="J788">
        <f>StudentsTable[[#This Row],[TotalScore]]/3</f>
        <v>76</v>
      </c>
      <c r="K788" t="str" cm="1">
        <f t="array" ref="K788">_xlfn.IFS(StudentsTable[[#This Row],[AverageScore]]&gt;=90,"A",StudentsTable[[#This Row],[AverageScore]]&gt;=80,"B",StudentsTable[[#This Row],[AverageScore]]&gt;=70,"C",StudentsTable[[#This Row],[AverageScore]]&gt;=60,"D",TRUE,"F")</f>
        <v>C</v>
      </c>
      <c r="L788" t="str">
        <f>IF(StudentsTable[[#This Row],[AverageScore]]&gt;=60,"Pass","Fail")</f>
        <v>Pass</v>
      </c>
      <c r="M788" t="str" cm="1">
        <f t="array" ref="M788">_xlfn.IFS(StudentsTable[[#This Row],[AverageScore]]&gt;=85,"Advanced",StudentsTable[[#This Row],[AverageScore]]&gt;=70,"Intermediate",StudentsTable[[#This Row],[AverageScore]]&gt;=60,"Basic",TRUE,"Needs Help")</f>
        <v>Intermediate</v>
      </c>
      <c r="N788">
        <f>RANK(StudentsTable[[#This Row],[AverageScore]],StudentsTable[AverageScore])</f>
        <v>288</v>
      </c>
      <c r="O788">
        <f>(StudentsTable[[#This Row],[AverageScore]]-MIN(StudentsTable[AverageScore]))/(MAX(StudentsTable[AverageScore])-MIN(StudentsTable[AverageScore]))*100</f>
        <v>73.626373626373635</v>
      </c>
    </row>
    <row r="789" spans="1:15" x14ac:dyDescent="0.3">
      <c r="A789" t="s">
        <v>8</v>
      </c>
      <c r="B789" t="s">
        <v>9</v>
      </c>
      <c r="C789" t="s">
        <v>14</v>
      </c>
      <c r="D789" t="s">
        <v>11</v>
      </c>
      <c r="E789" t="s">
        <v>12</v>
      </c>
      <c r="F789">
        <v>19</v>
      </c>
      <c r="G789">
        <v>38</v>
      </c>
      <c r="H789">
        <v>32</v>
      </c>
      <c r="I789">
        <f>StudentsTable[[#This Row],[math score]]+StudentsTable[[#This Row],[reading score]]+StudentsTable[[#This Row],[writing score]]</f>
        <v>89</v>
      </c>
      <c r="J789">
        <f>StudentsTable[[#This Row],[TotalScore]]/3</f>
        <v>29.666666666666668</v>
      </c>
      <c r="K789" t="str" cm="1">
        <f t="array" ref="K789">_xlfn.IFS(StudentsTable[[#This Row],[AverageScore]]&gt;=90,"A",StudentsTable[[#This Row],[AverageScore]]&gt;=80,"B",StudentsTable[[#This Row],[AverageScore]]&gt;=70,"C",StudentsTable[[#This Row],[AverageScore]]&gt;=60,"D",TRUE,"F")</f>
        <v>F</v>
      </c>
      <c r="L789" t="str">
        <f>IF(StudentsTable[[#This Row],[AverageScore]]&gt;=60,"Pass","Fail")</f>
        <v>Fail</v>
      </c>
      <c r="M789" t="str" cm="1">
        <f t="array" ref="M789">_xlfn.IFS(StudentsTable[[#This Row],[AverageScore]]&gt;=85,"Advanced",StudentsTable[[#This Row],[AverageScore]]&gt;=70,"Intermediate",StudentsTable[[#This Row],[AverageScore]]&gt;=60,"Basic",TRUE,"Needs Help")</f>
        <v>Needs Help</v>
      </c>
      <c r="N789">
        <f>RANK(StudentsTable[[#This Row],[AverageScore]],StudentsTable[AverageScore])</f>
        <v>992</v>
      </c>
      <c r="O789">
        <f>(StudentsTable[[#This Row],[AverageScore]]-MIN(StudentsTable[AverageScore]))/(MAX(StudentsTable[AverageScore])-MIN(StudentsTable[AverageScore]))*100</f>
        <v>22.710622710622712</v>
      </c>
    </row>
    <row r="790" spans="1:15" x14ac:dyDescent="0.3">
      <c r="A790" t="s">
        <v>17</v>
      </c>
      <c r="B790" t="s">
        <v>13</v>
      </c>
      <c r="C790" t="s">
        <v>19</v>
      </c>
      <c r="D790" t="s">
        <v>20</v>
      </c>
      <c r="E790" t="s">
        <v>12</v>
      </c>
      <c r="F790">
        <v>68</v>
      </c>
      <c r="G790">
        <v>65</v>
      </c>
      <c r="H790">
        <v>61</v>
      </c>
      <c r="I790">
        <f>StudentsTable[[#This Row],[math score]]+StudentsTable[[#This Row],[reading score]]+StudentsTable[[#This Row],[writing score]]</f>
        <v>194</v>
      </c>
      <c r="J790">
        <f>StudentsTable[[#This Row],[TotalScore]]/3</f>
        <v>64.666666666666671</v>
      </c>
      <c r="K790" t="str" cm="1">
        <f t="array" ref="K790">_xlfn.IFS(StudentsTable[[#This Row],[AverageScore]]&gt;=90,"A",StudentsTable[[#This Row],[AverageScore]]&gt;=80,"B",StudentsTable[[#This Row],[AverageScore]]&gt;=70,"C",StudentsTable[[#This Row],[AverageScore]]&gt;=60,"D",TRUE,"F")</f>
        <v>D</v>
      </c>
      <c r="L790" t="str">
        <f>IF(StudentsTable[[#This Row],[AverageScore]]&gt;=60,"Pass","Fail")</f>
        <v>Pass</v>
      </c>
      <c r="M790" t="str" cm="1">
        <f t="array" ref="M790">_xlfn.IFS(StudentsTable[[#This Row],[AverageScore]]&gt;=85,"Advanced",StudentsTable[[#This Row],[AverageScore]]&gt;=70,"Intermediate",StudentsTable[[#This Row],[AverageScore]]&gt;=60,"Basic",TRUE,"Needs Help")</f>
        <v>Basic</v>
      </c>
      <c r="N790">
        <f>RANK(StudentsTable[[#This Row],[AverageScore]],StudentsTable[AverageScore])</f>
        <v>602</v>
      </c>
      <c r="O790">
        <f>(StudentsTable[[#This Row],[AverageScore]]-MIN(StudentsTable[AverageScore]))/(MAX(StudentsTable[AverageScore])-MIN(StudentsTable[AverageScore]))*100</f>
        <v>61.172161172161175</v>
      </c>
    </row>
    <row r="791" spans="1:15" x14ac:dyDescent="0.3">
      <c r="A791" t="s">
        <v>8</v>
      </c>
      <c r="B791" t="s">
        <v>13</v>
      </c>
      <c r="C791" t="s">
        <v>16</v>
      </c>
      <c r="D791" t="s">
        <v>20</v>
      </c>
      <c r="E791" t="s">
        <v>12</v>
      </c>
      <c r="F791">
        <v>52</v>
      </c>
      <c r="G791">
        <v>65</v>
      </c>
      <c r="H791">
        <v>61</v>
      </c>
      <c r="I791">
        <f>StudentsTable[[#This Row],[math score]]+StudentsTable[[#This Row],[reading score]]+StudentsTable[[#This Row],[writing score]]</f>
        <v>178</v>
      </c>
      <c r="J791">
        <f>StudentsTable[[#This Row],[TotalScore]]/3</f>
        <v>59.333333333333336</v>
      </c>
      <c r="K791" t="str" cm="1">
        <f t="array" ref="K791">_xlfn.IFS(StudentsTable[[#This Row],[AverageScore]]&gt;=90,"A",StudentsTable[[#This Row],[AverageScore]]&gt;=80,"B",StudentsTable[[#This Row],[AverageScore]]&gt;=70,"C",StudentsTable[[#This Row],[AverageScore]]&gt;=60,"D",TRUE,"F")</f>
        <v>F</v>
      </c>
      <c r="L791" t="str">
        <f>IF(StudentsTable[[#This Row],[AverageScore]]&gt;=60,"Pass","Fail")</f>
        <v>Fail</v>
      </c>
      <c r="M791" t="str" cm="1">
        <f t="array" ref="M791">_xlfn.IFS(StudentsTable[[#This Row],[AverageScore]]&gt;=85,"Advanced",StudentsTable[[#This Row],[AverageScore]]&gt;=70,"Intermediate",StudentsTable[[#This Row],[AverageScore]]&gt;=60,"Basic",TRUE,"Needs Help")</f>
        <v>Needs Help</v>
      </c>
      <c r="N791">
        <f>RANK(StudentsTable[[#This Row],[AverageScore]],StudentsTable[AverageScore])</f>
        <v>721</v>
      </c>
      <c r="O791">
        <f>(StudentsTable[[#This Row],[AverageScore]]-MIN(StudentsTable[AverageScore]))/(MAX(StudentsTable[AverageScore])-MIN(StudentsTable[AverageScore]))*100</f>
        <v>55.311355311355314</v>
      </c>
    </row>
    <row r="792" spans="1:15" x14ac:dyDescent="0.3">
      <c r="A792" t="s">
        <v>8</v>
      </c>
      <c r="B792" t="s">
        <v>9</v>
      </c>
      <c r="C792" t="s">
        <v>22</v>
      </c>
      <c r="D792" t="s">
        <v>11</v>
      </c>
      <c r="E792" t="s">
        <v>12</v>
      </c>
      <c r="F792">
        <v>48</v>
      </c>
      <c r="G792">
        <v>62</v>
      </c>
      <c r="H792">
        <v>60</v>
      </c>
      <c r="I792">
        <f>StudentsTable[[#This Row],[math score]]+StudentsTable[[#This Row],[reading score]]+StudentsTable[[#This Row],[writing score]]</f>
        <v>170</v>
      </c>
      <c r="J792">
        <f>StudentsTable[[#This Row],[TotalScore]]/3</f>
        <v>56.666666666666664</v>
      </c>
      <c r="K792" t="str" cm="1">
        <f t="array" ref="K792">_xlfn.IFS(StudentsTable[[#This Row],[AverageScore]]&gt;=90,"A",StudentsTable[[#This Row],[AverageScore]]&gt;=80,"B",StudentsTable[[#This Row],[AverageScore]]&gt;=70,"C",StudentsTable[[#This Row],[AverageScore]]&gt;=60,"D",TRUE,"F")</f>
        <v>F</v>
      </c>
      <c r="L792" t="str">
        <f>IF(StudentsTable[[#This Row],[AverageScore]]&gt;=60,"Pass","Fail")</f>
        <v>Fail</v>
      </c>
      <c r="M792" t="str" cm="1">
        <f t="array" ref="M792">_xlfn.IFS(StudentsTable[[#This Row],[AverageScore]]&gt;=85,"Advanced",StudentsTable[[#This Row],[AverageScore]]&gt;=70,"Intermediate",StudentsTable[[#This Row],[AverageScore]]&gt;=60,"Basic",TRUE,"Needs Help")</f>
        <v>Needs Help</v>
      </c>
      <c r="N792">
        <f>RANK(StudentsTable[[#This Row],[AverageScore]],StudentsTable[AverageScore])</f>
        <v>776</v>
      </c>
      <c r="O792">
        <f>(StudentsTable[[#This Row],[AverageScore]]-MIN(StudentsTable[AverageScore]))/(MAX(StudentsTable[AverageScore])-MIN(StudentsTable[AverageScore]))*100</f>
        <v>52.380952380952387</v>
      </c>
    </row>
    <row r="793" spans="1:15" x14ac:dyDescent="0.3">
      <c r="A793" t="s">
        <v>8</v>
      </c>
      <c r="B793" t="s">
        <v>21</v>
      </c>
      <c r="C793" t="s">
        <v>14</v>
      </c>
      <c r="D793" t="s">
        <v>20</v>
      </c>
      <c r="E793" t="s">
        <v>12</v>
      </c>
      <c r="F793">
        <v>60</v>
      </c>
      <c r="G793">
        <v>66</v>
      </c>
      <c r="H793">
        <v>70</v>
      </c>
      <c r="I793">
        <f>StudentsTable[[#This Row],[math score]]+StudentsTable[[#This Row],[reading score]]+StudentsTable[[#This Row],[writing score]]</f>
        <v>196</v>
      </c>
      <c r="J793">
        <f>StudentsTable[[#This Row],[TotalScore]]/3</f>
        <v>65.333333333333329</v>
      </c>
      <c r="K793" t="str" cm="1">
        <f t="array" ref="K793">_xlfn.IFS(StudentsTable[[#This Row],[AverageScore]]&gt;=90,"A",StudentsTable[[#This Row],[AverageScore]]&gt;=80,"B",StudentsTable[[#This Row],[AverageScore]]&gt;=70,"C",StudentsTable[[#This Row],[AverageScore]]&gt;=60,"D",TRUE,"F")</f>
        <v>D</v>
      </c>
      <c r="L793" t="str">
        <f>IF(StudentsTable[[#This Row],[AverageScore]]&gt;=60,"Pass","Fail")</f>
        <v>Pass</v>
      </c>
      <c r="M793" t="str" cm="1">
        <f t="array" ref="M793">_xlfn.IFS(StudentsTable[[#This Row],[AverageScore]]&gt;=85,"Advanced",StudentsTable[[#This Row],[AverageScore]]&gt;=70,"Intermediate",StudentsTable[[#This Row],[AverageScore]]&gt;=60,"Basic",TRUE,"Needs Help")</f>
        <v>Basic</v>
      </c>
      <c r="N793">
        <f>RANK(StudentsTable[[#This Row],[AverageScore]],StudentsTable[AverageScore])</f>
        <v>584</v>
      </c>
      <c r="O793">
        <f>(StudentsTable[[#This Row],[AverageScore]]-MIN(StudentsTable[AverageScore]))/(MAX(StudentsTable[AverageScore])-MIN(StudentsTable[AverageScore]))*100</f>
        <v>61.904761904761898</v>
      </c>
    </row>
    <row r="794" spans="1:15" x14ac:dyDescent="0.3">
      <c r="A794" t="s">
        <v>17</v>
      </c>
      <c r="B794" t="s">
        <v>21</v>
      </c>
      <c r="C794" t="s">
        <v>22</v>
      </c>
      <c r="D794" t="s">
        <v>20</v>
      </c>
      <c r="E794" t="s">
        <v>12</v>
      </c>
      <c r="F794">
        <v>66</v>
      </c>
      <c r="G794">
        <v>74</v>
      </c>
      <c r="H794">
        <v>69</v>
      </c>
      <c r="I794">
        <f>StudentsTable[[#This Row],[math score]]+StudentsTable[[#This Row],[reading score]]+StudentsTable[[#This Row],[writing score]]</f>
        <v>209</v>
      </c>
      <c r="J794">
        <f>StudentsTable[[#This Row],[TotalScore]]/3</f>
        <v>69.666666666666671</v>
      </c>
      <c r="K794" t="str" cm="1">
        <f t="array" ref="K794">_xlfn.IFS(StudentsTable[[#This Row],[AverageScore]]&gt;=90,"A",StudentsTable[[#This Row],[AverageScore]]&gt;=80,"B",StudentsTable[[#This Row],[AverageScore]]&gt;=70,"C",StudentsTable[[#This Row],[AverageScore]]&gt;=60,"D",TRUE,"F")</f>
        <v>D</v>
      </c>
      <c r="L794" t="str">
        <f>IF(StudentsTable[[#This Row],[AverageScore]]&gt;=60,"Pass","Fail")</f>
        <v>Pass</v>
      </c>
      <c r="M794" t="str" cm="1">
        <f t="array" ref="M794">_xlfn.IFS(StudentsTable[[#This Row],[AverageScore]]&gt;=85,"Advanced",StudentsTable[[#This Row],[AverageScore]]&gt;=70,"Intermediate",StudentsTable[[#This Row],[AverageScore]]&gt;=60,"Basic",TRUE,"Needs Help")</f>
        <v>Basic</v>
      </c>
      <c r="N794">
        <f>RANK(StudentsTable[[#This Row],[AverageScore]],StudentsTable[AverageScore])</f>
        <v>460</v>
      </c>
      <c r="O794">
        <f>(StudentsTable[[#This Row],[AverageScore]]-MIN(StudentsTable[AverageScore]))/(MAX(StudentsTable[AverageScore])-MIN(StudentsTable[AverageScore]))*100</f>
        <v>66.666666666666671</v>
      </c>
    </row>
    <row r="795" spans="1:15" x14ac:dyDescent="0.3">
      <c r="A795" t="s">
        <v>17</v>
      </c>
      <c r="B795" t="s">
        <v>24</v>
      </c>
      <c r="C795" t="s">
        <v>23</v>
      </c>
      <c r="D795" t="s">
        <v>11</v>
      </c>
      <c r="E795" t="s">
        <v>15</v>
      </c>
      <c r="F795">
        <v>89</v>
      </c>
      <c r="G795">
        <v>84</v>
      </c>
      <c r="H795">
        <v>77</v>
      </c>
      <c r="I795">
        <f>StudentsTable[[#This Row],[math score]]+StudentsTable[[#This Row],[reading score]]+StudentsTable[[#This Row],[writing score]]</f>
        <v>250</v>
      </c>
      <c r="J795">
        <f>StudentsTable[[#This Row],[TotalScore]]/3</f>
        <v>83.333333333333329</v>
      </c>
      <c r="K795" t="str" cm="1">
        <f t="array" ref="K795">_xlfn.IFS(StudentsTable[[#This Row],[AverageScore]]&gt;=90,"A",StudentsTable[[#This Row],[AverageScore]]&gt;=80,"B",StudentsTable[[#This Row],[AverageScore]]&gt;=70,"C",StudentsTable[[#This Row],[AverageScore]]&gt;=60,"D",TRUE,"F")</f>
        <v>B</v>
      </c>
      <c r="L795" t="str">
        <f>IF(StudentsTable[[#This Row],[AverageScore]]&gt;=60,"Pass","Fail")</f>
        <v>Pass</v>
      </c>
      <c r="M795" t="str" cm="1">
        <f t="array" ref="M795">_xlfn.IFS(StudentsTable[[#This Row],[AverageScore]]&gt;=85,"Advanced",StudentsTable[[#This Row],[AverageScore]]&gt;=70,"Intermediate",StudentsTable[[#This Row],[AverageScore]]&gt;=60,"Basic",TRUE,"Needs Help")</f>
        <v>Intermediate</v>
      </c>
      <c r="N795">
        <f>RANK(StudentsTable[[#This Row],[AverageScore]],StudentsTable[AverageScore])</f>
        <v>135</v>
      </c>
      <c r="O795">
        <f>(StudentsTable[[#This Row],[AverageScore]]-MIN(StudentsTable[AverageScore]))/(MAX(StudentsTable[AverageScore])-MIN(StudentsTable[AverageScore]))*100</f>
        <v>81.684981684981679</v>
      </c>
    </row>
    <row r="796" spans="1:15" x14ac:dyDescent="0.3">
      <c r="A796" t="s">
        <v>8</v>
      </c>
      <c r="B796" t="s">
        <v>9</v>
      </c>
      <c r="C796" t="s">
        <v>22</v>
      </c>
      <c r="D796" t="s">
        <v>11</v>
      </c>
      <c r="E796" t="s">
        <v>12</v>
      </c>
      <c r="F796">
        <v>42</v>
      </c>
      <c r="G796">
        <v>52</v>
      </c>
      <c r="H796">
        <v>51</v>
      </c>
      <c r="I796">
        <f>StudentsTable[[#This Row],[math score]]+StudentsTable[[#This Row],[reading score]]+StudentsTable[[#This Row],[writing score]]</f>
        <v>145</v>
      </c>
      <c r="J796">
        <f>StudentsTable[[#This Row],[TotalScore]]/3</f>
        <v>48.333333333333336</v>
      </c>
      <c r="K796" t="str" cm="1">
        <f t="array" ref="K796">_xlfn.IFS(StudentsTable[[#This Row],[AverageScore]]&gt;=90,"A",StudentsTable[[#This Row],[AverageScore]]&gt;=80,"B",StudentsTable[[#This Row],[AverageScore]]&gt;=70,"C",StudentsTable[[#This Row],[AverageScore]]&gt;=60,"D",TRUE,"F")</f>
        <v>F</v>
      </c>
      <c r="L796" t="str">
        <f>IF(StudentsTable[[#This Row],[AverageScore]]&gt;=60,"Pass","Fail")</f>
        <v>Fail</v>
      </c>
      <c r="M796" t="str" cm="1">
        <f t="array" ref="M796">_xlfn.IFS(StudentsTable[[#This Row],[AverageScore]]&gt;=85,"Advanced",StudentsTable[[#This Row],[AverageScore]]&gt;=70,"Intermediate",StudentsTable[[#This Row],[AverageScore]]&gt;=60,"Basic",TRUE,"Needs Help")</f>
        <v>Needs Help</v>
      </c>
      <c r="N796">
        <f>RANK(StudentsTable[[#This Row],[AverageScore]],StudentsTable[AverageScore])</f>
        <v>915</v>
      </c>
      <c r="O796">
        <f>(StudentsTable[[#This Row],[AverageScore]]-MIN(StudentsTable[AverageScore]))/(MAX(StudentsTable[AverageScore])-MIN(StudentsTable[AverageScore]))*100</f>
        <v>43.223443223443226</v>
      </c>
    </row>
    <row r="797" spans="1:15" x14ac:dyDescent="0.3">
      <c r="A797" t="s">
        <v>8</v>
      </c>
      <c r="B797" t="s">
        <v>24</v>
      </c>
      <c r="C797" t="s">
        <v>19</v>
      </c>
      <c r="D797" t="s">
        <v>20</v>
      </c>
      <c r="E797" t="s">
        <v>15</v>
      </c>
      <c r="F797">
        <v>57</v>
      </c>
      <c r="G797">
        <v>68</v>
      </c>
      <c r="H797">
        <v>73</v>
      </c>
      <c r="I797">
        <f>StudentsTable[[#This Row],[math score]]+StudentsTable[[#This Row],[reading score]]+StudentsTable[[#This Row],[writing score]]</f>
        <v>198</v>
      </c>
      <c r="J797">
        <f>StudentsTable[[#This Row],[TotalScore]]/3</f>
        <v>66</v>
      </c>
      <c r="K797" t="str" cm="1">
        <f t="array" ref="K797">_xlfn.IFS(StudentsTable[[#This Row],[AverageScore]]&gt;=90,"A",StudentsTable[[#This Row],[AverageScore]]&gt;=80,"B",StudentsTable[[#This Row],[AverageScore]]&gt;=70,"C",StudentsTable[[#This Row],[AverageScore]]&gt;=60,"D",TRUE,"F")</f>
        <v>D</v>
      </c>
      <c r="L797" t="str">
        <f>IF(StudentsTable[[#This Row],[AverageScore]]&gt;=60,"Pass","Fail")</f>
        <v>Pass</v>
      </c>
      <c r="M797" t="str" cm="1">
        <f t="array" ref="M797">_xlfn.IFS(StudentsTable[[#This Row],[AverageScore]]&gt;=85,"Advanced",StudentsTable[[#This Row],[AverageScore]]&gt;=70,"Intermediate",StudentsTable[[#This Row],[AverageScore]]&gt;=60,"Basic",TRUE,"Needs Help")</f>
        <v>Basic</v>
      </c>
      <c r="N797">
        <f>RANK(StudentsTable[[#This Row],[AverageScore]],StudentsTable[AverageScore])</f>
        <v>562</v>
      </c>
      <c r="O797">
        <f>(StudentsTable[[#This Row],[AverageScore]]-MIN(StudentsTable[AverageScore]))/(MAX(StudentsTable[AverageScore])-MIN(StudentsTable[AverageScore]))*100</f>
        <v>62.637362637362635</v>
      </c>
    </row>
    <row r="798" spans="1:15" x14ac:dyDescent="0.3">
      <c r="A798" t="s">
        <v>17</v>
      </c>
      <c r="B798" t="s">
        <v>21</v>
      </c>
      <c r="C798" t="s">
        <v>22</v>
      </c>
      <c r="D798" t="s">
        <v>11</v>
      </c>
      <c r="E798" t="s">
        <v>12</v>
      </c>
      <c r="F798">
        <v>70</v>
      </c>
      <c r="G798">
        <v>70</v>
      </c>
      <c r="H798">
        <v>70</v>
      </c>
      <c r="I798">
        <f>StudentsTable[[#This Row],[math score]]+StudentsTable[[#This Row],[reading score]]+StudentsTable[[#This Row],[writing score]]</f>
        <v>210</v>
      </c>
      <c r="J798">
        <f>StudentsTable[[#This Row],[TotalScore]]/3</f>
        <v>70</v>
      </c>
      <c r="K798" t="str" cm="1">
        <f t="array" ref="K798">_xlfn.IFS(StudentsTable[[#This Row],[AverageScore]]&gt;=90,"A",StudentsTable[[#This Row],[AverageScore]]&gt;=80,"B",StudentsTable[[#This Row],[AverageScore]]&gt;=70,"C",StudentsTable[[#This Row],[AverageScore]]&gt;=60,"D",TRUE,"F")</f>
        <v>C</v>
      </c>
      <c r="L798" t="str">
        <f>IF(StudentsTable[[#This Row],[AverageScore]]&gt;=60,"Pass","Fail")</f>
        <v>Pass</v>
      </c>
      <c r="M798" t="str" cm="1">
        <f t="array" ref="M798">_xlfn.IFS(StudentsTable[[#This Row],[AverageScore]]&gt;=85,"Advanced",StudentsTable[[#This Row],[AverageScore]]&gt;=70,"Intermediate",StudentsTable[[#This Row],[AverageScore]]&gt;=60,"Basic",TRUE,"Needs Help")</f>
        <v>Intermediate</v>
      </c>
      <c r="N798">
        <f>RANK(StudentsTable[[#This Row],[AverageScore]],StudentsTable[AverageScore])</f>
        <v>448</v>
      </c>
      <c r="O798">
        <f>(StudentsTable[[#This Row],[AverageScore]]-MIN(StudentsTable[AverageScore]))/(MAX(StudentsTable[AverageScore])-MIN(StudentsTable[AverageScore]))*100</f>
        <v>67.032967032967022</v>
      </c>
    </row>
    <row r="799" spans="1:15" x14ac:dyDescent="0.3">
      <c r="A799" t="s">
        <v>8</v>
      </c>
      <c r="B799" t="s">
        <v>24</v>
      </c>
      <c r="C799" t="s">
        <v>19</v>
      </c>
      <c r="D799" t="s">
        <v>20</v>
      </c>
      <c r="E799" t="s">
        <v>12</v>
      </c>
      <c r="F799">
        <v>70</v>
      </c>
      <c r="G799">
        <v>84</v>
      </c>
      <c r="H799">
        <v>81</v>
      </c>
      <c r="I799">
        <f>StudentsTable[[#This Row],[math score]]+StudentsTable[[#This Row],[reading score]]+StudentsTable[[#This Row],[writing score]]</f>
        <v>235</v>
      </c>
      <c r="J799">
        <f>StudentsTable[[#This Row],[TotalScore]]/3</f>
        <v>78.333333333333329</v>
      </c>
      <c r="K799" t="str" cm="1">
        <f t="array" ref="K799">_xlfn.IFS(StudentsTable[[#This Row],[AverageScore]]&gt;=90,"A",StudentsTable[[#This Row],[AverageScore]]&gt;=80,"B",StudentsTable[[#This Row],[AverageScore]]&gt;=70,"C",StudentsTable[[#This Row],[AverageScore]]&gt;=60,"D",TRUE,"F")</f>
        <v>C</v>
      </c>
      <c r="L799" t="str">
        <f>IF(StudentsTable[[#This Row],[AverageScore]]&gt;=60,"Pass","Fail")</f>
        <v>Pass</v>
      </c>
      <c r="M799" t="str" cm="1">
        <f t="array" ref="M799">_xlfn.IFS(StudentsTable[[#This Row],[AverageScore]]&gt;=85,"Advanced",StudentsTable[[#This Row],[AverageScore]]&gt;=70,"Intermediate",StudentsTable[[#This Row],[AverageScore]]&gt;=60,"Basic",TRUE,"Needs Help")</f>
        <v>Intermediate</v>
      </c>
      <c r="N799">
        <f>RANK(StudentsTable[[#This Row],[AverageScore]],StudentsTable[AverageScore])</f>
        <v>231</v>
      </c>
      <c r="O799">
        <f>(StudentsTable[[#This Row],[AverageScore]]-MIN(StudentsTable[AverageScore]))/(MAX(StudentsTable[AverageScore])-MIN(StudentsTable[AverageScore]))*100</f>
        <v>76.19047619047619</v>
      </c>
    </row>
    <row r="800" spans="1:15" x14ac:dyDescent="0.3">
      <c r="A800" t="s">
        <v>17</v>
      </c>
      <c r="B800" t="s">
        <v>24</v>
      </c>
      <c r="C800" t="s">
        <v>14</v>
      </c>
      <c r="D800" t="s">
        <v>11</v>
      </c>
      <c r="E800" t="s">
        <v>12</v>
      </c>
      <c r="F800">
        <v>69</v>
      </c>
      <c r="G800">
        <v>60</v>
      </c>
      <c r="H800">
        <v>54</v>
      </c>
      <c r="I800">
        <f>StudentsTable[[#This Row],[math score]]+StudentsTable[[#This Row],[reading score]]+StudentsTable[[#This Row],[writing score]]</f>
        <v>183</v>
      </c>
      <c r="J800">
        <f>StudentsTable[[#This Row],[TotalScore]]/3</f>
        <v>61</v>
      </c>
      <c r="K800" t="str" cm="1">
        <f t="array" ref="K800">_xlfn.IFS(StudentsTable[[#This Row],[AverageScore]]&gt;=90,"A",StudentsTable[[#This Row],[AverageScore]]&gt;=80,"B",StudentsTable[[#This Row],[AverageScore]]&gt;=70,"C",StudentsTable[[#This Row],[AverageScore]]&gt;=60,"D",TRUE,"F")</f>
        <v>D</v>
      </c>
      <c r="L800" t="str">
        <f>IF(StudentsTable[[#This Row],[AverageScore]]&gt;=60,"Pass","Fail")</f>
        <v>Pass</v>
      </c>
      <c r="M800" t="str" cm="1">
        <f t="array" ref="M800">_xlfn.IFS(StudentsTable[[#This Row],[AverageScore]]&gt;=85,"Advanced",StudentsTable[[#This Row],[AverageScore]]&gt;=70,"Intermediate",StudentsTable[[#This Row],[AverageScore]]&gt;=60,"Basic",TRUE,"Needs Help")</f>
        <v>Basic</v>
      </c>
      <c r="N800">
        <f>RANK(StudentsTable[[#This Row],[AverageScore]],StudentsTable[AverageScore])</f>
        <v>687</v>
      </c>
      <c r="O800">
        <f>(StudentsTable[[#This Row],[AverageScore]]-MIN(StudentsTable[AverageScore]))/(MAX(StudentsTable[AverageScore])-MIN(StudentsTable[AverageScore]))*100</f>
        <v>57.142857142857139</v>
      </c>
    </row>
    <row r="801" spans="1:15" x14ac:dyDescent="0.3">
      <c r="A801" t="s">
        <v>8</v>
      </c>
      <c r="B801" t="s">
        <v>13</v>
      </c>
      <c r="C801" t="s">
        <v>19</v>
      </c>
      <c r="D801" t="s">
        <v>11</v>
      </c>
      <c r="E801" t="s">
        <v>12</v>
      </c>
      <c r="F801">
        <v>52</v>
      </c>
      <c r="G801">
        <v>55</v>
      </c>
      <c r="H801">
        <v>57</v>
      </c>
      <c r="I801">
        <f>StudentsTable[[#This Row],[math score]]+StudentsTable[[#This Row],[reading score]]+StudentsTable[[#This Row],[writing score]]</f>
        <v>164</v>
      </c>
      <c r="J801">
        <f>StudentsTable[[#This Row],[TotalScore]]/3</f>
        <v>54.666666666666664</v>
      </c>
      <c r="K801" t="str" cm="1">
        <f t="array" ref="K801">_xlfn.IFS(StudentsTable[[#This Row],[AverageScore]]&gt;=90,"A",StudentsTable[[#This Row],[AverageScore]]&gt;=80,"B",StudentsTable[[#This Row],[AverageScore]]&gt;=70,"C",StudentsTable[[#This Row],[AverageScore]]&gt;=60,"D",TRUE,"F")</f>
        <v>F</v>
      </c>
      <c r="L801" t="str">
        <f>IF(StudentsTable[[#This Row],[AverageScore]]&gt;=60,"Pass","Fail")</f>
        <v>Fail</v>
      </c>
      <c r="M801" t="str" cm="1">
        <f t="array" ref="M801">_xlfn.IFS(StudentsTable[[#This Row],[AverageScore]]&gt;=85,"Advanced",StudentsTable[[#This Row],[AverageScore]]&gt;=70,"Intermediate",StudentsTable[[#This Row],[AverageScore]]&gt;=60,"Basic",TRUE,"Needs Help")</f>
        <v>Needs Help</v>
      </c>
      <c r="N801">
        <f>RANK(StudentsTable[[#This Row],[AverageScore]],StudentsTable[AverageScore])</f>
        <v>810</v>
      </c>
      <c r="O801">
        <f>(StudentsTable[[#This Row],[AverageScore]]-MIN(StudentsTable[AverageScore]))/(MAX(StudentsTable[AverageScore])-MIN(StudentsTable[AverageScore]))*100</f>
        <v>50.183150183150182</v>
      </c>
    </row>
    <row r="802" spans="1:15" x14ac:dyDescent="0.3">
      <c r="A802" t="s">
        <v>17</v>
      </c>
      <c r="B802" t="s">
        <v>13</v>
      </c>
      <c r="C802" t="s">
        <v>23</v>
      </c>
      <c r="D802" t="s">
        <v>11</v>
      </c>
      <c r="E802" t="s">
        <v>15</v>
      </c>
      <c r="F802">
        <v>67</v>
      </c>
      <c r="G802">
        <v>73</v>
      </c>
      <c r="H802">
        <v>68</v>
      </c>
      <c r="I802">
        <f>StudentsTable[[#This Row],[math score]]+StudentsTable[[#This Row],[reading score]]+StudentsTable[[#This Row],[writing score]]</f>
        <v>208</v>
      </c>
      <c r="J802">
        <f>StudentsTable[[#This Row],[TotalScore]]/3</f>
        <v>69.333333333333329</v>
      </c>
      <c r="K802" t="str" cm="1">
        <f t="array" ref="K802">_xlfn.IFS(StudentsTable[[#This Row],[AverageScore]]&gt;=90,"A",StudentsTable[[#This Row],[AverageScore]]&gt;=80,"B",StudentsTable[[#This Row],[AverageScore]]&gt;=70,"C",StudentsTable[[#This Row],[AverageScore]]&gt;=60,"D",TRUE,"F")</f>
        <v>D</v>
      </c>
      <c r="L802" t="str">
        <f>IF(StudentsTable[[#This Row],[AverageScore]]&gt;=60,"Pass","Fail")</f>
        <v>Pass</v>
      </c>
      <c r="M802" t="str" cm="1">
        <f t="array" ref="M802">_xlfn.IFS(StudentsTable[[#This Row],[AverageScore]]&gt;=85,"Advanced",StudentsTable[[#This Row],[AverageScore]]&gt;=70,"Intermediate",StudentsTable[[#This Row],[AverageScore]]&gt;=60,"Basic",TRUE,"Needs Help")</f>
        <v>Basic</v>
      </c>
      <c r="N802">
        <f>RANK(StudentsTable[[#This Row],[AverageScore]],StudentsTable[AverageScore])</f>
        <v>465</v>
      </c>
      <c r="O802">
        <f>(StudentsTable[[#This Row],[AverageScore]]-MIN(StudentsTable[AverageScore]))/(MAX(StudentsTable[AverageScore])-MIN(StudentsTable[AverageScore]))*100</f>
        <v>66.300366300366292</v>
      </c>
    </row>
    <row r="803" spans="1:15" x14ac:dyDescent="0.3">
      <c r="A803" t="s">
        <v>17</v>
      </c>
      <c r="B803" t="s">
        <v>13</v>
      </c>
      <c r="C803" t="s">
        <v>23</v>
      </c>
      <c r="D803" t="s">
        <v>11</v>
      </c>
      <c r="E803" t="s">
        <v>15</v>
      </c>
      <c r="F803">
        <v>76</v>
      </c>
      <c r="G803">
        <v>80</v>
      </c>
      <c r="H803">
        <v>73</v>
      </c>
      <c r="I803">
        <f>StudentsTable[[#This Row],[math score]]+StudentsTable[[#This Row],[reading score]]+StudentsTable[[#This Row],[writing score]]</f>
        <v>229</v>
      </c>
      <c r="J803">
        <f>StudentsTable[[#This Row],[TotalScore]]/3</f>
        <v>76.333333333333329</v>
      </c>
      <c r="K803" t="str" cm="1">
        <f t="array" ref="K803">_xlfn.IFS(StudentsTable[[#This Row],[AverageScore]]&gt;=90,"A",StudentsTable[[#This Row],[AverageScore]]&gt;=80,"B",StudentsTable[[#This Row],[AverageScore]]&gt;=70,"C",StudentsTable[[#This Row],[AverageScore]]&gt;=60,"D",TRUE,"F")</f>
        <v>C</v>
      </c>
      <c r="L803" t="str">
        <f>IF(StudentsTable[[#This Row],[AverageScore]]&gt;=60,"Pass","Fail")</f>
        <v>Pass</v>
      </c>
      <c r="M803" t="str" cm="1">
        <f t="array" ref="M803">_xlfn.IFS(StudentsTable[[#This Row],[AverageScore]]&gt;=85,"Advanced",StudentsTable[[#This Row],[AverageScore]]&gt;=70,"Intermediate",StudentsTable[[#This Row],[AverageScore]]&gt;=60,"Basic",TRUE,"Needs Help")</f>
        <v>Intermediate</v>
      </c>
      <c r="N803">
        <f>RANK(StudentsTable[[#This Row],[AverageScore]],StudentsTable[AverageScore])</f>
        <v>282</v>
      </c>
      <c r="O803">
        <f>(StudentsTable[[#This Row],[AverageScore]]-MIN(StudentsTable[AverageScore]))/(MAX(StudentsTable[AverageScore])-MIN(StudentsTable[AverageScore]))*100</f>
        <v>73.992673992673986</v>
      </c>
    </row>
    <row r="804" spans="1:15" x14ac:dyDescent="0.3">
      <c r="A804" t="s">
        <v>8</v>
      </c>
      <c r="B804" t="s">
        <v>24</v>
      </c>
      <c r="C804" t="s">
        <v>19</v>
      </c>
      <c r="D804" t="s">
        <v>11</v>
      </c>
      <c r="E804" t="s">
        <v>12</v>
      </c>
      <c r="F804">
        <v>87</v>
      </c>
      <c r="G804">
        <v>94</v>
      </c>
      <c r="H804">
        <v>95</v>
      </c>
      <c r="I804">
        <f>StudentsTable[[#This Row],[math score]]+StudentsTable[[#This Row],[reading score]]+StudentsTable[[#This Row],[writing score]]</f>
        <v>276</v>
      </c>
      <c r="J804">
        <f>StudentsTable[[#This Row],[TotalScore]]/3</f>
        <v>92</v>
      </c>
      <c r="K804" t="str" cm="1">
        <f t="array" ref="K804">_xlfn.IFS(StudentsTable[[#This Row],[AverageScore]]&gt;=90,"A",StudentsTable[[#This Row],[AverageScore]]&gt;=80,"B",StudentsTable[[#This Row],[AverageScore]]&gt;=70,"C",StudentsTable[[#This Row],[AverageScore]]&gt;=60,"D",TRUE,"F")</f>
        <v>A</v>
      </c>
      <c r="L804" t="str">
        <f>IF(StudentsTable[[#This Row],[AverageScore]]&gt;=60,"Pass","Fail")</f>
        <v>Pass</v>
      </c>
      <c r="M804" t="str" cm="1">
        <f t="array" ref="M804">_xlfn.IFS(StudentsTable[[#This Row],[AverageScore]]&gt;=85,"Advanced",StudentsTable[[#This Row],[AverageScore]]&gt;=70,"Intermediate",StudentsTable[[#This Row],[AverageScore]]&gt;=60,"Basic",TRUE,"Needs Help")</f>
        <v>Advanced</v>
      </c>
      <c r="N804">
        <f>RANK(StudentsTable[[#This Row],[AverageScore]],StudentsTable[AverageScore])</f>
        <v>35</v>
      </c>
      <c r="O804">
        <f>(StudentsTable[[#This Row],[AverageScore]]-MIN(StudentsTable[AverageScore]))/(MAX(StudentsTable[AverageScore])-MIN(StudentsTable[AverageScore]))*100</f>
        <v>91.208791208791212</v>
      </c>
    </row>
    <row r="805" spans="1:15" x14ac:dyDescent="0.3">
      <c r="A805" t="s">
        <v>8</v>
      </c>
      <c r="B805" t="s">
        <v>9</v>
      </c>
      <c r="C805" t="s">
        <v>14</v>
      </c>
      <c r="D805" t="s">
        <v>11</v>
      </c>
      <c r="E805" t="s">
        <v>12</v>
      </c>
      <c r="F805">
        <v>82</v>
      </c>
      <c r="G805">
        <v>85</v>
      </c>
      <c r="H805">
        <v>87</v>
      </c>
      <c r="I805">
        <f>StudentsTable[[#This Row],[math score]]+StudentsTable[[#This Row],[reading score]]+StudentsTable[[#This Row],[writing score]]</f>
        <v>254</v>
      </c>
      <c r="J805">
        <f>StudentsTable[[#This Row],[TotalScore]]/3</f>
        <v>84.666666666666671</v>
      </c>
      <c r="K805" t="str" cm="1">
        <f t="array" ref="K805">_xlfn.IFS(StudentsTable[[#This Row],[AverageScore]]&gt;=90,"A",StudentsTable[[#This Row],[AverageScore]]&gt;=80,"B",StudentsTable[[#This Row],[AverageScore]]&gt;=70,"C",StudentsTable[[#This Row],[AverageScore]]&gt;=60,"D",TRUE,"F")</f>
        <v>B</v>
      </c>
      <c r="L805" t="str">
        <f>IF(StudentsTable[[#This Row],[AverageScore]]&gt;=60,"Pass","Fail")</f>
        <v>Pass</v>
      </c>
      <c r="M805" t="str" cm="1">
        <f t="array" ref="M805">_xlfn.IFS(StudentsTable[[#This Row],[AverageScore]]&gt;=85,"Advanced",StudentsTable[[#This Row],[AverageScore]]&gt;=70,"Intermediate",StudentsTable[[#This Row],[AverageScore]]&gt;=60,"Basic",TRUE,"Needs Help")</f>
        <v>Intermediate</v>
      </c>
      <c r="N805">
        <f>RANK(StudentsTable[[#This Row],[AverageScore]],StudentsTable[AverageScore])</f>
        <v>117</v>
      </c>
      <c r="O805">
        <f>(StudentsTable[[#This Row],[AverageScore]]-MIN(StudentsTable[AverageScore]))/(MAX(StudentsTable[AverageScore])-MIN(StudentsTable[AverageScore]))*100</f>
        <v>83.150183150183153</v>
      </c>
    </row>
    <row r="806" spans="1:15" x14ac:dyDescent="0.3">
      <c r="A806" t="s">
        <v>8</v>
      </c>
      <c r="B806" t="s">
        <v>13</v>
      </c>
      <c r="C806" t="s">
        <v>14</v>
      </c>
      <c r="D806" t="s">
        <v>11</v>
      </c>
      <c r="E806" t="s">
        <v>12</v>
      </c>
      <c r="F806">
        <v>73</v>
      </c>
      <c r="G806">
        <v>76</v>
      </c>
      <c r="H806">
        <v>78</v>
      </c>
      <c r="I806">
        <f>StudentsTable[[#This Row],[math score]]+StudentsTable[[#This Row],[reading score]]+StudentsTable[[#This Row],[writing score]]</f>
        <v>227</v>
      </c>
      <c r="J806">
        <f>StudentsTable[[#This Row],[TotalScore]]/3</f>
        <v>75.666666666666671</v>
      </c>
      <c r="K806" t="str" cm="1">
        <f t="array" ref="K806">_xlfn.IFS(StudentsTable[[#This Row],[AverageScore]]&gt;=90,"A",StudentsTable[[#This Row],[AverageScore]]&gt;=80,"B",StudentsTable[[#This Row],[AverageScore]]&gt;=70,"C",StudentsTable[[#This Row],[AverageScore]]&gt;=60,"D",TRUE,"F")</f>
        <v>C</v>
      </c>
      <c r="L806" t="str">
        <f>IF(StudentsTable[[#This Row],[AverageScore]]&gt;=60,"Pass","Fail")</f>
        <v>Pass</v>
      </c>
      <c r="M806" t="str" cm="1">
        <f t="array" ref="M806">_xlfn.IFS(StudentsTable[[#This Row],[AverageScore]]&gt;=85,"Advanced",StudentsTable[[#This Row],[AverageScore]]&gt;=70,"Intermediate",StudentsTable[[#This Row],[AverageScore]]&gt;=60,"Basic",TRUE,"Needs Help")</f>
        <v>Intermediate</v>
      </c>
      <c r="N806">
        <f>RANK(StudentsTable[[#This Row],[AverageScore]],StudentsTable[AverageScore])</f>
        <v>297</v>
      </c>
      <c r="O806">
        <f>(StudentsTable[[#This Row],[AverageScore]]-MIN(StudentsTable[AverageScore]))/(MAX(StudentsTable[AverageScore])-MIN(StudentsTable[AverageScore]))*100</f>
        <v>73.26007326007327</v>
      </c>
    </row>
    <row r="807" spans="1:15" x14ac:dyDescent="0.3">
      <c r="A807" t="s">
        <v>17</v>
      </c>
      <c r="B807" t="s">
        <v>18</v>
      </c>
      <c r="C807" t="s">
        <v>14</v>
      </c>
      <c r="D807" t="s">
        <v>20</v>
      </c>
      <c r="E807" t="s">
        <v>12</v>
      </c>
      <c r="F807">
        <v>75</v>
      </c>
      <c r="G807">
        <v>81</v>
      </c>
      <c r="H807">
        <v>74</v>
      </c>
      <c r="I807">
        <f>StudentsTable[[#This Row],[math score]]+StudentsTable[[#This Row],[reading score]]+StudentsTable[[#This Row],[writing score]]</f>
        <v>230</v>
      </c>
      <c r="J807">
        <f>StudentsTable[[#This Row],[TotalScore]]/3</f>
        <v>76.666666666666671</v>
      </c>
      <c r="K807" t="str" cm="1">
        <f t="array" ref="K807">_xlfn.IFS(StudentsTable[[#This Row],[AverageScore]]&gt;=90,"A",StudentsTable[[#This Row],[AverageScore]]&gt;=80,"B",StudentsTable[[#This Row],[AverageScore]]&gt;=70,"C",StudentsTable[[#This Row],[AverageScore]]&gt;=60,"D",TRUE,"F")</f>
        <v>C</v>
      </c>
      <c r="L807" t="str">
        <f>IF(StudentsTable[[#This Row],[AverageScore]]&gt;=60,"Pass","Fail")</f>
        <v>Pass</v>
      </c>
      <c r="M807" t="str" cm="1">
        <f t="array" ref="M807">_xlfn.IFS(StudentsTable[[#This Row],[AverageScore]]&gt;=85,"Advanced",StudentsTable[[#This Row],[AverageScore]]&gt;=70,"Intermediate",StudentsTable[[#This Row],[AverageScore]]&gt;=60,"Basic",TRUE,"Needs Help")</f>
        <v>Intermediate</v>
      </c>
      <c r="N807">
        <f>RANK(StudentsTable[[#This Row],[AverageScore]],StudentsTable[AverageScore])</f>
        <v>277</v>
      </c>
      <c r="O807">
        <f>(StudentsTable[[#This Row],[AverageScore]]-MIN(StudentsTable[AverageScore]))/(MAX(StudentsTable[AverageScore])-MIN(StudentsTable[AverageScore]))*100</f>
        <v>74.358974358974365</v>
      </c>
    </row>
    <row r="808" spans="1:15" x14ac:dyDescent="0.3">
      <c r="A808" t="s">
        <v>8</v>
      </c>
      <c r="B808" t="s">
        <v>21</v>
      </c>
      <c r="C808" t="s">
        <v>14</v>
      </c>
      <c r="D808" t="s">
        <v>20</v>
      </c>
      <c r="E808" t="s">
        <v>12</v>
      </c>
      <c r="F808">
        <v>64</v>
      </c>
      <c r="G808">
        <v>74</v>
      </c>
      <c r="H808">
        <v>75</v>
      </c>
      <c r="I808">
        <f>StudentsTable[[#This Row],[math score]]+StudentsTable[[#This Row],[reading score]]+StudentsTable[[#This Row],[writing score]]</f>
        <v>213</v>
      </c>
      <c r="J808">
        <f>StudentsTable[[#This Row],[TotalScore]]/3</f>
        <v>71</v>
      </c>
      <c r="K808" t="str" cm="1">
        <f t="array" ref="K808">_xlfn.IFS(StudentsTable[[#This Row],[AverageScore]]&gt;=90,"A",StudentsTable[[#This Row],[AverageScore]]&gt;=80,"B",StudentsTable[[#This Row],[AverageScore]]&gt;=70,"C",StudentsTable[[#This Row],[AverageScore]]&gt;=60,"D",TRUE,"F")</f>
        <v>C</v>
      </c>
      <c r="L808" t="str">
        <f>IF(StudentsTable[[#This Row],[AverageScore]]&gt;=60,"Pass","Fail")</f>
        <v>Pass</v>
      </c>
      <c r="M808" t="str" cm="1">
        <f t="array" ref="M808">_xlfn.IFS(StudentsTable[[#This Row],[AverageScore]]&gt;=85,"Advanced",StudentsTable[[#This Row],[AverageScore]]&gt;=70,"Intermediate",StudentsTable[[#This Row],[AverageScore]]&gt;=60,"Basic",TRUE,"Needs Help")</f>
        <v>Intermediate</v>
      </c>
      <c r="N808">
        <f>RANK(StudentsTable[[#This Row],[AverageScore]],StudentsTable[AverageScore])</f>
        <v>424</v>
      </c>
      <c r="O808">
        <f>(StudentsTable[[#This Row],[AverageScore]]-MIN(StudentsTable[AverageScore]))/(MAX(StudentsTable[AverageScore])-MIN(StudentsTable[AverageScore]))*100</f>
        <v>68.131868131868131</v>
      </c>
    </row>
    <row r="809" spans="1:15" x14ac:dyDescent="0.3">
      <c r="A809" t="s">
        <v>8</v>
      </c>
      <c r="B809" t="s">
        <v>24</v>
      </c>
      <c r="C809" t="s">
        <v>22</v>
      </c>
      <c r="D809" t="s">
        <v>20</v>
      </c>
      <c r="E809" t="s">
        <v>12</v>
      </c>
      <c r="F809">
        <v>41</v>
      </c>
      <c r="G809">
        <v>45</v>
      </c>
      <c r="H809">
        <v>40</v>
      </c>
      <c r="I809">
        <f>StudentsTable[[#This Row],[math score]]+StudentsTable[[#This Row],[reading score]]+StudentsTable[[#This Row],[writing score]]</f>
        <v>126</v>
      </c>
      <c r="J809">
        <f>StudentsTable[[#This Row],[TotalScore]]/3</f>
        <v>42</v>
      </c>
      <c r="K809" t="str" cm="1">
        <f t="array" ref="K809">_xlfn.IFS(StudentsTable[[#This Row],[AverageScore]]&gt;=90,"A",StudentsTable[[#This Row],[AverageScore]]&gt;=80,"B",StudentsTable[[#This Row],[AverageScore]]&gt;=70,"C",StudentsTable[[#This Row],[AverageScore]]&gt;=60,"D",TRUE,"F")</f>
        <v>F</v>
      </c>
      <c r="L809" t="str">
        <f>IF(StudentsTable[[#This Row],[AverageScore]]&gt;=60,"Pass","Fail")</f>
        <v>Fail</v>
      </c>
      <c r="M809" t="str" cm="1">
        <f t="array" ref="M809">_xlfn.IFS(StudentsTable[[#This Row],[AverageScore]]&gt;=85,"Advanced",StudentsTable[[#This Row],[AverageScore]]&gt;=70,"Intermediate",StudentsTable[[#This Row],[AverageScore]]&gt;=60,"Basic",TRUE,"Needs Help")</f>
        <v>Needs Help</v>
      </c>
      <c r="N809">
        <f>RANK(StudentsTable[[#This Row],[AverageScore]],StudentsTable[AverageScore])</f>
        <v>963</v>
      </c>
      <c r="O809">
        <f>(StudentsTable[[#This Row],[AverageScore]]-MIN(StudentsTable[AverageScore]))/(MAX(StudentsTable[AverageScore])-MIN(StudentsTable[AverageScore]))*100</f>
        <v>36.263736263736263</v>
      </c>
    </row>
    <row r="810" spans="1:15" x14ac:dyDescent="0.3">
      <c r="A810" t="s">
        <v>17</v>
      </c>
      <c r="B810" t="s">
        <v>13</v>
      </c>
      <c r="C810" t="s">
        <v>22</v>
      </c>
      <c r="D810" t="s">
        <v>11</v>
      </c>
      <c r="E810" t="s">
        <v>12</v>
      </c>
      <c r="F810">
        <v>90</v>
      </c>
      <c r="G810">
        <v>75</v>
      </c>
      <c r="H810">
        <v>69</v>
      </c>
      <c r="I810">
        <f>StudentsTable[[#This Row],[math score]]+StudentsTable[[#This Row],[reading score]]+StudentsTable[[#This Row],[writing score]]</f>
        <v>234</v>
      </c>
      <c r="J810">
        <f>StudentsTable[[#This Row],[TotalScore]]/3</f>
        <v>78</v>
      </c>
      <c r="K810" t="str" cm="1">
        <f t="array" ref="K810">_xlfn.IFS(StudentsTable[[#This Row],[AverageScore]]&gt;=90,"A",StudentsTable[[#This Row],[AverageScore]]&gt;=80,"B",StudentsTable[[#This Row],[AverageScore]]&gt;=70,"C",StudentsTable[[#This Row],[AverageScore]]&gt;=60,"D",TRUE,"F")</f>
        <v>C</v>
      </c>
      <c r="L810" t="str">
        <f>IF(StudentsTable[[#This Row],[AverageScore]]&gt;=60,"Pass","Fail")</f>
        <v>Pass</v>
      </c>
      <c r="M810" t="str" cm="1">
        <f t="array" ref="M810">_xlfn.IFS(StudentsTable[[#This Row],[AverageScore]]&gt;=85,"Advanced",StudentsTable[[#This Row],[AverageScore]]&gt;=70,"Intermediate",StudentsTable[[#This Row],[AverageScore]]&gt;=60,"Basic",TRUE,"Needs Help")</f>
        <v>Intermediate</v>
      </c>
      <c r="N810">
        <f>RANK(StudentsTable[[#This Row],[AverageScore]],StudentsTable[AverageScore])</f>
        <v>240</v>
      </c>
      <c r="O810">
        <f>(StudentsTable[[#This Row],[AverageScore]]-MIN(StudentsTable[AverageScore]))/(MAX(StudentsTable[AverageScore])-MIN(StudentsTable[AverageScore]))*100</f>
        <v>75.824175824175825</v>
      </c>
    </row>
    <row r="811" spans="1:15" x14ac:dyDescent="0.3">
      <c r="A811" t="s">
        <v>17</v>
      </c>
      <c r="B811" t="s">
        <v>9</v>
      </c>
      <c r="C811" t="s">
        <v>10</v>
      </c>
      <c r="D811" t="s">
        <v>11</v>
      </c>
      <c r="E811" t="s">
        <v>12</v>
      </c>
      <c r="F811">
        <v>59</v>
      </c>
      <c r="G811">
        <v>54</v>
      </c>
      <c r="H811">
        <v>51</v>
      </c>
      <c r="I811">
        <f>StudentsTable[[#This Row],[math score]]+StudentsTable[[#This Row],[reading score]]+StudentsTable[[#This Row],[writing score]]</f>
        <v>164</v>
      </c>
      <c r="J811">
        <f>StudentsTable[[#This Row],[TotalScore]]/3</f>
        <v>54.666666666666664</v>
      </c>
      <c r="K811" t="str" cm="1">
        <f t="array" ref="K811">_xlfn.IFS(StudentsTable[[#This Row],[AverageScore]]&gt;=90,"A",StudentsTable[[#This Row],[AverageScore]]&gt;=80,"B",StudentsTable[[#This Row],[AverageScore]]&gt;=70,"C",StudentsTable[[#This Row],[AverageScore]]&gt;=60,"D",TRUE,"F")</f>
        <v>F</v>
      </c>
      <c r="L811" t="str">
        <f>IF(StudentsTable[[#This Row],[AverageScore]]&gt;=60,"Pass","Fail")</f>
        <v>Fail</v>
      </c>
      <c r="M811" t="str" cm="1">
        <f t="array" ref="M811">_xlfn.IFS(StudentsTable[[#This Row],[AverageScore]]&gt;=85,"Advanced",StudentsTable[[#This Row],[AverageScore]]&gt;=70,"Intermediate",StudentsTable[[#This Row],[AverageScore]]&gt;=60,"Basic",TRUE,"Needs Help")</f>
        <v>Needs Help</v>
      </c>
      <c r="N811">
        <f>RANK(StudentsTable[[#This Row],[AverageScore]],StudentsTable[AverageScore])</f>
        <v>810</v>
      </c>
      <c r="O811">
        <f>(StudentsTable[[#This Row],[AverageScore]]-MIN(StudentsTable[AverageScore]))/(MAX(StudentsTable[AverageScore])-MIN(StudentsTable[AverageScore]))*100</f>
        <v>50.183150183150182</v>
      </c>
    </row>
    <row r="812" spans="1:15" x14ac:dyDescent="0.3">
      <c r="A812" t="s">
        <v>17</v>
      </c>
      <c r="B812" t="s">
        <v>18</v>
      </c>
      <c r="C812" t="s">
        <v>23</v>
      </c>
      <c r="D812" t="s">
        <v>11</v>
      </c>
      <c r="E812" t="s">
        <v>12</v>
      </c>
      <c r="F812">
        <v>51</v>
      </c>
      <c r="G812">
        <v>31</v>
      </c>
      <c r="H812">
        <v>36</v>
      </c>
      <c r="I812">
        <f>StudentsTable[[#This Row],[math score]]+StudentsTable[[#This Row],[reading score]]+StudentsTable[[#This Row],[writing score]]</f>
        <v>118</v>
      </c>
      <c r="J812">
        <f>StudentsTable[[#This Row],[TotalScore]]/3</f>
        <v>39.333333333333336</v>
      </c>
      <c r="K812" t="str" cm="1">
        <f t="array" ref="K812">_xlfn.IFS(StudentsTable[[#This Row],[AverageScore]]&gt;=90,"A",StudentsTable[[#This Row],[AverageScore]]&gt;=80,"B",StudentsTable[[#This Row],[AverageScore]]&gt;=70,"C",StudentsTable[[#This Row],[AverageScore]]&gt;=60,"D",TRUE,"F")</f>
        <v>F</v>
      </c>
      <c r="L812" t="str">
        <f>IF(StudentsTable[[#This Row],[AverageScore]]&gt;=60,"Pass","Fail")</f>
        <v>Fail</v>
      </c>
      <c r="M812" t="str" cm="1">
        <f t="array" ref="M812">_xlfn.IFS(StudentsTable[[#This Row],[AverageScore]]&gt;=85,"Advanced",StudentsTable[[#This Row],[AverageScore]]&gt;=70,"Intermediate",StudentsTable[[#This Row],[AverageScore]]&gt;=60,"Basic",TRUE,"Needs Help")</f>
        <v>Needs Help</v>
      </c>
      <c r="N812">
        <f>RANK(StudentsTable[[#This Row],[AverageScore]],StudentsTable[AverageScore])</f>
        <v>974</v>
      </c>
      <c r="O812">
        <f>(StudentsTable[[#This Row],[AverageScore]]-MIN(StudentsTable[AverageScore]))/(MAX(StudentsTable[AverageScore])-MIN(StudentsTable[AverageScore]))*100</f>
        <v>33.333333333333336</v>
      </c>
    </row>
    <row r="813" spans="1:15" x14ac:dyDescent="0.3">
      <c r="A813" t="s">
        <v>17</v>
      </c>
      <c r="B813" t="s">
        <v>18</v>
      </c>
      <c r="C813" t="s">
        <v>22</v>
      </c>
      <c r="D813" t="s">
        <v>20</v>
      </c>
      <c r="E813" t="s">
        <v>12</v>
      </c>
      <c r="F813">
        <v>45</v>
      </c>
      <c r="G813">
        <v>47</v>
      </c>
      <c r="H813">
        <v>49</v>
      </c>
      <c r="I813">
        <f>StudentsTable[[#This Row],[math score]]+StudentsTable[[#This Row],[reading score]]+StudentsTable[[#This Row],[writing score]]</f>
        <v>141</v>
      </c>
      <c r="J813">
        <f>StudentsTable[[#This Row],[TotalScore]]/3</f>
        <v>47</v>
      </c>
      <c r="K813" t="str" cm="1">
        <f t="array" ref="K813">_xlfn.IFS(StudentsTable[[#This Row],[AverageScore]]&gt;=90,"A",StudentsTable[[#This Row],[AverageScore]]&gt;=80,"B",StudentsTable[[#This Row],[AverageScore]]&gt;=70,"C",StudentsTable[[#This Row],[AverageScore]]&gt;=60,"D",TRUE,"F")</f>
        <v>F</v>
      </c>
      <c r="L813" t="str">
        <f>IF(StudentsTable[[#This Row],[AverageScore]]&gt;=60,"Pass","Fail")</f>
        <v>Fail</v>
      </c>
      <c r="M813" t="str" cm="1">
        <f t="array" ref="M813">_xlfn.IFS(StudentsTable[[#This Row],[AverageScore]]&gt;=85,"Advanced",StudentsTable[[#This Row],[AverageScore]]&gt;=70,"Intermediate",StudentsTable[[#This Row],[AverageScore]]&gt;=60,"Basic",TRUE,"Needs Help")</f>
        <v>Needs Help</v>
      </c>
      <c r="N813">
        <f>RANK(StudentsTable[[#This Row],[AverageScore]],StudentsTable[AverageScore])</f>
        <v>929</v>
      </c>
      <c r="O813">
        <f>(StudentsTable[[#This Row],[AverageScore]]-MIN(StudentsTable[AverageScore]))/(MAX(StudentsTable[AverageScore])-MIN(StudentsTable[AverageScore]))*100</f>
        <v>41.758241758241759</v>
      </c>
    </row>
    <row r="814" spans="1:15" x14ac:dyDescent="0.3">
      <c r="A814" t="s">
        <v>8</v>
      </c>
      <c r="B814" t="s">
        <v>13</v>
      </c>
      <c r="C814" t="s">
        <v>16</v>
      </c>
      <c r="D814" t="s">
        <v>11</v>
      </c>
      <c r="E814" t="s">
        <v>15</v>
      </c>
      <c r="F814">
        <v>54</v>
      </c>
      <c r="G814">
        <v>64</v>
      </c>
      <c r="H814">
        <v>67</v>
      </c>
      <c r="I814">
        <f>StudentsTable[[#This Row],[math score]]+StudentsTable[[#This Row],[reading score]]+StudentsTable[[#This Row],[writing score]]</f>
        <v>185</v>
      </c>
      <c r="J814">
        <f>StudentsTable[[#This Row],[TotalScore]]/3</f>
        <v>61.666666666666664</v>
      </c>
      <c r="K814" t="str" cm="1">
        <f t="array" ref="K814">_xlfn.IFS(StudentsTable[[#This Row],[AverageScore]]&gt;=90,"A",StudentsTable[[#This Row],[AverageScore]]&gt;=80,"B",StudentsTable[[#This Row],[AverageScore]]&gt;=70,"C",StudentsTable[[#This Row],[AverageScore]]&gt;=60,"D",TRUE,"F")</f>
        <v>D</v>
      </c>
      <c r="L814" t="str">
        <f>IF(StudentsTable[[#This Row],[AverageScore]]&gt;=60,"Pass","Fail")</f>
        <v>Pass</v>
      </c>
      <c r="M814" t="str" cm="1">
        <f t="array" ref="M814">_xlfn.IFS(StudentsTable[[#This Row],[AverageScore]]&gt;=85,"Advanced",StudentsTable[[#This Row],[AverageScore]]&gt;=70,"Intermediate",StudentsTable[[#This Row],[AverageScore]]&gt;=60,"Basic",TRUE,"Needs Help")</f>
        <v>Basic</v>
      </c>
      <c r="N814">
        <f>RANK(StudentsTable[[#This Row],[AverageScore]],StudentsTable[AverageScore])</f>
        <v>671</v>
      </c>
      <c r="O814">
        <f>(StudentsTable[[#This Row],[AverageScore]]-MIN(StudentsTable[AverageScore]))/(MAX(StudentsTable[AverageScore])-MIN(StudentsTable[AverageScore]))*100</f>
        <v>57.875457875457869</v>
      </c>
    </row>
    <row r="815" spans="1:15" x14ac:dyDescent="0.3">
      <c r="A815" t="s">
        <v>17</v>
      </c>
      <c r="B815" t="s">
        <v>24</v>
      </c>
      <c r="C815" t="s">
        <v>23</v>
      </c>
      <c r="D815" t="s">
        <v>11</v>
      </c>
      <c r="E815" t="s">
        <v>15</v>
      </c>
      <c r="F815">
        <v>87</v>
      </c>
      <c r="G815">
        <v>84</v>
      </c>
      <c r="H815">
        <v>76</v>
      </c>
      <c r="I815">
        <f>StudentsTable[[#This Row],[math score]]+StudentsTable[[#This Row],[reading score]]+StudentsTable[[#This Row],[writing score]]</f>
        <v>247</v>
      </c>
      <c r="J815">
        <f>StudentsTable[[#This Row],[TotalScore]]/3</f>
        <v>82.333333333333329</v>
      </c>
      <c r="K815" t="str" cm="1">
        <f t="array" ref="K815">_xlfn.IFS(StudentsTable[[#This Row],[AverageScore]]&gt;=90,"A",StudentsTable[[#This Row],[AverageScore]]&gt;=80,"B",StudentsTable[[#This Row],[AverageScore]]&gt;=70,"C",StudentsTable[[#This Row],[AverageScore]]&gt;=60,"D",TRUE,"F")</f>
        <v>B</v>
      </c>
      <c r="L815" t="str">
        <f>IF(StudentsTable[[#This Row],[AverageScore]]&gt;=60,"Pass","Fail")</f>
        <v>Pass</v>
      </c>
      <c r="M815" t="str" cm="1">
        <f t="array" ref="M815">_xlfn.IFS(StudentsTable[[#This Row],[AverageScore]]&gt;=85,"Advanced",StudentsTable[[#This Row],[AverageScore]]&gt;=70,"Intermediate",StudentsTable[[#This Row],[AverageScore]]&gt;=60,"Basic",TRUE,"Needs Help")</f>
        <v>Intermediate</v>
      </c>
      <c r="N815">
        <f>RANK(StudentsTable[[#This Row],[AverageScore]],StudentsTable[AverageScore])</f>
        <v>155</v>
      </c>
      <c r="O815">
        <f>(StudentsTable[[#This Row],[AverageScore]]-MIN(StudentsTable[AverageScore]))/(MAX(StudentsTable[AverageScore])-MIN(StudentsTable[AverageScore]))*100</f>
        <v>80.586080586080584</v>
      </c>
    </row>
    <row r="816" spans="1:15" x14ac:dyDescent="0.3">
      <c r="A816" t="s">
        <v>8</v>
      </c>
      <c r="B816" t="s">
        <v>13</v>
      </c>
      <c r="C816" t="s">
        <v>22</v>
      </c>
      <c r="D816" t="s">
        <v>11</v>
      </c>
      <c r="E816" t="s">
        <v>12</v>
      </c>
      <c r="F816">
        <v>72</v>
      </c>
      <c r="G816">
        <v>80</v>
      </c>
      <c r="H816">
        <v>83</v>
      </c>
      <c r="I816">
        <f>StudentsTable[[#This Row],[math score]]+StudentsTable[[#This Row],[reading score]]+StudentsTable[[#This Row],[writing score]]</f>
        <v>235</v>
      </c>
      <c r="J816">
        <f>StudentsTable[[#This Row],[TotalScore]]/3</f>
        <v>78.333333333333329</v>
      </c>
      <c r="K816" t="str" cm="1">
        <f t="array" ref="K816">_xlfn.IFS(StudentsTable[[#This Row],[AverageScore]]&gt;=90,"A",StudentsTable[[#This Row],[AverageScore]]&gt;=80,"B",StudentsTable[[#This Row],[AverageScore]]&gt;=70,"C",StudentsTable[[#This Row],[AverageScore]]&gt;=60,"D",TRUE,"F")</f>
        <v>C</v>
      </c>
      <c r="L816" t="str">
        <f>IF(StudentsTable[[#This Row],[AverageScore]]&gt;=60,"Pass","Fail")</f>
        <v>Pass</v>
      </c>
      <c r="M816" t="str" cm="1">
        <f t="array" ref="M816">_xlfn.IFS(StudentsTable[[#This Row],[AverageScore]]&gt;=85,"Advanced",StudentsTable[[#This Row],[AverageScore]]&gt;=70,"Intermediate",StudentsTable[[#This Row],[AverageScore]]&gt;=60,"Basic",TRUE,"Needs Help")</f>
        <v>Intermediate</v>
      </c>
      <c r="N816">
        <f>RANK(StudentsTable[[#This Row],[AverageScore]],StudentsTable[AverageScore])</f>
        <v>231</v>
      </c>
      <c r="O816">
        <f>(StudentsTable[[#This Row],[AverageScore]]-MIN(StudentsTable[AverageScore]))/(MAX(StudentsTable[AverageScore])-MIN(StudentsTable[AverageScore]))*100</f>
        <v>76.19047619047619</v>
      </c>
    </row>
    <row r="817" spans="1:15" x14ac:dyDescent="0.3">
      <c r="A817" t="s">
        <v>17</v>
      </c>
      <c r="B817" t="s">
        <v>9</v>
      </c>
      <c r="C817" t="s">
        <v>23</v>
      </c>
      <c r="D817" t="s">
        <v>11</v>
      </c>
      <c r="E817" t="s">
        <v>15</v>
      </c>
      <c r="F817">
        <v>94</v>
      </c>
      <c r="G817">
        <v>86</v>
      </c>
      <c r="H817">
        <v>87</v>
      </c>
      <c r="I817">
        <f>StudentsTable[[#This Row],[math score]]+StudentsTable[[#This Row],[reading score]]+StudentsTable[[#This Row],[writing score]]</f>
        <v>267</v>
      </c>
      <c r="J817">
        <f>StudentsTable[[#This Row],[TotalScore]]/3</f>
        <v>89</v>
      </c>
      <c r="K817" t="str" cm="1">
        <f t="array" ref="K817">_xlfn.IFS(StudentsTable[[#This Row],[AverageScore]]&gt;=90,"A",StudentsTable[[#This Row],[AverageScore]]&gt;=80,"B",StudentsTable[[#This Row],[AverageScore]]&gt;=70,"C",StudentsTable[[#This Row],[AverageScore]]&gt;=60,"D",TRUE,"F")</f>
        <v>B</v>
      </c>
      <c r="L817" t="str">
        <f>IF(StudentsTable[[#This Row],[AverageScore]]&gt;=60,"Pass","Fail")</f>
        <v>Pass</v>
      </c>
      <c r="M817" t="str" cm="1">
        <f t="array" ref="M817">_xlfn.IFS(StudentsTable[[#This Row],[AverageScore]]&gt;=85,"Advanced",StudentsTable[[#This Row],[AverageScore]]&gt;=70,"Intermediate",StudentsTable[[#This Row],[AverageScore]]&gt;=60,"Basic",TRUE,"Needs Help")</f>
        <v>Advanced</v>
      </c>
      <c r="N817">
        <f>RANK(StudentsTable[[#This Row],[AverageScore]],StudentsTable[AverageScore])</f>
        <v>59</v>
      </c>
      <c r="O817">
        <f>(StudentsTable[[#This Row],[AverageScore]]-MIN(StudentsTable[AverageScore]))/(MAX(StudentsTable[AverageScore])-MIN(StudentsTable[AverageScore]))*100</f>
        <v>87.912087912087912</v>
      </c>
    </row>
    <row r="818" spans="1:15" x14ac:dyDescent="0.3">
      <c r="A818" t="s">
        <v>8</v>
      </c>
      <c r="B818" t="s">
        <v>18</v>
      </c>
      <c r="C818" t="s">
        <v>10</v>
      </c>
      <c r="D818" t="s">
        <v>11</v>
      </c>
      <c r="E818" t="s">
        <v>12</v>
      </c>
      <c r="F818">
        <v>45</v>
      </c>
      <c r="G818">
        <v>59</v>
      </c>
      <c r="H818">
        <v>64</v>
      </c>
      <c r="I818">
        <f>StudentsTable[[#This Row],[math score]]+StudentsTable[[#This Row],[reading score]]+StudentsTable[[#This Row],[writing score]]</f>
        <v>168</v>
      </c>
      <c r="J818">
        <f>StudentsTable[[#This Row],[TotalScore]]/3</f>
        <v>56</v>
      </c>
      <c r="K818" t="str" cm="1">
        <f t="array" ref="K818">_xlfn.IFS(StudentsTable[[#This Row],[AverageScore]]&gt;=90,"A",StudentsTable[[#This Row],[AverageScore]]&gt;=80,"B",StudentsTable[[#This Row],[AverageScore]]&gt;=70,"C",StudentsTable[[#This Row],[AverageScore]]&gt;=60,"D",TRUE,"F")</f>
        <v>F</v>
      </c>
      <c r="L818" t="str">
        <f>IF(StudentsTable[[#This Row],[AverageScore]]&gt;=60,"Pass","Fail")</f>
        <v>Fail</v>
      </c>
      <c r="M818" t="str" cm="1">
        <f t="array" ref="M818">_xlfn.IFS(StudentsTable[[#This Row],[AverageScore]]&gt;=85,"Advanced",StudentsTable[[#This Row],[AverageScore]]&gt;=70,"Intermediate",StudentsTable[[#This Row],[AverageScore]]&gt;=60,"Basic",TRUE,"Needs Help")</f>
        <v>Needs Help</v>
      </c>
      <c r="N818">
        <f>RANK(StudentsTable[[#This Row],[AverageScore]],StudentsTable[AverageScore])</f>
        <v>786</v>
      </c>
      <c r="O818">
        <f>(StudentsTable[[#This Row],[AverageScore]]-MIN(StudentsTable[AverageScore]))/(MAX(StudentsTable[AverageScore])-MIN(StudentsTable[AverageScore]))*100</f>
        <v>51.648351648351657</v>
      </c>
    </row>
    <row r="819" spans="1:15" x14ac:dyDescent="0.3">
      <c r="A819" t="s">
        <v>17</v>
      </c>
      <c r="B819" t="s">
        <v>21</v>
      </c>
      <c r="C819" t="s">
        <v>10</v>
      </c>
      <c r="D819" t="s">
        <v>20</v>
      </c>
      <c r="E819" t="s">
        <v>15</v>
      </c>
      <c r="F819">
        <v>61</v>
      </c>
      <c r="G819">
        <v>70</v>
      </c>
      <c r="H819">
        <v>76</v>
      </c>
      <c r="I819">
        <f>StudentsTable[[#This Row],[math score]]+StudentsTable[[#This Row],[reading score]]+StudentsTable[[#This Row],[writing score]]</f>
        <v>207</v>
      </c>
      <c r="J819">
        <f>StudentsTable[[#This Row],[TotalScore]]/3</f>
        <v>69</v>
      </c>
      <c r="K819" t="str" cm="1">
        <f t="array" ref="K819">_xlfn.IFS(StudentsTable[[#This Row],[AverageScore]]&gt;=90,"A",StudentsTable[[#This Row],[AverageScore]]&gt;=80,"B",StudentsTable[[#This Row],[AverageScore]]&gt;=70,"C",StudentsTable[[#This Row],[AverageScore]]&gt;=60,"D",TRUE,"F")</f>
        <v>D</v>
      </c>
      <c r="L819" t="str">
        <f>IF(StudentsTable[[#This Row],[AverageScore]]&gt;=60,"Pass","Fail")</f>
        <v>Pass</v>
      </c>
      <c r="M819" t="str" cm="1">
        <f t="array" ref="M819">_xlfn.IFS(StudentsTable[[#This Row],[AverageScore]]&gt;=85,"Advanced",StudentsTable[[#This Row],[AverageScore]]&gt;=70,"Intermediate",StudentsTable[[#This Row],[AverageScore]]&gt;=60,"Basic",TRUE,"Needs Help")</f>
        <v>Basic</v>
      </c>
      <c r="N819">
        <f>RANK(StudentsTable[[#This Row],[AverageScore]],StudentsTable[AverageScore])</f>
        <v>475</v>
      </c>
      <c r="O819">
        <f>(StudentsTable[[#This Row],[AverageScore]]-MIN(StudentsTable[AverageScore]))/(MAX(StudentsTable[AverageScore])-MIN(StudentsTable[AverageScore]))*100</f>
        <v>65.934065934065927</v>
      </c>
    </row>
    <row r="820" spans="1:15" x14ac:dyDescent="0.3">
      <c r="A820" t="s">
        <v>8</v>
      </c>
      <c r="B820" t="s">
        <v>9</v>
      </c>
      <c r="C820" t="s">
        <v>22</v>
      </c>
      <c r="D820" t="s">
        <v>20</v>
      </c>
      <c r="E820" t="s">
        <v>12</v>
      </c>
      <c r="F820">
        <v>60</v>
      </c>
      <c r="G820">
        <v>72</v>
      </c>
      <c r="H820">
        <v>68</v>
      </c>
      <c r="I820">
        <f>StudentsTable[[#This Row],[math score]]+StudentsTable[[#This Row],[reading score]]+StudentsTable[[#This Row],[writing score]]</f>
        <v>200</v>
      </c>
      <c r="J820">
        <f>StudentsTable[[#This Row],[TotalScore]]/3</f>
        <v>66.666666666666671</v>
      </c>
      <c r="K820" t="str" cm="1">
        <f t="array" ref="K820">_xlfn.IFS(StudentsTable[[#This Row],[AverageScore]]&gt;=90,"A",StudentsTable[[#This Row],[AverageScore]]&gt;=80,"B",StudentsTable[[#This Row],[AverageScore]]&gt;=70,"C",StudentsTable[[#This Row],[AverageScore]]&gt;=60,"D",TRUE,"F")</f>
        <v>D</v>
      </c>
      <c r="L820" t="str">
        <f>IF(StudentsTable[[#This Row],[AverageScore]]&gt;=60,"Pass","Fail")</f>
        <v>Pass</v>
      </c>
      <c r="M820" t="str" cm="1">
        <f t="array" ref="M820">_xlfn.IFS(StudentsTable[[#This Row],[AverageScore]]&gt;=85,"Advanced",StudentsTable[[#This Row],[AverageScore]]&gt;=70,"Intermediate",StudentsTable[[#This Row],[AverageScore]]&gt;=60,"Basic",TRUE,"Needs Help")</f>
        <v>Basic</v>
      </c>
      <c r="N820">
        <f>RANK(StudentsTable[[#This Row],[AverageScore]],StudentsTable[AverageScore])</f>
        <v>549</v>
      </c>
      <c r="O820">
        <f>(StudentsTable[[#This Row],[AverageScore]]-MIN(StudentsTable[AverageScore]))/(MAX(StudentsTable[AverageScore])-MIN(StudentsTable[AverageScore]))*100</f>
        <v>63.369963369963379</v>
      </c>
    </row>
    <row r="821" spans="1:15" x14ac:dyDescent="0.3">
      <c r="A821" t="s">
        <v>8</v>
      </c>
      <c r="B821" t="s">
        <v>13</v>
      </c>
      <c r="C821" t="s">
        <v>23</v>
      </c>
      <c r="D821" t="s">
        <v>11</v>
      </c>
      <c r="E821" t="s">
        <v>12</v>
      </c>
      <c r="F821">
        <v>77</v>
      </c>
      <c r="G821">
        <v>91</v>
      </c>
      <c r="H821">
        <v>88</v>
      </c>
      <c r="I821">
        <f>StudentsTable[[#This Row],[math score]]+StudentsTable[[#This Row],[reading score]]+StudentsTable[[#This Row],[writing score]]</f>
        <v>256</v>
      </c>
      <c r="J821">
        <f>StudentsTable[[#This Row],[TotalScore]]/3</f>
        <v>85.333333333333329</v>
      </c>
      <c r="K821" t="str" cm="1">
        <f t="array" ref="K821">_xlfn.IFS(StudentsTable[[#This Row],[AverageScore]]&gt;=90,"A",StudentsTable[[#This Row],[AverageScore]]&gt;=80,"B",StudentsTable[[#This Row],[AverageScore]]&gt;=70,"C",StudentsTable[[#This Row],[AverageScore]]&gt;=60,"D",TRUE,"F")</f>
        <v>B</v>
      </c>
      <c r="L821" t="str">
        <f>IF(StudentsTable[[#This Row],[AverageScore]]&gt;=60,"Pass","Fail")</f>
        <v>Pass</v>
      </c>
      <c r="M821" t="str" cm="1">
        <f t="array" ref="M821">_xlfn.IFS(StudentsTable[[#This Row],[AverageScore]]&gt;=85,"Advanced",StudentsTable[[#This Row],[AverageScore]]&gt;=70,"Intermediate",StudentsTable[[#This Row],[AverageScore]]&gt;=60,"Basic",TRUE,"Needs Help")</f>
        <v>Advanced</v>
      </c>
      <c r="N821">
        <f>RANK(StudentsTable[[#This Row],[AverageScore]],StudentsTable[AverageScore])</f>
        <v>109</v>
      </c>
      <c r="O821">
        <f>(StudentsTable[[#This Row],[AverageScore]]-MIN(StudentsTable[AverageScore]))/(MAX(StudentsTable[AverageScore])-MIN(StudentsTable[AverageScore]))*100</f>
        <v>83.882783882783869</v>
      </c>
    </row>
    <row r="822" spans="1:15" x14ac:dyDescent="0.3">
      <c r="A822" t="s">
        <v>8</v>
      </c>
      <c r="B822" t="s">
        <v>18</v>
      </c>
      <c r="C822" t="s">
        <v>23</v>
      </c>
      <c r="D822" t="s">
        <v>11</v>
      </c>
      <c r="E822" t="s">
        <v>15</v>
      </c>
      <c r="F822">
        <v>85</v>
      </c>
      <c r="G822">
        <v>90</v>
      </c>
      <c r="H822">
        <v>92</v>
      </c>
      <c r="I822">
        <f>StudentsTable[[#This Row],[math score]]+StudentsTable[[#This Row],[reading score]]+StudentsTable[[#This Row],[writing score]]</f>
        <v>267</v>
      </c>
      <c r="J822">
        <f>StudentsTable[[#This Row],[TotalScore]]/3</f>
        <v>89</v>
      </c>
      <c r="K822" t="str" cm="1">
        <f t="array" ref="K822">_xlfn.IFS(StudentsTable[[#This Row],[AverageScore]]&gt;=90,"A",StudentsTable[[#This Row],[AverageScore]]&gt;=80,"B",StudentsTable[[#This Row],[AverageScore]]&gt;=70,"C",StudentsTable[[#This Row],[AverageScore]]&gt;=60,"D",TRUE,"F")</f>
        <v>B</v>
      </c>
      <c r="L822" t="str">
        <f>IF(StudentsTable[[#This Row],[AverageScore]]&gt;=60,"Pass","Fail")</f>
        <v>Pass</v>
      </c>
      <c r="M822" t="str" cm="1">
        <f t="array" ref="M822">_xlfn.IFS(StudentsTable[[#This Row],[AverageScore]]&gt;=85,"Advanced",StudentsTable[[#This Row],[AverageScore]]&gt;=70,"Intermediate",StudentsTable[[#This Row],[AverageScore]]&gt;=60,"Basic",TRUE,"Needs Help")</f>
        <v>Advanced</v>
      </c>
      <c r="N822">
        <f>RANK(StudentsTable[[#This Row],[AverageScore]],StudentsTable[AverageScore])</f>
        <v>59</v>
      </c>
      <c r="O822">
        <f>(StudentsTable[[#This Row],[AverageScore]]-MIN(StudentsTable[AverageScore]))/(MAX(StudentsTable[AverageScore])-MIN(StudentsTable[AverageScore]))*100</f>
        <v>87.912087912087912</v>
      </c>
    </row>
    <row r="823" spans="1:15" x14ac:dyDescent="0.3">
      <c r="A823" t="s">
        <v>8</v>
      </c>
      <c r="B823" t="s">
        <v>21</v>
      </c>
      <c r="C823" t="s">
        <v>10</v>
      </c>
      <c r="D823" t="s">
        <v>20</v>
      </c>
      <c r="E823" t="s">
        <v>12</v>
      </c>
      <c r="F823">
        <v>78</v>
      </c>
      <c r="G823">
        <v>90</v>
      </c>
      <c r="H823">
        <v>93</v>
      </c>
      <c r="I823">
        <f>StudentsTable[[#This Row],[math score]]+StudentsTable[[#This Row],[reading score]]+StudentsTable[[#This Row],[writing score]]</f>
        <v>261</v>
      </c>
      <c r="J823">
        <f>StudentsTable[[#This Row],[TotalScore]]/3</f>
        <v>87</v>
      </c>
      <c r="K823" t="str" cm="1">
        <f t="array" ref="K823">_xlfn.IFS(StudentsTable[[#This Row],[AverageScore]]&gt;=90,"A",StudentsTable[[#This Row],[AverageScore]]&gt;=80,"B",StudentsTable[[#This Row],[AverageScore]]&gt;=70,"C",StudentsTable[[#This Row],[AverageScore]]&gt;=60,"D",TRUE,"F")</f>
        <v>B</v>
      </c>
      <c r="L823" t="str">
        <f>IF(StudentsTable[[#This Row],[AverageScore]]&gt;=60,"Pass","Fail")</f>
        <v>Pass</v>
      </c>
      <c r="M823" t="str" cm="1">
        <f t="array" ref="M823">_xlfn.IFS(StudentsTable[[#This Row],[AverageScore]]&gt;=85,"Advanced",StudentsTable[[#This Row],[AverageScore]]&gt;=70,"Intermediate",StudentsTable[[#This Row],[AverageScore]]&gt;=60,"Basic",TRUE,"Needs Help")</f>
        <v>Advanced</v>
      </c>
      <c r="N823">
        <f>RANK(StudentsTable[[#This Row],[AverageScore]],StudentsTable[AverageScore])</f>
        <v>83</v>
      </c>
      <c r="O823">
        <f>(StudentsTable[[#This Row],[AverageScore]]-MIN(StudentsTable[AverageScore]))/(MAX(StudentsTable[AverageScore])-MIN(StudentsTable[AverageScore]))*100</f>
        <v>85.714285714285708</v>
      </c>
    </row>
    <row r="824" spans="1:15" x14ac:dyDescent="0.3">
      <c r="A824" t="s">
        <v>17</v>
      </c>
      <c r="B824" t="s">
        <v>24</v>
      </c>
      <c r="C824" t="s">
        <v>14</v>
      </c>
      <c r="D824" t="s">
        <v>20</v>
      </c>
      <c r="E824" t="s">
        <v>15</v>
      </c>
      <c r="F824">
        <v>49</v>
      </c>
      <c r="G824">
        <v>52</v>
      </c>
      <c r="H824">
        <v>51</v>
      </c>
      <c r="I824">
        <f>StudentsTable[[#This Row],[math score]]+StudentsTable[[#This Row],[reading score]]+StudentsTable[[#This Row],[writing score]]</f>
        <v>152</v>
      </c>
      <c r="J824">
        <f>StudentsTable[[#This Row],[TotalScore]]/3</f>
        <v>50.666666666666664</v>
      </c>
      <c r="K824" t="str" cm="1">
        <f t="array" ref="K824">_xlfn.IFS(StudentsTable[[#This Row],[AverageScore]]&gt;=90,"A",StudentsTable[[#This Row],[AverageScore]]&gt;=80,"B",StudentsTable[[#This Row],[AverageScore]]&gt;=70,"C",StudentsTable[[#This Row],[AverageScore]]&gt;=60,"D",TRUE,"F")</f>
        <v>F</v>
      </c>
      <c r="L824" t="str">
        <f>IF(StudentsTable[[#This Row],[AverageScore]]&gt;=60,"Pass","Fail")</f>
        <v>Fail</v>
      </c>
      <c r="M824" t="str" cm="1">
        <f t="array" ref="M824">_xlfn.IFS(StudentsTable[[#This Row],[AverageScore]]&gt;=85,"Advanced",StudentsTable[[#This Row],[AverageScore]]&gt;=70,"Intermediate",StudentsTable[[#This Row],[AverageScore]]&gt;=60,"Basic",TRUE,"Needs Help")</f>
        <v>Needs Help</v>
      </c>
      <c r="N824">
        <f>RANK(StudentsTable[[#This Row],[AverageScore]],StudentsTable[AverageScore])</f>
        <v>881</v>
      </c>
      <c r="O824">
        <f>(StudentsTable[[#This Row],[AverageScore]]-MIN(StudentsTable[AverageScore]))/(MAX(StudentsTable[AverageScore])-MIN(StudentsTable[AverageScore]))*100</f>
        <v>45.787545787545788</v>
      </c>
    </row>
    <row r="825" spans="1:15" x14ac:dyDescent="0.3">
      <c r="A825" t="s">
        <v>8</v>
      </c>
      <c r="B825" t="s">
        <v>9</v>
      </c>
      <c r="C825" t="s">
        <v>22</v>
      </c>
      <c r="D825" t="s">
        <v>20</v>
      </c>
      <c r="E825" t="s">
        <v>12</v>
      </c>
      <c r="F825">
        <v>71</v>
      </c>
      <c r="G825">
        <v>87</v>
      </c>
      <c r="H825">
        <v>82</v>
      </c>
      <c r="I825">
        <f>StudentsTable[[#This Row],[math score]]+StudentsTable[[#This Row],[reading score]]+StudentsTable[[#This Row],[writing score]]</f>
        <v>240</v>
      </c>
      <c r="J825">
        <f>StudentsTable[[#This Row],[TotalScore]]/3</f>
        <v>80</v>
      </c>
      <c r="K825" t="str" cm="1">
        <f t="array" ref="K825">_xlfn.IFS(StudentsTable[[#This Row],[AverageScore]]&gt;=90,"A",StudentsTable[[#This Row],[AverageScore]]&gt;=80,"B",StudentsTable[[#This Row],[AverageScore]]&gt;=70,"C",StudentsTable[[#This Row],[AverageScore]]&gt;=60,"D",TRUE,"F")</f>
        <v>B</v>
      </c>
      <c r="L825" t="str">
        <f>IF(StudentsTable[[#This Row],[AverageScore]]&gt;=60,"Pass","Fail")</f>
        <v>Pass</v>
      </c>
      <c r="M825" t="str" cm="1">
        <f t="array" ref="M825">_xlfn.IFS(StudentsTable[[#This Row],[AverageScore]]&gt;=85,"Advanced",StudentsTable[[#This Row],[AverageScore]]&gt;=70,"Intermediate",StudentsTable[[#This Row],[AverageScore]]&gt;=60,"Basic",TRUE,"Needs Help")</f>
        <v>Intermediate</v>
      </c>
      <c r="N825">
        <f>RANK(StudentsTable[[#This Row],[AverageScore]],StudentsTable[AverageScore])</f>
        <v>195</v>
      </c>
      <c r="O825">
        <f>(StudentsTable[[#This Row],[AverageScore]]-MIN(StudentsTable[AverageScore]))/(MAX(StudentsTable[AverageScore])-MIN(StudentsTable[AverageScore]))*100</f>
        <v>78.021978021978029</v>
      </c>
    </row>
    <row r="826" spans="1:15" x14ac:dyDescent="0.3">
      <c r="A826" t="s">
        <v>8</v>
      </c>
      <c r="B826" t="s">
        <v>13</v>
      </c>
      <c r="C826" t="s">
        <v>23</v>
      </c>
      <c r="D826" t="s">
        <v>20</v>
      </c>
      <c r="E826" t="s">
        <v>12</v>
      </c>
      <c r="F826">
        <v>48</v>
      </c>
      <c r="G826">
        <v>58</v>
      </c>
      <c r="H826">
        <v>52</v>
      </c>
      <c r="I826">
        <f>StudentsTable[[#This Row],[math score]]+StudentsTable[[#This Row],[reading score]]+StudentsTable[[#This Row],[writing score]]</f>
        <v>158</v>
      </c>
      <c r="J826">
        <f>StudentsTable[[#This Row],[TotalScore]]/3</f>
        <v>52.666666666666664</v>
      </c>
      <c r="K826" t="str" cm="1">
        <f t="array" ref="K826">_xlfn.IFS(StudentsTable[[#This Row],[AverageScore]]&gt;=90,"A",StudentsTable[[#This Row],[AverageScore]]&gt;=80,"B",StudentsTable[[#This Row],[AverageScore]]&gt;=70,"C",StudentsTable[[#This Row],[AverageScore]]&gt;=60,"D",TRUE,"F")</f>
        <v>F</v>
      </c>
      <c r="L826" t="str">
        <f>IF(StudentsTable[[#This Row],[AverageScore]]&gt;=60,"Pass","Fail")</f>
        <v>Fail</v>
      </c>
      <c r="M826" t="str" cm="1">
        <f t="array" ref="M826">_xlfn.IFS(StudentsTable[[#This Row],[AverageScore]]&gt;=85,"Advanced",StudentsTable[[#This Row],[AverageScore]]&gt;=70,"Intermediate",StudentsTable[[#This Row],[AverageScore]]&gt;=60,"Basic",TRUE,"Needs Help")</f>
        <v>Needs Help</v>
      </c>
      <c r="N826">
        <f>RANK(StudentsTable[[#This Row],[AverageScore]],StudentsTable[AverageScore])</f>
        <v>843</v>
      </c>
      <c r="O826">
        <f>(StudentsTable[[#This Row],[AverageScore]]-MIN(StudentsTable[AverageScore]))/(MAX(StudentsTable[AverageScore])-MIN(StudentsTable[AverageScore]))*100</f>
        <v>47.985347985347978</v>
      </c>
    </row>
    <row r="827" spans="1:15" x14ac:dyDescent="0.3">
      <c r="A827" t="s">
        <v>17</v>
      </c>
      <c r="B827" t="s">
        <v>13</v>
      </c>
      <c r="C827" t="s">
        <v>22</v>
      </c>
      <c r="D827" t="s">
        <v>11</v>
      </c>
      <c r="E827" t="s">
        <v>12</v>
      </c>
      <c r="F827">
        <v>62</v>
      </c>
      <c r="G827">
        <v>67</v>
      </c>
      <c r="H827">
        <v>58</v>
      </c>
      <c r="I827">
        <f>StudentsTable[[#This Row],[math score]]+StudentsTable[[#This Row],[reading score]]+StudentsTable[[#This Row],[writing score]]</f>
        <v>187</v>
      </c>
      <c r="J827">
        <f>StudentsTable[[#This Row],[TotalScore]]/3</f>
        <v>62.333333333333336</v>
      </c>
      <c r="K827" t="str" cm="1">
        <f t="array" ref="K827">_xlfn.IFS(StudentsTable[[#This Row],[AverageScore]]&gt;=90,"A",StudentsTable[[#This Row],[AverageScore]]&gt;=80,"B",StudentsTable[[#This Row],[AverageScore]]&gt;=70,"C",StudentsTable[[#This Row],[AverageScore]]&gt;=60,"D",TRUE,"F")</f>
        <v>D</v>
      </c>
      <c r="L827" t="str">
        <f>IF(StudentsTable[[#This Row],[AverageScore]]&gt;=60,"Pass","Fail")</f>
        <v>Pass</v>
      </c>
      <c r="M827" t="str" cm="1">
        <f t="array" ref="M827">_xlfn.IFS(StudentsTable[[#This Row],[AverageScore]]&gt;=85,"Advanced",StudentsTable[[#This Row],[AverageScore]]&gt;=70,"Intermediate",StudentsTable[[#This Row],[AverageScore]]&gt;=60,"Basic",TRUE,"Needs Help")</f>
        <v>Basic</v>
      </c>
      <c r="N827">
        <f>RANK(StudentsTable[[#This Row],[AverageScore]],StudentsTable[AverageScore])</f>
        <v>657</v>
      </c>
      <c r="O827">
        <f>(StudentsTable[[#This Row],[AverageScore]]-MIN(StudentsTable[AverageScore]))/(MAX(StudentsTable[AverageScore])-MIN(StudentsTable[AverageScore]))*100</f>
        <v>58.608058608058613</v>
      </c>
    </row>
    <row r="828" spans="1:15" x14ac:dyDescent="0.3">
      <c r="A828" t="s">
        <v>8</v>
      </c>
      <c r="B828" t="s">
        <v>13</v>
      </c>
      <c r="C828" t="s">
        <v>19</v>
      </c>
      <c r="D828" t="s">
        <v>20</v>
      </c>
      <c r="E828" t="s">
        <v>15</v>
      </c>
      <c r="F828">
        <v>56</v>
      </c>
      <c r="G828">
        <v>68</v>
      </c>
      <c r="H828">
        <v>70</v>
      </c>
      <c r="I828">
        <f>StudentsTable[[#This Row],[math score]]+StudentsTable[[#This Row],[reading score]]+StudentsTable[[#This Row],[writing score]]</f>
        <v>194</v>
      </c>
      <c r="J828">
        <f>StudentsTable[[#This Row],[TotalScore]]/3</f>
        <v>64.666666666666671</v>
      </c>
      <c r="K828" t="str" cm="1">
        <f t="array" ref="K828">_xlfn.IFS(StudentsTable[[#This Row],[AverageScore]]&gt;=90,"A",StudentsTable[[#This Row],[AverageScore]]&gt;=80,"B",StudentsTable[[#This Row],[AverageScore]]&gt;=70,"C",StudentsTable[[#This Row],[AverageScore]]&gt;=60,"D",TRUE,"F")</f>
        <v>D</v>
      </c>
      <c r="L828" t="str">
        <f>IF(StudentsTable[[#This Row],[AverageScore]]&gt;=60,"Pass","Fail")</f>
        <v>Pass</v>
      </c>
      <c r="M828" t="str" cm="1">
        <f t="array" ref="M828">_xlfn.IFS(StudentsTable[[#This Row],[AverageScore]]&gt;=85,"Advanced",StudentsTable[[#This Row],[AverageScore]]&gt;=70,"Intermediate",StudentsTable[[#This Row],[AverageScore]]&gt;=60,"Basic",TRUE,"Needs Help")</f>
        <v>Basic</v>
      </c>
      <c r="N828">
        <f>RANK(StudentsTable[[#This Row],[AverageScore]],StudentsTable[AverageScore])</f>
        <v>602</v>
      </c>
      <c r="O828">
        <f>(StudentsTable[[#This Row],[AverageScore]]-MIN(StudentsTable[AverageScore]))/(MAX(StudentsTable[AverageScore])-MIN(StudentsTable[AverageScore]))*100</f>
        <v>61.172161172161175</v>
      </c>
    </row>
    <row r="829" spans="1:15" x14ac:dyDescent="0.3">
      <c r="A829" t="s">
        <v>8</v>
      </c>
      <c r="B829" t="s">
        <v>13</v>
      </c>
      <c r="C829" t="s">
        <v>23</v>
      </c>
      <c r="D829" t="s">
        <v>11</v>
      </c>
      <c r="E829" t="s">
        <v>12</v>
      </c>
      <c r="F829">
        <v>65</v>
      </c>
      <c r="G829">
        <v>69</v>
      </c>
      <c r="H829">
        <v>76</v>
      </c>
      <c r="I829">
        <f>StudentsTable[[#This Row],[math score]]+StudentsTable[[#This Row],[reading score]]+StudentsTable[[#This Row],[writing score]]</f>
        <v>210</v>
      </c>
      <c r="J829">
        <f>StudentsTable[[#This Row],[TotalScore]]/3</f>
        <v>70</v>
      </c>
      <c r="K829" t="str" cm="1">
        <f t="array" ref="K829">_xlfn.IFS(StudentsTable[[#This Row],[AverageScore]]&gt;=90,"A",StudentsTable[[#This Row],[AverageScore]]&gt;=80,"B",StudentsTable[[#This Row],[AverageScore]]&gt;=70,"C",StudentsTable[[#This Row],[AverageScore]]&gt;=60,"D",TRUE,"F")</f>
        <v>C</v>
      </c>
      <c r="L829" t="str">
        <f>IF(StudentsTable[[#This Row],[AverageScore]]&gt;=60,"Pass","Fail")</f>
        <v>Pass</v>
      </c>
      <c r="M829" t="str" cm="1">
        <f t="array" ref="M829">_xlfn.IFS(StudentsTable[[#This Row],[AverageScore]]&gt;=85,"Advanced",StudentsTable[[#This Row],[AverageScore]]&gt;=70,"Intermediate",StudentsTable[[#This Row],[AverageScore]]&gt;=60,"Basic",TRUE,"Needs Help")</f>
        <v>Intermediate</v>
      </c>
      <c r="N829">
        <f>RANK(StudentsTable[[#This Row],[AverageScore]],StudentsTable[AverageScore])</f>
        <v>448</v>
      </c>
      <c r="O829">
        <f>(StudentsTable[[#This Row],[AverageScore]]-MIN(StudentsTable[AverageScore]))/(MAX(StudentsTable[AverageScore])-MIN(StudentsTable[AverageScore]))*100</f>
        <v>67.032967032967022</v>
      </c>
    </row>
    <row r="830" spans="1:15" x14ac:dyDescent="0.3">
      <c r="A830" t="s">
        <v>8</v>
      </c>
      <c r="B830" t="s">
        <v>21</v>
      </c>
      <c r="C830" t="s">
        <v>23</v>
      </c>
      <c r="D830" t="s">
        <v>20</v>
      </c>
      <c r="E830" t="s">
        <v>15</v>
      </c>
      <c r="F830">
        <v>69</v>
      </c>
      <c r="G830">
        <v>86</v>
      </c>
      <c r="H830">
        <v>81</v>
      </c>
      <c r="I830">
        <f>StudentsTable[[#This Row],[math score]]+StudentsTable[[#This Row],[reading score]]+StudentsTable[[#This Row],[writing score]]</f>
        <v>236</v>
      </c>
      <c r="J830">
        <f>StudentsTable[[#This Row],[TotalScore]]/3</f>
        <v>78.666666666666671</v>
      </c>
      <c r="K830" t="str" cm="1">
        <f t="array" ref="K830">_xlfn.IFS(StudentsTable[[#This Row],[AverageScore]]&gt;=90,"A",StudentsTable[[#This Row],[AverageScore]]&gt;=80,"B",StudentsTable[[#This Row],[AverageScore]]&gt;=70,"C",StudentsTable[[#This Row],[AverageScore]]&gt;=60,"D",TRUE,"F")</f>
        <v>C</v>
      </c>
      <c r="L830" t="str">
        <f>IF(StudentsTable[[#This Row],[AverageScore]]&gt;=60,"Pass","Fail")</f>
        <v>Pass</v>
      </c>
      <c r="M830" t="str" cm="1">
        <f t="array" ref="M830">_xlfn.IFS(StudentsTable[[#This Row],[AverageScore]]&gt;=85,"Advanced",StudentsTable[[#This Row],[AverageScore]]&gt;=70,"Intermediate",StudentsTable[[#This Row],[AverageScore]]&gt;=60,"Basic",TRUE,"Needs Help")</f>
        <v>Intermediate</v>
      </c>
      <c r="N830">
        <f>RANK(StudentsTable[[#This Row],[AverageScore]],StudentsTable[AverageScore])</f>
        <v>222</v>
      </c>
      <c r="O830">
        <f>(StudentsTable[[#This Row],[AverageScore]]-MIN(StudentsTable[AverageScore]))/(MAX(StudentsTable[AverageScore])-MIN(StudentsTable[AverageScore]))*100</f>
        <v>76.556776556776569</v>
      </c>
    </row>
    <row r="831" spans="1:15" x14ac:dyDescent="0.3">
      <c r="A831" t="s">
        <v>17</v>
      </c>
      <c r="B831" t="s">
        <v>9</v>
      </c>
      <c r="C831" t="s">
        <v>23</v>
      </c>
      <c r="D831" t="s">
        <v>11</v>
      </c>
      <c r="E831" t="s">
        <v>12</v>
      </c>
      <c r="F831">
        <v>68</v>
      </c>
      <c r="G831">
        <v>54</v>
      </c>
      <c r="H831">
        <v>53</v>
      </c>
      <c r="I831">
        <f>StudentsTable[[#This Row],[math score]]+StudentsTable[[#This Row],[reading score]]+StudentsTable[[#This Row],[writing score]]</f>
        <v>175</v>
      </c>
      <c r="J831">
        <f>StudentsTable[[#This Row],[TotalScore]]/3</f>
        <v>58.333333333333336</v>
      </c>
      <c r="K831" t="str" cm="1">
        <f t="array" ref="K831">_xlfn.IFS(StudentsTable[[#This Row],[AverageScore]]&gt;=90,"A",StudentsTable[[#This Row],[AverageScore]]&gt;=80,"B",StudentsTable[[#This Row],[AverageScore]]&gt;=70,"C",StudentsTable[[#This Row],[AverageScore]]&gt;=60,"D",TRUE,"F")</f>
        <v>F</v>
      </c>
      <c r="L831" t="str">
        <f>IF(StudentsTable[[#This Row],[AverageScore]]&gt;=60,"Pass","Fail")</f>
        <v>Fail</v>
      </c>
      <c r="M831" t="str" cm="1">
        <f t="array" ref="M831">_xlfn.IFS(StudentsTable[[#This Row],[AverageScore]]&gt;=85,"Advanced",StudentsTable[[#This Row],[AverageScore]]&gt;=70,"Intermediate",StudentsTable[[#This Row],[AverageScore]]&gt;=60,"Basic",TRUE,"Needs Help")</f>
        <v>Needs Help</v>
      </c>
      <c r="N831">
        <f>RANK(StudentsTable[[#This Row],[AverageScore]],StudentsTable[AverageScore])</f>
        <v>745</v>
      </c>
      <c r="O831">
        <f>(StudentsTable[[#This Row],[AverageScore]]-MIN(StudentsTable[AverageScore]))/(MAX(StudentsTable[AverageScore])-MIN(StudentsTable[AverageScore]))*100</f>
        <v>54.212454212454219</v>
      </c>
    </row>
    <row r="832" spans="1:15" x14ac:dyDescent="0.3">
      <c r="A832" t="s">
        <v>8</v>
      </c>
      <c r="B832" t="s">
        <v>18</v>
      </c>
      <c r="C832" t="s">
        <v>14</v>
      </c>
      <c r="D832" t="s">
        <v>20</v>
      </c>
      <c r="E832" t="s">
        <v>12</v>
      </c>
      <c r="F832">
        <v>61</v>
      </c>
      <c r="G832">
        <v>60</v>
      </c>
      <c r="H832">
        <v>57</v>
      </c>
      <c r="I832">
        <f>StudentsTable[[#This Row],[math score]]+StudentsTable[[#This Row],[reading score]]+StudentsTable[[#This Row],[writing score]]</f>
        <v>178</v>
      </c>
      <c r="J832">
        <f>StudentsTable[[#This Row],[TotalScore]]/3</f>
        <v>59.333333333333336</v>
      </c>
      <c r="K832" t="str" cm="1">
        <f t="array" ref="K832">_xlfn.IFS(StudentsTable[[#This Row],[AverageScore]]&gt;=90,"A",StudentsTable[[#This Row],[AverageScore]]&gt;=80,"B",StudentsTable[[#This Row],[AverageScore]]&gt;=70,"C",StudentsTable[[#This Row],[AverageScore]]&gt;=60,"D",TRUE,"F")</f>
        <v>F</v>
      </c>
      <c r="L832" t="str">
        <f>IF(StudentsTable[[#This Row],[AverageScore]]&gt;=60,"Pass","Fail")</f>
        <v>Fail</v>
      </c>
      <c r="M832" t="str" cm="1">
        <f t="array" ref="M832">_xlfn.IFS(StudentsTable[[#This Row],[AverageScore]]&gt;=85,"Advanced",StudentsTable[[#This Row],[AverageScore]]&gt;=70,"Intermediate",StudentsTable[[#This Row],[AverageScore]]&gt;=60,"Basic",TRUE,"Needs Help")</f>
        <v>Needs Help</v>
      </c>
      <c r="N832">
        <f>RANK(StudentsTable[[#This Row],[AverageScore]],StudentsTable[AverageScore])</f>
        <v>721</v>
      </c>
      <c r="O832">
        <f>(StudentsTable[[#This Row],[AverageScore]]-MIN(StudentsTable[AverageScore]))/(MAX(StudentsTable[AverageScore])-MIN(StudentsTable[AverageScore]))*100</f>
        <v>55.311355311355314</v>
      </c>
    </row>
    <row r="833" spans="1:15" x14ac:dyDescent="0.3">
      <c r="A833" t="s">
        <v>8</v>
      </c>
      <c r="B833" t="s">
        <v>13</v>
      </c>
      <c r="C833" t="s">
        <v>10</v>
      </c>
      <c r="D833" t="s">
        <v>20</v>
      </c>
      <c r="E833" t="s">
        <v>15</v>
      </c>
      <c r="F833">
        <v>74</v>
      </c>
      <c r="G833">
        <v>86</v>
      </c>
      <c r="H833">
        <v>89</v>
      </c>
      <c r="I833">
        <f>StudentsTable[[#This Row],[math score]]+StudentsTable[[#This Row],[reading score]]+StudentsTable[[#This Row],[writing score]]</f>
        <v>249</v>
      </c>
      <c r="J833">
        <f>StudentsTable[[#This Row],[TotalScore]]/3</f>
        <v>83</v>
      </c>
      <c r="K833" t="str" cm="1">
        <f t="array" ref="K833">_xlfn.IFS(StudentsTable[[#This Row],[AverageScore]]&gt;=90,"A",StudentsTable[[#This Row],[AverageScore]]&gt;=80,"B",StudentsTable[[#This Row],[AverageScore]]&gt;=70,"C",StudentsTable[[#This Row],[AverageScore]]&gt;=60,"D",TRUE,"F")</f>
        <v>B</v>
      </c>
      <c r="L833" t="str">
        <f>IF(StudentsTable[[#This Row],[AverageScore]]&gt;=60,"Pass","Fail")</f>
        <v>Pass</v>
      </c>
      <c r="M833" t="str" cm="1">
        <f t="array" ref="M833">_xlfn.IFS(StudentsTable[[#This Row],[AverageScore]]&gt;=85,"Advanced",StudentsTable[[#This Row],[AverageScore]]&gt;=70,"Intermediate",StudentsTable[[#This Row],[AverageScore]]&gt;=60,"Basic",TRUE,"Needs Help")</f>
        <v>Intermediate</v>
      </c>
      <c r="N833">
        <f>RANK(StudentsTable[[#This Row],[AverageScore]],StudentsTable[AverageScore])</f>
        <v>140</v>
      </c>
      <c r="O833">
        <f>(StudentsTable[[#This Row],[AverageScore]]-MIN(StudentsTable[AverageScore]))/(MAX(StudentsTable[AverageScore])-MIN(StudentsTable[AverageScore]))*100</f>
        <v>81.318681318681314</v>
      </c>
    </row>
    <row r="834" spans="1:15" x14ac:dyDescent="0.3">
      <c r="A834" t="s">
        <v>17</v>
      </c>
      <c r="B834" t="s">
        <v>18</v>
      </c>
      <c r="C834" t="s">
        <v>10</v>
      </c>
      <c r="D834" t="s">
        <v>11</v>
      </c>
      <c r="E834" t="s">
        <v>12</v>
      </c>
      <c r="F834">
        <v>64</v>
      </c>
      <c r="G834">
        <v>60</v>
      </c>
      <c r="H834">
        <v>58</v>
      </c>
      <c r="I834">
        <f>StudentsTable[[#This Row],[math score]]+StudentsTable[[#This Row],[reading score]]+StudentsTable[[#This Row],[writing score]]</f>
        <v>182</v>
      </c>
      <c r="J834">
        <f>StudentsTable[[#This Row],[TotalScore]]/3</f>
        <v>60.666666666666664</v>
      </c>
      <c r="K834" t="str" cm="1">
        <f t="array" ref="K834">_xlfn.IFS(StudentsTable[[#This Row],[AverageScore]]&gt;=90,"A",StudentsTable[[#This Row],[AverageScore]]&gt;=80,"B",StudentsTable[[#This Row],[AverageScore]]&gt;=70,"C",StudentsTable[[#This Row],[AverageScore]]&gt;=60,"D",TRUE,"F")</f>
        <v>D</v>
      </c>
      <c r="L834" t="str">
        <f>IF(StudentsTable[[#This Row],[AverageScore]]&gt;=60,"Pass","Fail")</f>
        <v>Pass</v>
      </c>
      <c r="M834" t="str" cm="1">
        <f t="array" ref="M834">_xlfn.IFS(StudentsTable[[#This Row],[AverageScore]]&gt;=85,"Advanced",StudentsTable[[#This Row],[AverageScore]]&gt;=70,"Intermediate",StudentsTable[[#This Row],[AverageScore]]&gt;=60,"Basic",TRUE,"Needs Help")</f>
        <v>Basic</v>
      </c>
      <c r="N834">
        <f>RANK(StudentsTable[[#This Row],[AverageScore]],StudentsTable[AverageScore])</f>
        <v>693</v>
      </c>
      <c r="O834">
        <f>(StudentsTable[[#This Row],[AverageScore]]-MIN(StudentsTable[AverageScore]))/(MAX(StudentsTable[AverageScore])-MIN(StudentsTable[AverageScore]))*100</f>
        <v>56.776556776556774</v>
      </c>
    </row>
    <row r="835" spans="1:15" x14ac:dyDescent="0.3">
      <c r="A835" t="s">
        <v>8</v>
      </c>
      <c r="B835" t="s">
        <v>9</v>
      </c>
      <c r="C835" t="s">
        <v>22</v>
      </c>
      <c r="D835" t="s">
        <v>11</v>
      </c>
      <c r="E835" t="s">
        <v>15</v>
      </c>
      <c r="F835">
        <v>77</v>
      </c>
      <c r="G835">
        <v>82</v>
      </c>
      <c r="H835">
        <v>89</v>
      </c>
      <c r="I835">
        <f>StudentsTable[[#This Row],[math score]]+StudentsTable[[#This Row],[reading score]]+StudentsTable[[#This Row],[writing score]]</f>
        <v>248</v>
      </c>
      <c r="J835">
        <f>StudentsTable[[#This Row],[TotalScore]]/3</f>
        <v>82.666666666666671</v>
      </c>
      <c r="K835" t="str" cm="1">
        <f t="array" ref="K835">_xlfn.IFS(StudentsTable[[#This Row],[AverageScore]]&gt;=90,"A",StudentsTable[[#This Row],[AverageScore]]&gt;=80,"B",StudentsTable[[#This Row],[AverageScore]]&gt;=70,"C",StudentsTable[[#This Row],[AverageScore]]&gt;=60,"D",TRUE,"F")</f>
        <v>B</v>
      </c>
      <c r="L835" t="str">
        <f>IF(StudentsTable[[#This Row],[AverageScore]]&gt;=60,"Pass","Fail")</f>
        <v>Pass</v>
      </c>
      <c r="M835" t="str" cm="1">
        <f t="array" ref="M835">_xlfn.IFS(StudentsTable[[#This Row],[AverageScore]]&gt;=85,"Advanced",StudentsTable[[#This Row],[AverageScore]]&gt;=70,"Intermediate",StudentsTable[[#This Row],[AverageScore]]&gt;=60,"Basic",TRUE,"Needs Help")</f>
        <v>Intermediate</v>
      </c>
      <c r="N835">
        <f>RANK(StudentsTable[[#This Row],[AverageScore]],StudentsTable[AverageScore])</f>
        <v>149</v>
      </c>
      <c r="O835">
        <f>(StudentsTable[[#This Row],[AverageScore]]-MIN(StudentsTable[AverageScore]))/(MAX(StudentsTable[AverageScore])-MIN(StudentsTable[AverageScore]))*100</f>
        <v>80.952380952380949</v>
      </c>
    </row>
    <row r="836" spans="1:15" x14ac:dyDescent="0.3">
      <c r="A836" t="s">
        <v>17</v>
      </c>
      <c r="B836" t="s">
        <v>9</v>
      </c>
      <c r="C836" t="s">
        <v>14</v>
      </c>
      <c r="D836" t="s">
        <v>11</v>
      </c>
      <c r="E836" t="s">
        <v>12</v>
      </c>
      <c r="F836">
        <v>58</v>
      </c>
      <c r="G836">
        <v>50</v>
      </c>
      <c r="H836">
        <v>45</v>
      </c>
      <c r="I836">
        <f>StudentsTable[[#This Row],[math score]]+StudentsTable[[#This Row],[reading score]]+StudentsTable[[#This Row],[writing score]]</f>
        <v>153</v>
      </c>
      <c r="J836">
        <f>StudentsTable[[#This Row],[TotalScore]]/3</f>
        <v>51</v>
      </c>
      <c r="K836" t="str" cm="1">
        <f t="array" ref="K836">_xlfn.IFS(StudentsTable[[#This Row],[AverageScore]]&gt;=90,"A",StudentsTable[[#This Row],[AverageScore]]&gt;=80,"B",StudentsTable[[#This Row],[AverageScore]]&gt;=70,"C",StudentsTable[[#This Row],[AverageScore]]&gt;=60,"D",TRUE,"F")</f>
        <v>F</v>
      </c>
      <c r="L836" t="str">
        <f>IF(StudentsTable[[#This Row],[AverageScore]]&gt;=60,"Pass","Fail")</f>
        <v>Fail</v>
      </c>
      <c r="M836" t="str" cm="1">
        <f t="array" ref="M836">_xlfn.IFS(StudentsTable[[#This Row],[AverageScore]]&gt;=85,"Advanced",StudentsTable[[#This Row],[AverageScore]]&gt;=70,"Intermediate",StudentsTable[[#This Row],[AverageScore]]&gt;=60,"Basic",TRUE,"Needs Help")</f>
        <v>Needs Help</v>
      </c>
      <c r="N836">
        <f>RANK(StudentsTable[[#This Row],[AverageScore]],StudentsTable[AverageScore])</f>
        <v>876</v>
      </c>
      <c r="O836">
        <f>(StudentsTable[[#This Row],[AverageScore]]-MIN(StudentsTable[AverageScore]))/(MAX(StudentsTable[AverageScore])-MIN(StudentsTable[AverageScore]))*100</f>
        <v>46.153846153846153</v>
      </c>
    </row>
    <row r="837" spans="1:15" x14ac:dyDescent="0.3">
      <c r="A837" t="s">
        <v>8</v>
      </c>
      <c r="B837" t="s">
        <v>13</v>
      </c>
      <c r="C837" t="s">
        <v>22</v>
      </c>
      <c r="D837" t="s">
        <v>11</v>
      </c>
      <c r="E837" t="s">
        <v>15</v>
      </c>
      <c r="F837">
        <v>60</v>
      </c>
      <c r="G837">
        <v>64</v>
      </c>
      <c r="H837">
        <v>74</v>
      </c>
      <c r="I837">
        <f>StudentsTable[[#This Row],[math score]]+StudentsTable[[#This Row],[reading score]]+StudentsTable[[#This Row],[writing score]]</f>
        <v>198</v>
      </c>
      <c r="J837">
        <f>StudentsTable[[#This Row],[TotalScore]]/3</f>
        <v>66</v>
      </c>
      <c r="K837" t="str" cm="1">
        <f t="array" ref="K837">_xlfn.IFS(StudentsTable[[#This Row],[AverageScore]]&gt;=90,"A",StudentsTable[[#This Row],[AverageScore]]&gt;=80,"B",StudentsTable[[#This Row],[AverageScore]]&gt;=70,"C",StudentsTable[[#This Row],[AverageScore]]&gt;=60,"D",TRUE,"F")</f>
        <v>D</v>
      </c>
      <c r="L837" t="str">
        <f>IF(StudentsTable[[#This Row],[AverageScore]]&gt;=60,"Pass","Fail")</f>
        <v>Pass</v>
      </c>
      <c r="M837" t="str" cm="1">
        <f t="array" ref="M837">_xlfn.IFS(StudentsTable[[#This Row],[AverageScore]]&gt;=85,"Advanced",StudentsTable[[#This Row],[AverageScore]]&gt;=70,"Intermediate",StudentsTable[[#This Row],[AverageScore]]&gt;=60,"Basic",TRUE,"Needs Help")</f>
        <v>Basic</v>
      </c>
      <c r="N837">
        <f>RANK(StudentsTable[[#This Row],[AverageScore]],StudentsTable[AverageScore])</f>
        <v>562</v>
      </c>
      <c r="O837">
        <f>(StudentsTable[[#This Row],[AverageScore]]-MIN(StudentsTable[AverageScore]))/(MAX(StudentsTable[AverageScore])-MIN(StudentsTable[AverageScore]))*100</f>
        <v>62.637362637362635</v>
      </c>
    </row>
    <row r="838" spans="1:15" x14ac:dyDescent="0.3">
      <c r="A838" t="s">
        <v>17</v>
      </c>
      <c r="B838" t="s">
        <v>24</v>
      </c>
      <c r="C838" t="s">
        <v>22</v>
      </c>
      <c r="D838" t="s">
        <v>11</v>
      </c>
      <c r="E838" t="s">
        <v>12</v>
      </c>
      <c r="F838">
        <v>73</v>
      </c>
      <c r="G838">
        <v>64</v>
      </c>
      <c r="H838">
        <v>57</v>
      </c>
      <c r="I838">
        <f>StudentsTable[[#This Row],[math score]]+StudentsTable[[#This Row],[reading score]]+StudentsTable[[#This Row],[writing score]]</f>
        <v>194</v>
      </c>
      <c r="J838">
        <f>StudentsTable[[#This Row],[TotalScore]]/3</f>
        <v>64.666666666666671</v>
      </c>
      <c r="K838" t="str" cm="1">
        <f t="array" ref="K838">_xlfn.IFS(StudentsTable[[#This Row],[AverageScore]]&gt;=90,"A",StudentsTable[[#This Row],[AverageScore]]&gt;=80,"B",StudentsTable[[#This Row],[AverageScore]]&gt;=70,"C",StudentsTable[[#This Row],[AverageScore]]&gt;=60,"D",TRUE,"F")</f>
        <v>D</v>
      </c>
      <c r="L838" t="str">
        <f>IF(StudentsTable[[#This Row],[AverageScore]]&gt;=60,"Pass","Fail")</f>
        <v>Pass</v>
      </c>
      <c r="M838" t="str" cm="1">
        <f t="array" ref="M838">_xlfn.IFS(StudentsTable[[#This Row],[AverageScore]]&gt;=85,"Advanced",StudentsTable[[#This Row],[AverageScore]]&gt;=70,"Intermediate",StudentsTable[[#This Row],[AverageScore]]&gt;=60,"Basic",TRUE,"Needs Help")</f>
        <v>Basic</v>
      </c>
      <c r="N838">
        <f>RANK(StudentsTable[[#This Row],[AverageScore]],StudentsTable[AverageScore])</f>
        <v>602</v>
      </c>
      <c r="O838">
        <f>(StudentsTable[[#This Row],[AverageScore]]-MIN(StudentsTable[AverageScore]))/(MAX(StudentsTable[AverageScore])-MIN(StudentsTable[AverageScore]))*100</f>
        <v>61.172161172161175</v>
      </c>
    </row>
    <row r="839" spans="1:15" x14ac:dyDescent="0.3">
      <c r="A839" t="s">
        <v>8</v>
      </c>
      <c r="B839" t="s">
        <v>18</v>
      </c>
      <c r="C839" t="s">
        <v>22</v>
      </c>
      <c r="D839" t="s">
        <v>11</v>
      </c>
      <c r="E839" t="s">
        <v>15</v>
      </c>
      <c r="F839">
        <v>75</v>
      </c>
      <c r="G839">
        <v>82</v>
      </c>
      <c r="H839">
        <v>79</v>
      </c>
      <c r="I839">
        <f>StudentsTable[[#This Row],[math score]]+StudentsTable[[#This Row],[reading score]]+StudentsTable[[#This Row],[writing score]]</f>
        <v>236</v>
      </c>
      <c r="J839">
        <f>StudentsTable[[#This Row],[TotalScore]]/3</f>
        <v>78.666666666666671</v>
      </c>
      <c r="K839" t="str" cm="1">
        <f t="array" ref="K839">_xlfn.IFS(StudentsTable[[#This Row],[AverageScore]]&gt;=90,"A",StudentsTable[[#This Row],[AverageScore]]&gt;=80,"B",StudentsTable[[#This Row],[AverageScore]]&gt;=70,"C",StudentsTable[[#This Row],[AverageScore]]&gt;=60,"D",TRUE,"F")</f>
        <v>C</v>
      </c>
      <c r="L839" t="str">
        <f>IF(StudentsTable[[#This Row],[AverageScore]]&gt;=60,"Pass","Fail")</f>
        <v>Pass</v>
      </c>
      <c r="M839" t="str" cm="1">
        <f t="array" ref="M839">_xlfn.IFS(StudentsTable[[#This Row],[AverageScore]]&gt;=85,"Advanced",StudentsTable[[#This Row],[AverageScore]]&gt;=70,"Intermediate",StudentsTable[[#This Row],[AverageScore]]&gt;=60,"Basic",TRUE,"Needs Help")</f>
        <v>Intermediate</v>
      </c>
      <c r="N839">
        <f>RANK(StudentsTable[[#This Row],[AverageScore]],StudentsTable[AverageScore])</f>
        <v>222</v>
      </c>
      <c r="O839">
        <f>(StudentsTable[[#This Row],[AverageScore]]-MIN(StudentsTable[AverageScore]))/(MAX(StudentsTable[AverageScore])-MIN(StudentsTable[AverageScore]))*100</f>
        <v>76.556776556776569</v>
      </c>
    </row>
    <row r="840" spans="1:15" x14ac:dyDescent="0.3">
      <c r="A840" t="s">
        <v>17</v>
      </c>
      <c r="B840" t="s">
        <v>9</v>
      </c>
      <c r="C840" t="s">
        <v>19</v>
      </c>
      <c r="D840" t="s">
        <v>20</v>
      </c>
      <c r="E840" t="s">
        <v>15</v>
      </c>
      <c r="F840">
        <v>58</v>
      </c>
      <c r="G840">
        <v>57</v>
      </c>
      <c r="H840">
        <v>53</v>
      </c>
      <c r="I840">
        <f>StudentsTable[[#This Row],[math score]]+StudentsTable[[#This Row],[reading score]]+StudentsTable[[#This Row],[writing score]]</f>
        <v>168</v>
      </c>
      <c r="J840">
        <f>StudentsTable[[#This Row],[TotalScore]]/3</f>
        <v>56</v>
      </c>
      <c r="K840" t="str" cm="1">
        <f t="array" ref="K840">_xlfn.IFS(StudentsTable[[#This Row],[AverageScore]]&gt;=90,"A",StudentsTable[[#This Row],[AverageScore]]&gt;=80,"B",StudentsTable[[#This Row],[AverageScore]]&gt;=70,"C",StudentsTable[[#This Row],[AverageScore]]&gt;=60,"D",TRUE,"F")</f>
        <v>F</v>
      </c>
      <c r="L840" t="str">
        <f>IF(StudentsTable[[#This Row],[AverageScore]]&gt;=60,"Pass","Fail")</f>
        <v>Fail</v>
      </c>
      <c r="M840" t="str" cm="1">
        <f t="array" ref="M840">_xlfn.IFS(StudentsTable[[#This Row],[AverageScore]]&gt;=85,"Advanced",StudentsTable[[#This Row],[AverageScore]]&gt;=70,"Intermediate",StudentsTable[[#This Row],[AverageScore]]&gt;=60,"Basic",TRUE,"Needs Help")</f>
        <v>Needs Help</v>
      </c>
      <c r="N840">
        <f>RANK(StudentsTable[[#This Row],[AverageScore]],StudentsTable[AverageScore])</f>
        <v>786</v>
      </c>
      <c r="O840">
        <f>(StudentsTable[[#This Row],[AverageScore]]-MIN(StudentsTable[AverageScore]))/(MAX(StudentsTable[AverageScore])-MIN(StudentsTable[AverageScore]))*100</f>
        <v>51.648351648351657</v>
      </c>
    </row>
    <row r="841" spans="1:15" x14ac:dyDescent="0.3">
      <c r="A841" t="s">
        <v>8</v>
      </c>
      <c r="B841" t="s">
        <v>13</v>
      </c>
      <c r="C841" t="s">
        <v>19</v>
      </c>
      <c r="D841" t="s">
        <v>11</v>
      </c>
      <c r="E841" t="s">
        <v>12</v>
      </c>
      <c r="F841">
        <v>66</v>
      </c>
      <c r="G841">
        <v>77</v>
      </c>
      <c r="H841">
        <v>73</v>
      </c>
      <c r="I841">
        <f>StudentsTable[[#This Row],[math score]]+StudentsTable[[#This Row],[reading score]]+StudentsTable[[#This Row],[writing score]]</f>
        <v>216</v>
      </c>
      <c r="J841">
        <f>StudentsTable[[#This Row],[TotalScore]]/3</f>
        <v>72</v>
      </c>
      <c r="K841" t="str" cm="1">
        <f t="array" ref="K841">_xlfn.IFS(StudentsTable[[#This Row],[AverageScore]]&gt;=90,"A",StudentsTable[[#This Row],[AverageScore]]&gt;=80,"B",StudentsTable[[#This Row],[AverageScore]]&gt;=70,"C",StudentsTable[[#This Row],[AverageScore]]&gt;=60,"D",TRUE,"F")</f>
        <v>C</v>
      </c>
      <c r="L841" t="str">
        <f>IF(StudentsTable[[#This Row],[AverageScore]]&gt;=60,"Pass","Fail")</f>
        <v>Pass</v>
      </c>
      <c r="M841" t="str" cm="1">
        <f t="array" ref="M841">_xlfn.IFS(StudentsTable[[#This Row],[AverageScore]]&gt;=85,"Advanced",StudentsTable[[#This Row],[AverageScore]]&gt;=70,"Intermediate",StudentsTable[[#This Row],[AverageScore]]&gt;=60,"Basic",TRUE,"Needs Help")</f>
        <v>Intermediate</v>
      </c>
      <c r="N841">
        <f>RANK(StudentsTable[[#This Row],[AverageScore]],StudentsTable[AverageScore])</f>
        <v>395</v>
      </c>
      <c r="O841">
        <f>(StudentsTable[[#This Row],[AverageScore]]-MIN(StudentsTable[AverageScore]))/(MAX(StudentsTable[AverageScore])-MIN(StudentsTable[AverageScore]))*100</f>
        <v>69.230769230769226</v>
      </c>
    </row>
    <row r="842" spans="1:15" x14ac:dyDescent="0.3">
      <c r="A842" t="s">
        <v>8</v>
      </c>
      <c r="B842" t="s">
        <v>21</v>
      </c>
      <c r="C842" t="s">
        <v>22</v>
      </c>
      <c r="D842" t="s">
        <v>20</v>
      </c>
      <c r="E842" t="s">
        <v>12</v>
      </c>
      <c r="F842">
        <v>39</v>
      </c>
      <c r="G842">
        <v>52</v>
      </c>
      <c r="H842">
        <v>46</v>
      </c>
      <c r="I842">
        <f>StudentsTable[[#This Row],[math score]]+StudentsTable[[#This Row],[reading score]]+StudentsTable[[#This Row],[writing score]]</f>
        <v>137</v>
      </c>
      <c r="J842">
        <f>StudentsTable[[#This Row],[TotalScore]]/3</f>
        <v>45.666666666666664</v>
      </c>
      <c r="K842" t="str" cm="1">
        <f t="array" ref="K842">_xlfn.IFS(StudentsTable[[#This Row],[AverageScore]]&gt;=90,"A",StudentsTable[[#This Row],[AverageScore]]&gt;=80,"B",StudentsTable[[#This Row],[AverageScore]]&gt;=70,"C",StudentsTable[[#This Row],[AverageScore]]&gt;=60,"D",TRUE,"F")</f>
        <v>F</v>
      </c>
      <c r="L842" t="str">
        <f>IF(StudentsTable[[#This Row],[AverageScore]]&gt;=60,"Pass","Fail")</f>
        <v>Fail</v>
      </c>
      <c r="M842" t="str" cm="1">
        <f t="array" ref="M842">_xlfn.IFS(StudentsTable[[#This Row],[AverageScore]]&gt;=85,"Advanced",StudentsTable[[#This Row],[AverageScore]]&gt;=70,"Intermediate",StudentsTable[[#This Row],[AverageScore]]&gt;=60,"Basic",TRUE,"Needs Help")</f>
        <v>Needs Help</v>
      </c>
      <c r="N842">
        <f>RANK(StudentsTable[[#This Row],[AverageScore]],StudentsTable[AverageScore])</f>
        <v>942</v>
      </c>
      <c r="O842">
        <f>(StudentsTable[[#This Row],[AverageScore]]-MIN(StudentsTable[AverageScore]))/(MAX(StudentsTable[AverageScore])-MIN(StudentsTable[AverageScore]))*100</f>
        <v>40.293040293040292</v>
      </c>
    </row>
    <row r="843" spans="1:15" x14ac:dyDescent="0.3">
      <c r="A843" t="s">
        <v>17</v>
      </c>
      <c r="B843" t="s">
        <v>13</v>
      </c>
      <c r="C843" t="s">
        <v>23</v>
      </c>
      <c r="D843" t="s">
        <v>11</v>
      </c>
      <c r="E843" t="s">
        <v>12</v>
      </c>
      <c r="F843">
        <v>64</v>
      </c>
      <c r="G843">
        <v>58</v>
      </c>
      <c r="H843">
        <v>51</v>
      </c>
      <c r="I843">
        <f>StudentsTable[[#This Row],[math score]]+StudentsTable[[#This Row],[reading score]]+StudentsTable[[#This Row],[writing score]]</f>
        <v>173</v>
      </c>
      <c r="J843">
        <f>StudentsTable[[#This Row],[TotalScore]]/3</f>
        <v>57.666666666666664</v>
      </c>
      <c r="K843" t="str" cm="1">
        <f t="array" ref="K843">_xlfn.IFS(StudentsTable[[#This Row],[AverageScore]]&gt;=90,"A",StudentsTable[[#This Row],[AverageScore]]&gt;=80,"B",StudentsTable[[#This Row],[AverageScore]]&gt;=70,"C",StudentsTable[[#This Row],[AverageScore]]&gt;=60,"D",TRUE,"F")</f>
        <v>F</v>
      </c>
      <c r="L843" t="str">
        <f>IF(StudentsTable[[#This Row],[AverageScore]]&gt;=60,"Pass","Fail")</f>
        <v>Fail</v>
      </c>
      <c r="M843" t="str" cm="1">
        <f t="array" ref="M843">_xlfn.IFS(StudentsTable[[#This Row],[AverageScore]]&gt;=85,"Advanced",StudentsTable[[#This Row],[AverageScore]]&gt;=70,"Intermediate",StudentsTable[[#This Row],[AverageScore]]&gt;=60,"Basic",TRUE,"Needs Help")</f>
        <v>Needs Help</v>
      </c>
      <c r="N843">
        <f>RANK(StudentsTable[[#This Row],[AverageScore]],StudentsTable[AverageScore])</f>
        <v>756</v>
      </c>
      <c r="O843">
        <f>(StudentsTable[[#This Row],[AverageScore]]-MIN(StudentsTable[AverageScore]))/(MAX(StudentsTable[AverageScore])-MIN(StudentsTable[AverageScore]))*100</f>
        <v>53.479853479853482</v>
      </c>
    </row>
    <row r="844" spans="1:15" x14ac:dyDescent="0.3">
      <c r="A844" t="s">
        <v>8</v>
      </c>
      <c r="B844" t="s">
        <v>9</v>
      </c>
      <c r="C844" t="s">
        <v>22</v>
      </c>
      <c r="D844" t="s">
        <v>20</v>
      </c>
      <c r="E844" t="s">
        <v>15</v>
      </c>
      <c r="F844">
        <v>23</v>
      </c>
      <c r="G844">
        <v>44</v>
      </c>
      <c r="H844">
        <v>36</v>
      </c>
      <c r="I844">
        <f>StudentsTable[[#This Row],[math score]]+StudentsTable[[#This Row],[reading score]]+StudentsTable[[#This Row],[writing score]]</f>
        <v>103</v>
      </c>
      <c r="J844">
        <f>StudentsTable[[#This Row],[TotalScore]]/3</f>
        <v>34.333333333333336</v>
      </c>
      <c r="K844" t="str" cm="1">
        <f t="array" ref="K844">_xlfn.IFS(StudentsTable[[#This Row],[AverageScore]]&gt;=90,"A",StudentsTable[[#This Row],[AverageScore]]&gt;=80,"B",StudentsTable[[#This Row],[AverageScore]]&gt;=70,"C",StudentsTable[[#This Row],[AverageScore]]&gt;=60,"D",TRUE,"F")</f>
        <v>F</v>
      </c>
      <c r="L844" t="str">
        <f>IF(StudentsTable[[#This Row],[AverageScore]]&gt;=60,"Pass","Fail")</f>
        <v>Fail</v>
      </c>
      <c r="M844" t="str" cm="1">
        <f t="array" ref="M844">_xlfn.IFS(StudentsTable[[#This Row],[AverageScore]]&gt;=85,"Advanced",StudentsTable[[#This Row],[AverageScore]]&gt;=70,"Intermediate",StudentsTable[[#This Row],[AverageScore]]&gt;=60,"Basic",TRUE,"Needs Help")</f>
        <v>Needs Help</v>
      </c>
      <c r="N844">
        <f>RANK(StudentsTable[[#This Row],[AverageScore]],StudentsTable[AverageScore])</f>
        <v>985</v>
      </c>
      <c r="O844">
        <f>(StudentsTable[[#This Row],[AverageScore]]-MIN(StudentsTable[AverageScore]))/(MAX(StudentsTable[AverageScore])-MIN(StudentsTable[AverageScore]))*100</f>
        <v>27.838827838827839</v>
      </c>
    </row>
    <row r="845" spans="1:15" x14ac:dyDescent="0.3">
      <c r="A845" t="s">
        <v>17</v>
      </c>
      <c r="B845" t="s">
        <v>9</v>
      </c>
      <c r="C845" t="s">
        <v>14</v>
      </c>
      <c r="D845" t="s">
        <v>20</v>
      </c>
      <c r="E845" t="s">
        <v>15</v>
      </c>
      <c r="F845">
        <v>74</v>
      </c>
      <c r="G845">
        <v>77</v>
      </c>
      <c r="H845">
        <v>76</v>
      </c>
      <c r="I845">
        <f>StudentsTable[[#This Row],[math score]]+StudentsTable[[#This Row],[reading score]]+StudentsTable[[#This Row],[writing score]]</f>
        <v>227</v>
      </c>
      <c r="J845">
        <f>StudentsTable[[#This Row],[TotalScore]]/3</f>
        <v>75.666666666666671</v>
      </c>
      <c r="K845" t="str" cm="1">
        <f t="array" ref="K845">_xlfn.IFS(StudentsTable[[#This Row],[AverageScore]]&gt;=90,"A",StudentsTable[[#This Row],[AverageScore]]&gt;=80,"B",StudentsTable[[#This Row],[AverageScore]]&gt;=70,"C",StudentsTable[[#This Row],[AverageScore]]&gt;=60,"D",TRUE,"F")</f>
        <v>C</v>
      </c>
      <c r="L845" t="str">
        <f>IF(StudentsTable[[#This Row],[AverageScore]]&gt;=60,"Pass","Fail")</f>
        <v>Pass</v>
      </c>
      <c r="M845" t="str" cm="1">
        <f t="array" ref="M845">_xlfn.IFS(StudentsTable[[#This Row],[AverageScore]]&gt;=85,"Advanced",StudentsTable[[#This Row],[AverageScore]]&gt;=70,"Intermediate",StudentsTable[[#This Row],[AverageScore]]&gt;=60,"Basic",TRUE,"Needs Help")</f>
        <v>Intermediate</v>
      </c>
      <c r="N845">
        <f>RANK(StudentsTable[[#This Row],[AverageScore]],StudentsTable[AverageScore])</f>
        <v>297</v>
      </c>
      <c r="O845">
        <f>(StudentsTable[[#This Row],[AverageScore]]-MIN(StudentsTable[AverageScore]))/(MAX(StudentsTable[AverageScore])-MIN(StudentsTable[AverageScore]))*100</f>
        <v>73.26007326007327</v>
      </c>
    </row>
    <row r="846" spans="1:15" x14ac:dyDescent="0.3">
      <c r="A846" t="s">
        <v>8</v>
      </c>
      <c r="B846" t="s">
        <v>21</v>
      </c>
      <c r="C846" t="s">
        <v>23</v>
      </c>
      <c r="D846" t="s">
        <v>20</v>
      </c>
      <c r="E846" t="s">
        <v>15</v>
      </c>
      <c r="F846">
        <v>40</v>
      </c>
      <c r="G846">
        <v>65</v>
      </c>
      <c r="H846">
        <v>64</v>
      </c>
      <c r="I846">
        <f>StudentsTable[[#This Row],[math score]]+StudentsTable[[#This Row],[reading score]]+StudentsTable[[#This Row],[writing score]]</f>
        <v>169</v>
      </c>
      <c r="J846">
        <f>StudentsTable[[#This Row],[TotalScore]]/3</f>
        <v>56.333333333333336</v>
      </c>
      <c r="K846" t="str" cm="1">
        <f t="array" ref="K846">_xlfn.IFS(StudentsTable[[#This Row],[AverageScore]]&gt;=90,"A",StudentsTable[[#This Row],[AverageScore]]&gt;=80,"B",StudentsTable[[#This Row],[AverageScore]]&gt;=70,"C",StudentsTable[[#This Row],[AverageScore]]&gt;=60,"D",TRUE,"F")</f>
        <v>F</v>
      </c>
      <c r="L846" t="str">
        <f>IF(StudentsTable[[#This Row],[AverageScore]]&gt;=60,"Pass","Fail")</f>
        <v>Fail</v>
      </c>
      <c r="M846" t="str" cm="1">
        <f t="array" ref="M846">_xlfn.IFS(StudentsTable[[#This Row],[AverageScore]]&gt;=85,"Advanced",StudentsTable[[#This Row],[AverageScore]]&gt;=70,"Intermediate",StudentsTable[[#This Row],[AverageScore]]&gt;=60,"Basic",TRUE,"Needs Help")</f>
        <v>Needs Help</v>
      </c>
      <c r="N846">
        <f>RANK(StudentsTable[[#This Row],[AverageScore]],StudentsTable[AverageScore])</f>
        <v>780</v>
      </c>
      <c r="O846">
        <f>(StudentsTable[[#This Row],[AverageScore]]-MIN(StudentsTable[AverageScore]))/(MAX(StudentsTable[AverageScore])-MIN(StudentsTable[AverageScore]))*100</f>
        <v>52.014652014652022</v>
      </c>
    </row>
    <row r="847" spans="1:15" x14ac:dyDescent="0.3">
      <c r="A847" t="s">
        <v>17</v>
      </c>
      <c r="B847" t="s">
        <v>24</v>
      </c>
      <c r="C847" t="s">
        <v>16</v>
      </c>
      <c r="D847" t="s">
        <v>11</v>
      </c>
      <c r="E847" t="s">
        <v>12</v>
      </c>
      <c r="F847">
        <v>90</v>
      </c>
      <c r="G847">
        <v>85</v>
      </c>
      <c r="H847">
        <v>84</v>
      </c>
      <c r="I847">
        <f>StudentsTable[[#This Row],[math score]]+StudentsTable[[#This Row],[reading score]]+StudentsTable[[#This Row],[writing score]]</f>
        <v>259</v>
      </c>
      <c r="J847">
        <f>StudentsTable[[#This Row],[TotalScore]]/3</f>
        <v>86.333333333333329</v>
      </c>
      <c r="K847" t="str" cm="1">
        <f t="array" ref="K847">_xlfn.IFS(StudentsTable[[#This Row],[AverageScore]]&gt;=90,"A",StudentsTable[[#This Row],[AverageScore]]&gt;=80,"B",StudentsTable[[#This Row],[AverageScore]]&gt;=70,"C",StudentsTable[[#This Row],[AverageScore]]&gt;=60,"D",TRUE,"F")</f>
        <v>B</v>
      </c>
      <c r="L847" t="str">
        <f>IF(StudentsTable[[#This Row],[AverageScore]]&gt;=60,"Pass","Fail")</f>
        <v>Pass</v>
      </c>
      <c r="M847" t="str" cm="1">
        <f t="array" ref="M847">_xlfn.IFS(StudentsTable[[#This Row],[AverageScore]]&gt;=85,"Advanced",StudentsTable[[#This Row],[AverageScore]]&gt;=70,"Intermediate",StudentsTable[[#This Row],[AverageScore]]&gt;=60,"Basic",TRUE,"Needs Help")</f>
        <v>Advanced</v>
      </c>
      <c r="N847">
        <f>RANK(StudentsTable[[#This Row],[AverageScore]],StudentsTable[AverageScore])</f>
        <v>93</v>
      </c>
      <c r="O847">
        <f>(StudentsTable[[#This Row],[AverageScore]]-MIN(StudentsTable[AverageScore]))/(MAX(StudentsTable[AverageScore])-MIN(StudentsTable[AverageScore]))*100</f>
        <v>84.981684981684978</v>
      </c>
    </row>
    <row r="848" spans="1:15" x14ac:dyDescent="0.3">
      <c r="A848" t="s">
        <v>17</v>
      </c>
      <c r="B848" t="s">
        <v>13</v>
      </c>
      <c r="C848" t="s">
        <v>16</v>
      </c>
      <c r="D848" t="s">
        <v>11</v>
      </c>
      <c r="E848" t="s">
        <v>15</v>
      </c>
      <c r="F848">
        <v>91</v>
      </c>
      <c r="G848">
        <v>85</v>
      </c>
      <c r="H848">
        <v>85</v>
      </c>
      <c r="I848">
        <f>StudentsTable[[#This Row],[math score]]+StudentsTable[[#This Row],[reading score]]+StudentsTable[[#This Row],[writing score]]</f>
        <v>261</v>
      </c>
      <c r="J848">
        <f>StudentsTable[[#This Row],[TotalScore]]/3</f>
        <v>87</v>
      </c>
      <c r="K848" t="str" cm="1">
        <f t="array" ref="K848">_xlfn.IFS(StudentsTable[[#This Row],[AverageScore]]&gt;=90,"A",StudentsTable[[#This Row],[AverageScore]]&gt;=80,"B",StudentsTable[[#This Row],[AverageScore]]&gt;=70,"C",StudentsTable[[#This Row],[AverageScore]]&gt;=60,"D",TRUE,"F")</f>
        <v>B</v>
      </c>
      <c r="L848" t="str">
        <f>IF(StudentsTable[[#This Row],[AverageScore]]&gt;=60,"Pass","Fail")</f>
        <v>Pass</v>
      </c>
      <c r="M848" t="str" cm="1">
        <f t="array" ref="M848">_xlfn.IFS(StudentsTable[[#This Row],[AverageScore]]&gt;=85,"Advanced",StudentsTable[[#This Row],[AverageScore]]&gt;=70,"Intermediate",StudentsTable[[#This Row],[AverageScore]]&gt;=60,"Basic",TRUE,"Needs Help")</f>
        <v>Advanced</v>
      </c>
      <c r="N848">
        <f>RANK(StudentsTable[[#This Row],[AverageScore]],StudentsTable[AverageScore])</f>
        <v>83</v>
      </c>
      <c r="O848">
        <f>(StudentsTable[[#This Row],[AverageScore]]-MIN(StudentsTable[AverageScore]))/(MAX(StudentsTable[AverageScore])-MIN(StudentsTable[AverageScore]))*100</f>
        <v>85.714285714285708</v>
      </c>
    </row>
    <row r="849" spans="1:15" x14ac:dyDescent="0.3">
      <c r="A849" t="s">
        <v>17</v>
      </c>
      <c r="B849" t="s">
        <v>21</v>
      </c>
      <c r="C849" t="s">
        <v>22</v>
      </c>
      <c r="D849" t="s">
        <v>11</v>
      </c>
      <c r="E849" t="s">
        <v>12</v>
      </c>
      <c r="F849">
        <v>64</v>
      </c>
      <c r="G849">
        <v>54</v>
      </c>
      <c r="H849">
        <v>50</v>
      </c>
      <c r="I849">
        <f>StudentsTable[[#This Row],[math score]]+StudentsTable[[#This Row],[reading score]]+StudentsTable[[#This Row],[writing score]]</f>
        <v>168</v>
      </c>
      <c r="J849">
        <f>StudentsTable[[#This Row],[TotalScore]]/3</f>
        <v>56</v>
      </c>
      <c r="K849" t="str" cm="1">
        <f t="array" ref="K849">_xlfn.IFS(StudentsTable[[#This Row],[AverageScore]]&gt;=90,"A",StudentsTable[[#This Row],[AverageScore]]&gt;=80,"B",StudentsTable[[#This Row],[AverageScore]]&gt;=70,"C",StudentsTable[[#This Row],[AverageScore]]&gt;=60,"D",TRUE,"F")</f>
        <v>F</v>
      </c>
      <c r="L849" t="str">
        <f>IF(StudentsTable[[#This Row],[AverageScore]]&gt;=60,"Pass","Fail")</f>
        <v>Fail</v>
      </c>
      <c r="M849" t="str" cm="1">
        <f t="array" ref="M849">_xlfn.IFS(StudentsTable[[#This Row],[AverageScore]]&gt;=85,"Advanced",StudentsTable[[#This Row],[AverageScore]]&gt;=70,"Intermediate",StudentsTable[[#This Row],[AverageScore]]&gt;=60,"Basic",TRUE,"Needs Help")</f>
        <v>Needs Help</v>
      </c>
      <c r="N849">
        <f>RANK(StudentsTable[[#This Row],[AverageScore]],StudentsTable[AverageScore])</f>
        <v>786</v>
      </c>
      <c r="O849">
        <f>(StudentsTable[[#This Row],[AverageScore]]-MIN(StudentsTable[AverageScore]))/(MAX(StudentsTable[AverageScore])-MIN(StudentsTable[AverageScore]))*100</f>
        <v>51.648351648351657</v>
      </c>
    </row>
    <row r="850" spans="1:15" x14ac:dyDescent="0.3">
      <c r="A850" t="s">
        <v>8</v>
      </c>
      <c r="B850" t="s">
        <v>13</v>
      </c>
      <c r="C850" t="s">
        <v>22</v>
      </c>
      <c r="D850" t="s">
        <v>11</v>
      </c>
      <c r="E850" t="s">
        <v>12</v>
      </c>
      <c r="F850">
        <v>59</v>
      </c>
      <c r="G850">
        <v>72</v>
      </c>
      <c r="H850">
        <v>68</v>
      </c>
      <c r="I850">
        <f>StudentsTable[[#This Row],[math score]]+StudentsTable[[#This Row],[reading score]]+StudentsTable[[#This Row],[writing score]]</f>
        <v>199</v>
      </c>
      <c r="J850">
        <f>StudentsTable[[#This Row],[TotalScore]]/3</f>
        <v>66.333333333333329</v>
      </c>
      <c r="K850" t="str" cm="1">
        <f t="array" ref="K850">_xlfn.IFS(StudentsTable[[#This Row],[AverageScore]]&gt;=90,"A",StudentsTable[[#This Row],[AverageScore]]&gt;=80,"B",StudentsTable[[#This Row],[AverageScore]]&gt;=70,"C",StudentsTable[[#This Row],[AverageScore]]&gt;=60,"D",TRUE,"F")</f>
        <v>D</v>
      </c>
      <c r="L850" t="str">
        <f>IF(StudentsTable[[#This Row],[AverageScore]]&gt;=60,"Pass","Fail")</f>
        <v>Pass</v>
      </c>
      <c r="M850" t="str" cm="1">
        <f t="array" ref="M850">_xlfn.IFS(StudentsTable[[#This Row],[AverageScore]]&gt;=85,"Advanced",StudentsTable[[#This Row],[AverageScore]]&gt;=70,"Intermediate",StudentsTable[[#This Row],[AverageScore]]&gt;=60,"Basic",TRUE,"Needs Help")</f>
        <v>Basic</v>
      </c>
      <c r="N850">
        <f>RANK(StudentsTable[[#This Row],[AverageScore]],StudentsTable[AverageScore])</f>
        <v>557</v>
      </c>
      <c r="O850">
        <f>(StudentsTable[[#This Row],[AverageScore]]-MIN(StudentsTable[AverageScore]))/(MAX(StudentsTable[AverageScore])-MIN(StudentsTable[AverageScore]))*100</f>
        <v>63.003663003663</v>
      </c>
    </row>
    <row r="851" spans="1:15" x14ac:dyDescent="0.3">
      <c r="A851" t="s">
        <v>17</v>
      </c>
      <c r="B851" t="s">
        <v>21</v>
      </c>
      <c r="C851" t="s">
        <v>19</v>
      </c>
      <c r="D851" t="s">
        <v>11</v>
      </c>
      <c r="E851" t="s">
        <v>12</v>
      </c>
      <c r="F851">
        <v>80</v>
      </c>
      <c r="G851">
        <v>75</v>
      </c>
      <c r="H851">
        <v>69</v>
      </c>
      <c r="I851">
        <f>StudentsTable[[#This Row],[math score]]+StudentsTable[[#This Row],[reading score]]+StudentsTable[[#This Row],[writing score]]</f>
        <v>224</v>
      </c>
      <c r="J851">
        <f>StudentsTable[[#This Row],[TotalScore]]/3</f>
        <v>74.666666666666671</v>
      </c>
      <c r="K851" t="str" cm="1">
        <f t="array" ref="K851">_xlfn.IFS(StudentsTable[[#This Row],[AverageScore]]&gt;=90,"A",StudentsTable[[#This Row],[AverageScore]]&gt;=80,"B",StudentsTable[[#This Row],[AverageScore]]&gt;=70,"C",StudentsTable[[#This Row],[AverageScore]]&gt;=60,"D",TRUE,"F")</f>
        <v>C</v>
      </c>
      <c r="L851" t="str">
        <f>IF(StudentsTable[[#This Row],[AverageScore]]&gt;=60,"Pass","Fail")</f>
        <v>Pass</v>
      </c>
      <c r="M851" t="str" cm="1">
        <f t="array" ref="M851">_xlfn.IFS(StudentsTable[[#This Row],[AverageScore]]&gt;=85,"Advanced",StudentsTable[[#This Row],[AverageScore]]&gt;=70,"Intermediate",StudentsTable[[#This Row],[AverageScore]]&gt;=60,"Basic",TRUE,"Needs Help")</f>
        <v>Intermediate</v>
      </c>
      <c r="N851">
        <f>RANK(StudentsTable[[#This Row],[AverageScore]],StudentsTable[AverageScore])</f>
        <v>325</v>
      </c>
      <c r="O851">
        <f>(StudentsTable[[#This Row],[AverageScore]]-MIN(StudentsTable[AverageScore]))/(MAX(StudentsTable[AverageScore])-MIN(StudentsTable[AverageScore]))*100</f>
        <v>72.161172161172175</v>
      </c>
    </row>
    <row r="852" spans="1:15" x14ac:dyDescent="0.3">
      <c r="A852" t="s">
        <v>17</v>
      </c>
      <c r="B852" t="s">
        <v>13</v>
      </c>
      <c r="C852" t="s">
        <v>16</v>
      </c>
      <c r="D852" t="s">
        <v>11</v>
      </c>
      <c r="E852" t="s">
        <v>12</v>
      </c>
      <c r="F852">
        <v>71</v>
      </c>
      <c r="G852">
        <v>67</v>
      </c>
      <c r="H852">
        <v>67</v>
      </c>
      <c r="I852">
        <f>StudentsTable[[#This Row],[math score]]+StudentsTable[[#This Row],[reading score]]+StudentsTable[[#This Row],[writing score]]</f>
        <v>205</v>
      </c>
      <c r="J852">
        <f>StudentsTable[[#This Row],[TotalScore]]/3</f>
        <v>68.333333333333329</v>
      </c>
      <c r="K852" t="str" cm="1">
        <f t="array" ref="K852">_xlfn.IFS(StudentsTable[[#This Row],[AverageScore]]&gt;=90,"A",StudentsTable[[#This Row],[AverageScore]]&gt;=80,"B",StudentsTable[[#This Row],[AverageScore]]&gt;=70,"C",StudentsTable[[#This Row],[AverageScore]]&gt;=60,"D",TRUE,"F")</f>
        <v>D</v>
      </c>
      <c r="L852" t="str">
        <f>IF(StudentsTable[[#This Row],[AverageScore]]&gt;=60,"Pass","Fail")</f>
        <v>Pass</v>
      </c>
      <c r="M852" t="str" cm="1">
        <f t="array" ref="M852">_xlfn.IFS(StudentsTable[[#This Row],[AverageScore]]&gt;=85,"Advanced",StudentsTable[[#This Row],[AverageScore]]&gt;=70,"Intermediate",StudentsTable[[#This Row],[AverageScore]]&gt;=60,"Basic",TRUE,"Needs Help")</f>
        <v>Basic</v>
      </c>
      <c r="N852">
        <f>RANK(StudentsTable[[#This Row],[AverageScore]],StudentsTable[AverageScore])</f>
        <v>499</v>
      </c>
      <c r="O852">
        <f>(StudentsTable[[#This Row],[AverageScore]]-MIN(StudentsTable[AverageScore]))/(MAX(StudentsTable[AverageScore])-MIN(StudentsTable[AverageScore]))*100</f>
        <v>65.201465201465197</v>
      </c>
    </row>
    <row r="853" spans="1:15" x14ac:dyDescent="0.3">
      <c r="A853" t="s">
        <v>8</v>
      </c>
      <c r="B853" t="s">
        <v>18</v>
      </c>
      <c r="C853" t="s">
        <v>22</v>
      </c>
      <c r="D853" t="s">
        <v>11</v>
      </c>
      <c r="E853" t="s">
        <v>12</v>
      </c>
      <c r="F853">
        <v>61</v>
      </c>
      <c r="G853">
        <v>68</v>
      </c>
      <c r="H853">
        <v>63</v>
      </c>
      <c r="I853">
        <f>StudentsTable[[#This Row],[math score]]+StudentsTable[[#This Row],[reading score]]+StudentsTable[[#This Row],[writing score]]</f>
        <v>192</v>
      </c>
      <c r="J853">
        <f>StudentsTable[[#This Row],[TotalScore]]/3</f>
        <v>64</v>
      </c>
      <c r="K853" t="str" cm="1">
        <f t="array" ref="K853">_xlfn.IFS(StudentsTable[[#This Row],[AverageScore]]&gt;=90,"A",StudentsTable[[#This Row],[AverageScore]]&gt;=80,"B",StudentsTable[[#This Row],[AverageScore]]&gt;=70,"C",StudentsTable[[#This Row],[AverageScore]]&gt;=60,"D",TRUE,"F")</f>
        <v>D</v>
      </c>
      <c r="L853" t="str">
        <f>IF(StudentsTable[[#This Row],[AverageScore]]&gt;=60,"Pass","Fail")</f>
        <v>Pass</v>
      </c>
      <c r="M853" t="str" cm="1">
        <f t="array" ref="M853">_xlfn.IFS(StudentsTable[[#This Row],[AverageScore]]&gt;=85,"Advanced",StudentsTable[[#This Row],[AverageScore]]&gt;=70,"Intermediate",StudentsTable[[#This Row],[AverageScore]]&gt;=60,"Basic",TRUE,"Needs Help")</f>
        <v>Basic</v>
      </c>
      <c r="N853">
        <f>RANK(StudentsTable[[#This Row],[AverageScore]],StudentsTable[AverageScore])</f>
        <v>623</v>
      </c>
      <c r="O853">
        <f>(StudentsTable[[#This Row],[AverageScore]]-MIN(StudentsTable[AverageScore]))/(MAX(StudentsTable[AverageScore])-MIN(StudentsTable[AverageScore]))*100</f>
        <v>60.439560439560438</v>
      </c>
    </row>
    <row r="854" spans="1:15" x14ac:dyDescent="0.3">
      <c r="A854" t="s">
        <v>8</v>
      </c>
      <c r="B854" t="s">
        <v>24</v>
      </c>
      <c r="C854" t="s">
        <v>14</v>
      </c>
      <c r="D854" t="s">
        <v>11</v>
      </c>
      <c r="E854" t="s">
        <v>12</v>
      </c>
      <c r="F854">
        <v>87</v>
      </c>
      <c r="G854">
        <v>85</v>
      </c>
      <c r="H854">
        <v>93</v>
      </c>
      <c r="I854">
        <f>StudentsTable[[#This Row],[math score]]+StudentsTable[[#This Row],[reading score]]+StudentsTable[[#This Row],[writing score]]</f>
        <v>265</v>
      </c>
      <c r="J854">
        <f>StudentsTable[[#This Row],[TotalScore]]/3</f>
        <v>88.333333333333329</v>
      </c>
      <c r="K854" t="str" cm="1">
        <f t="array" ref="K854">_xlfn.IFS(StudentsTable[[#This Row],[AverageScore]]&gt;=90,"A",StudentsTable[[#This Row],[AverageScore]]&gt;=80,"B",StudentsTable[[#This Row],[AverageScore]]&gt;=70,"C",StudentsTable[[#This Row],[AverageScore]]&gt;=60,"D",TRUE,"F")</f>
        <v>B</v>
      </c>
      <c r="L854" t="str">
        <f>IF(StudentsTable[[#This Row],[AverageScore]]&gt;=60,"Pass","Fail")</f>
        <v>Pass</v>
      </c>
      <c r="M854" t="str" cm="1">
        <f t="array" ref="M854">_xlfn.IFS(StudentsTable[[#This Row],[AverageScore]]&gt;=85,"Advanced",StudentsTable[[#This Row],[AverageScore]]&gt;=70,"Intermediate",StudentsTable[[#This Row],[AverageScore]]&gt;=60,"Basic",TRUE,"Needs Help")</f>
        <v>Advanced</v>
      </c>
      <c r="N854">
        <f>RANK(StudentsTable[[#This Row],[AverageScore]],StudentsTable[AverageScore])</f>
        <v>69</v>
      </c>
      <c r="O854">
        <f>(StudentsTable[[#This Row],[AverageScore]]-MIN(StudentsTable[AverageScore]))/(MAX(StudentsTable[AverageScore])-MIN(StudentsTable[AverageScore]))*100</f>
        <v>87.179487179487168</v>
      </c>
    </row>
    <row r="855" spans="1:15" x14ac:dyDescent="0.3">
      <c r="A855" t="s">
        <v>17</v>
      </c>
      <c r="B855" t="s">
        <v>24</v>
      </c>
      <c r="C855" t="s">
        <v>23</v>
      </c>
      <c r="D855" t="s">
        <v>11</v>
      </c>
      <c r="E855" t="s">
        <v>12</v>
      </c>
      <c r="F855">
        <v>82</v>
      </c>
      <c r="G855">
        <v>67</v>
      </c>
      <c r="H855">
        <v>61</v>
      </c>
      <c r="I855">
        <f>StudentsTable[[#This Row],[math score]]+StudentsTable[[#This Row],[reading score]]+StudentsTable[[#This Row],[writing score]]</f>
        <v>210</v>
      </c>
      <c r="J855">
        <f>StudentsTable[[#This Row],[TotalScore]]/3</f>
        <v>70</v>
      </c>
      <c r="K855" t="str" cm="1">
        <f t="array" ref="K855">_xlfn.IFS(StudentsTable[[#This Row],[AverageScore]]&gt;=90,"A",StudentsTable[[#This Row],[AverageScore]]&gt;=80,"B",StudentsTable[[#This Row],[AverageScore]]&gt;=70,"C",StudentsTable[[#This Row],[AverageScore]]&gt;=60,"D",TRUE,"F")</f>
        <v>C</v>
      </c>
      <c r="L855" t="str">
        <f>IF(StudentsTable[[#This Row],[AverageScore]]&gt;=60,"Pass","Fail")</f>
        <v>Pass</v>
      </c>
      <c r="M855" t="str" cm="1">
        <f t="array" ref="M855">_xlfn.IFS(StudentsTable[[#This Row],[AverageScore]]&gt;=85,"Advanced",StudentsTable[[#This Row],[AverageScore]]&gt;=70,"Intermediate",StudentsTable[[#This Row],[AverageScore]]&gt;=60,"Basic",TRUE,"Needs Help")</f>
        <v>Intermediate</v>
      </c>
      <c r="N855">
        <f>RANK(StudentsTable[[#This Row],[AverageScore]],StudentsTable[AverageScore])</f>
        <v>448</v>
      </c>
      <c r="O855">
        <f>(StudentsTable[[#This Row],[AverageScore]]-MIN(StudentsTable[AverageScore]))/(MAX(StudentsTable[AverageScore])-MIN(StudentsTable[AverageScore]))*100</f>
        <v>67.032967032967022</v>
      </c>
    </row>
    <row r="856" spans="1:15" x14ac:dyDescent="0.3">
      <c r="A856" t="s">
        <v>17</v>
      </c>
      <c r="B856" t="s">
        <v>13</v>
      </c>
      <c r="C856" t="s">
        <v>23</v>
      </c>
      <c r="D856" t="s">
        <v>11</v>
      </c>
      <c r="E856" t="s">
        <v>12</v>
      </c>
      <c r="F856">
        <v>62</v>
      </c>
      <c r="G856">
        <v>64</v>
      </c>
      <c r="H856">
        <v>55</v>
      </c>
      <c r="I856">
        <f>StudentsTable[[#This Row],[math score]]+StudentsTable[[#This Row],[reading score]]+StudentsTable[[#This Row],[writing score]]</f>
        <v>181</v>
      </c>
      <c r="J856">
        <f>StudentsTable[[#This Row],[TotalScore]]/3</f>
        <v>60.333333333333336</v>
      </c>
      <c r="K856" t="str" cm="1">
        <f t="array" ref="K856">_xlfn.IFS(StudentsTable[[#This Row],[AverageScore]]&gt;=90,"A",StudentsTable[[#This Row],[AverageScore]]&gt;=80,"B",StudentsTable[[#This Row],[AverageScore]]&gt;=70,"C",StudentsTable[[#This Row],[AverageScore]]&gt;=60,"D",TRUE,"F")</f>
        <v>D</v>
      </c>
      <c r="L856" t="str">
        <f>IF(StudentsTable[[#This Row],[AverageScore]]&gt;=60,"Pass","Fail")</f>
        <v>Pass</v>
      </c>
      <c r="M856" t="str" cm="1">
        <f t="array" ref="M856">_xlfn.IFS(StudentsTable[[#This Row],[AverageScore]]&gt;=85,"Advanced",StudentsTable[[#This Row],[AverageScore]]&gt;=70,"Intermediate",StudentsTable[[#This Row],[AverageScore]]&gt;=60,"Basic",TRUE,"Needs Help")</f>
        <v>Basic</v>
      </c>
      <c r="N856">
        <f>RANK(StudentsTable[[#This Row],[AverageScore]],StudentsTable[AverageScore])</f>
        <v>700</v>
      </c>
      <c r="O856">
        <f>(StudentsTable[[#This Row],[AverageScore]]-MIN(StudentsTable[AverageScore]))/(MAX(StudentsTable[AverageScore])-MIN(StudentsTable[AverageScore]))*100</f>
        <v>56.410256410256409</v>
      </c>
    </row>
    <row r="857" spans="1:15" x14ac:dyDescent="0.3">
      <c r="A857" t="s">
        <v>8</v>
      </c>
      <c r="B857" t="s">
        <v>9</v>
      </c>
      <c r="C857" t="s">
        <v>10</v>
      </c>
      <c r="D857" t="s">
        <v>11</v>
      </c>
      <c r="E857" t="s">
        <v>12</v>
      </c>
      <c r="F857">
        <v>97</v>
      </c>
      <c r="G857">
        <v>97</v>
      </c>
      <c r="H857">
        <v>96</v>
      </c>
      <c r="I857">
        <f>StudentsTable[[#This Row],[math score]]+StudentsTable[[#This Row],[reading score]]+StudentsTable[[#This Row],[writing score]]</f>
        <v>290</v>
      </c>
      <c r="J857">
        <f>StudentsTable[[#This Row],[TotalScore]]/3</f>
        <v>96.666666666666671</v>
      </c>
      <c r="K857" t="str" cm="1">
        <f t="array" ref="K857">_xlfn.IFS(StudentsTable[[#This Row],[AverageScore]]&gt;=90,"A",StudentsTable[[#This Row],[AverageScore]]&gt;=80,"B",StudentsTable[[#This Row],[AverageScore]]&gt;=70,"C",StudentsTable[[#This Row],[AverageScore]]&gt;=60,"D",TRUE,"F")</f>
        <v>A</v>
      </c>
      <c r="L857" t="str">
        <f>IF(StudentsTable[[#This Row],[AverageScore]]&gt;=60,"Pass","Fail")</f>
        <v>Pass</v>
      </c>
      <c r="M857" t="str" cm="1">
        <f t="array" ref="M857">_xlfn.IFS(StudentsTable[[#This Row],[AverageScore]]&gt;=85,"Advanced",StudentsTable[[#This Row],[AverageScore]]&gt;=70,"Intermediate",StudentsTable[[#This Row],[AverageScore]]&gt;=60,"Basic",TRUE,"Needs Help")</f>
        <v>Advanced</v>
      </c>
      <c r="N857">
        <f>RANK(StudentsTable[[#This Row],[AverageScore]],StudentsTable[AverageScore])</f>
        <v>16</v>
      </c>
      <c r="O857">
        <f>(StudentsTable[[#This Row],[AverageScore]]-MIN(StudentsTable[AverageScore]))/(MAX(StudentsTable[AverageScore])-MIN(StudentsTable[AverageScore]))*100</f>
        <v>96.336996336996336</v>
      </c>
    </row>
    <row r="858" spans="1:15" x14ac:dyDescent="0.3">
      <c r="A858" t="s">
        <v>17</v>
      </c>
      <c r="B858" t="s">
        <v>9</v>
      </c>
      <c r="C858" t="s">
        <v>14</v>
      </c>
      <c r="D858" t="s">
        <v>20</v>
      </c>
      <c r="E858" t="s">
        <v>12</v>
      </c>
      <c r="F858">
        <v>75</v>
      </c>
      <c r="G858">
        <v>68</v>
      </c>
      <c r="H858">
        <v>65</v>
      </c>
      <c r="I858">
        <f>StudentsTable[[#This Row],[math score]]+StudentsTable[[#This Row],[reading score]]+StudentsTable[[#This Row],[writing score]]</f>
        <v>208</v>
      </c>
      <c r="J858">
        <f>StudentsTable[[#This Row],[TotalScore]]/3</f>
        <v>69.333333333333329</v>
      </c>
      <c r="K858" t="str" cm="1">
        <f t="array" ref="K858">_xlfn.IFS(StudentsTable[[#This Row],[AverageScore]]&gt;=90,"A",StudentsTable[[#This Row],[AverageScore]]&gt;=80,"B",StudentsTable[[#This Row],[AverageScore]]&gt;=70,"C",StudentsTable[[#This Row],[AverageScore]]&gt;=60,"D",TRUE,"F")</f>
        <v>D</v>
      </c>
      <c r="L858" t="str">
        <f>IF(StudentsTable[[#This Row],[AverageScore]]&gt;=60,"Pass","Fail")</f>
        <v>Pass</v>
      </c>
      <c r="M858" t="str" cm="1">
        <f t="array" ref="M858">_xlfn.IFS(StudentsTable[[#This Row],[AverageScore]]&gt;=85,"Advanced",StudentsTable[[#This Row],[AverageScore]]&gt;=70,"Intermediate",StudentsTable[[#This Row],[AverageScore]]&gt;=60,"Basic",TRUE,"Needs Help")</f>
        <v>Basic</v>
      </c>
      <c r="N858">
        <f>RANK(StudentsTable[[#This Row],[AverageScore]],StudentsTable[AverageScore])</f>
        <v>465</v>
      </c>
      <c r="O858">
        <f>(StudentsTable[[#This Row],[AverageScore]]-MIN(StudentsTable[AverageScore]))/(MAX(StudentsTable[AverageScore])-MIN(StudentsTable[AverageScore]))*100</f>
        <v>66.300366300366292</v>
      </c>
    </row>
    <row r="859" spans="1:15" x14ac:dyDescent="0.3">
      <c r="A859" t="s">
        <v>8</v>
      </c>
      <c r="B859" t="s">
        <v>13</v>
      </c>
      <c r="C859" t="s">
        <v>10</v>
      </c>
      <c r="D859" t="s">
        <v>11</v>
      </c>
      <c r="E859" t="s">
        <v>12</v>
      </c>
      <c r="F859">
        <v>65</v>
      </c>
      <c r="G859">
        <v>79</v>
      </c>
      <c r="H859">
        <v>81</v>
      </c>
      <c r="I859">
        <f>StudentsTable[[#This Row],[math score]]+StudentsTable[[#This Row],[reading score]]+StudentsTable[[#This Row],[writing score]]</f>
        <v>225</v>
      </c>
      <c r="J859">
        <f>StudentsTable[[#This Row],[TotalScore]]/3</f>
        <v>75</v>
      </c>
      <c r="K859" t="str" cm="1">
        <f t="array" ref="K859">_xlfn.IFS(StudentsTable[[#This Row],[AverageScore]]&gt;=90,"A",StudentsTable[[#This Row],[AverageScore]]&gt;=80,"B",StudentsTable[[#This Row],[AverageScore]]&gt;=70,"C",StudentsTable[[#This Row],[AverageScore]]&gt;=60,"D",TRUE,"F")</f>
        <v>C</v>
      </c>
      <c r="L859" t="str">
        <f>IF(StudentsTable[[#This Row],[AverageScore]]&gt;=60,"Pass","Fail")</f>
        <v>Pass</v>
      </c>
      <c r="M859" t="str" cm="1">
        <f t="array" ref="M859">_xlfn.IFS(StudentsTable[[#This Row],[AverageScore]]&gt;=85,"Advanced",StudentsTable[[#This Row],[AverageScore]]&gt;=70,"Intermediate",StudentsTable[[#This Row],[AverageScore]]&gt;=60,"Basic",TRUE,"Needs Help")</f>
        <v>Intermediate</v>
      </c>
      <c r="N859">
        <f>RANK(StudentsTable[[#This Row],[AverageScore]],StudentsTable[AverageScore])</f>
        <v>314</v>
      </c>
      <c r="O859">
        <f>(StudentsTable[[#This Row],[AverageScore]]-MIN(StudentsTable[AverageScore]))/(MAX(StudentsTable[AverageScore])-MIN(StudentsTable[AverageScore]))*100</f>
        <v>72.527472527472526</v>
      </c>
    </row>
    <row r="860" spans="1:15" x14ac:dyDescent="0.3">
      <c r="A860" t="s">
        <v>17</v>
      </c>
      <c r="B860" t="s">
        <v>9</v>
      </c>
      <c r="C860" t="s">
        <v>22</v>
      </c>
      <c r="D860" t="s">
        <v>11</v>
      </c>
      <c r="E860" t="s">
        <v>15</v>
      </c>
      <c r="F860">
        <v>52</v>
      </c>
      <c r="G860">
        <v>49</v>
      </c>
      <c r="H860">
        <v>46</v>
      </c>
      <c r="I860">
        <f>StudentsTable[[#This Row],[math score]]+StudentsTable[[#This Row],[reading score]]+StudentsTable[[#This Row],[writing score]]</f>
        <v>147</v>
      </c>
      <c r="J860">
        <f>StudentsTable[[#This Row],[TotalScore]]/3</f>
        <v>49</v>
      </c>
      <c r="K860" t="str" cm="1">
        <f t="array" ref="K860">_xlfn.IFS(StudentsTable[[#This Row],[AverageScore]]&gt;=90,"A",StudentsTable[[#This Row],[AverageScore]]&gt;=80,"B",StudentsTable[[#This Row],[AverageScore]]&gt;=70,"C",StudentsTable[[#This Row],[AverageScore]]&gt;=60,"D",TRUE,"F")</f>
        <v>F</v>
      </c>
      <c r="L860" t="str">
        <f>IF(StudentsTable[[#This Row],[AverageScore]]&gt;=60,"Pass","Fail")</f>
        <v>Fail</v>
      </c>
      <c r="M860" t="str" cm="1">
        <f t="array" ref="M860">_xlfn.IFS(StudentsTable[[#This Row],[AverageScore]]&gt;=85,"Advanced",StudentsTable[[#This Row],[AverageScore]]&gt;=70,"Intermediate",StudentsTable[[#This Row],[AverageScore]]&gt;=60,"Basic",TRUE,"Needs Help")</f>
        <v>Needs Help</v>
      </c>
      <c r="N860">
        <f>RANK(StudentsTable[[#This Row],[AverageScore]],StudentsTable[AverageScore])</f>
        <v>905</v>
      </c>
      <c r="O860">
        <f>(StudentsTable[[#This Row],[AverageScore]]-MIN(StudentsTable[AverageScore]))/(MAX(StudentsTable[AverageScore])-MIN(StudentsTable[AverageScore]))*100</f>
        <v>43.956043956043956</v>
      </c>
    </row>
    <row r="861" spans="1:15" x14ac:dyDescent="0.3">
      <c r="A861" t="s">
        <v>17</v>
      </c>
      <c r="B861" t="s">
        <v>13</v>
      </c>
      <c r="C861" t="s">
        <v>19</v>
      </c>
      <c r="D861" t="s">
        <v>20</v>
      </c>
      <c r="E861" t="s">
        <v>12</v>
      </c>
      <c r="F861">
        <v>87</v>
      </c>
      <c r="G861">
        <v>73</v>
      </c>
      <c r="H861">
        <v>72</v>
      </c>
      <c r="I861">
        <f>StudentsTable[[#This Row],[math score]]+StudentsTable[[#This Row],[reading score]]+StudentsTable[[#This Row],[writing score]]</f>
        <v>232</v>
      </c>
      <c r="J861">
        <f>StudentsTable[[#This Row],[TotalScore]]/3</f>
        <v>77.333333333333329</v>
      </c>
      <c r="K861" t="str" cm="1">
        <f t="array" ref="K861">_xlfn.IFS(StudentsTable[[#This Row],[AverageScore]]&gt;=90,"A",StudentsTable[[#This Row],[AverageScore]]&gt;=80,"B",StudentsTable[[#This Row],[AverageScore]]&gt;=70,"C",StudentsTable[[#This Row],[AverageScore]]&gt;=60,"D",TRUE,"F")</f>
        <v>C</v>
      </c>
      <c r="L861" t="str">
        <f>IF(StudentsTable[[#This Row],[AverageScore]]&gt;=60,"Pass","Fail")</f>
        <v>Pass</v>
      </c>
      <c r="M861" t="str" cm="1">
        <f t="array" ref="M861">_xlfn.IFS(StudentsTable[[#This Row],[AverageScore]]&gt;=85,"Advanced",StudentsTable[[#This Row],[AverageScore]]&gt;=70,"Intermediate",StudentsTable[[#This Row],[AverageScore]]&gt;=60,"Basic",TRUE,"Needs Help")</f>
        <v>Intermediate</v>
      </c>
      <c r="N861">
        <f>RANK(StudentsTable[[#This Row],[AverageScore]],StudentsTable[AverageScore])</f>
        <v>255</v>
      </c>
      <c r="O861">
        <f>(StudentsTable[[#This Row],[AverageScore]]-MIN(StudentsTable[AverageScore]))/(MAX(StudentsTable[AverageScore])-MIN(StudentsTable[AverageScore]))*100</f>
        <v>75.091575091575095</v>
      </c>
    </row>
    <row r="862" spans="1:15" x14ac:dyDescent="0.3">
      <c r="A862" t="s">
        <v>8</v>
      </c>
      <c r="B862" t="s">
        <v>13</v>
      </c>
      <c r="C862" t="s">
        <v>19</v>
      </c>
      <c r="D862" t="s">
        <v>11</v>
      </c>
      <c r="E862" t="s">
        <v>12</v>
      </c>
      <c r="F862">
        <v>53</v>
      </c>
      <c r="G862">
        <v>62</v>
      </c>
      <c r="H862">
        <v>53</v>
      </c>
      <c r="I862">
        <f>StudentsTable[[#This Row],[math score]]+StudentsTable[[#This Row],[reading score]]+StudentsTable[[#This Row],[writing score]]</f>
        <v>168</v>
      </c>
      <c r="J862">
        <f>StudentsTable[[#This Row],[TotalScore]]/3</f>
        <v>56</v>
      </c>
      <c r="K862" t="str" cm="1">
        <f t="array" ref="K862">_xlfn.IFS(StudentsTable[[#This Row],[AverageScore]]&gt;=90,"A",StudentsTable[[#This Row],[AverageScore]]&gt;=80,"B",StudentsTable[[#This Row],[AverageScore]]&gt;=70,"C",StudentsTable[[#This Row],[AverageScore]]&gt;=60,"D",TRUE,"F")</f>
        <v>F</v>
      </c>
      <c r="L862" t="str">
        <f>IF(StudentsTable[[#This Row],[AverageScore]]&gt;=60,"Pass","Fail")</f>
        <v>Fail</v>
      </c>
      <c r="M862" t="str" cm="1">
        <f t="array" ref="M862">_xlfn.IFS(StudentsTable[[#This Row],[AverageScore]]&gt;=85,"Advanced",StudentsTable[[#This Row],[AverageScore]]&gt;=70,"Intermediate",StudentsTable[[#This Row],[AverageScore]]&gt;=60,"Basic",TRUE,"Needs Help")</f>
        <v>Needs Help</v>
      </c>
      <c r="N862">
        <f>RANK(StudentsTable[[#This Row],[AverageScore]],StudentsTable[AverageScore])</f>
        <v>786</v>
      </c>
      <c r="O862">
        <f>(StudentsTable[[#This Row],[AverageScore]]-MIN(StudentsTable[AverageScore]))/(MAX(StudentsTable[AverageScore])-MIN(StudentsTable[AverageScore]))*100</f>
        <v>51.648351648351657</v>
      </c>
    </row>
    <row r="863" spans="1:15" x14ac:dyDescent="0.3">
      <c r="A863" t="s">
        <v>8</v>
      </c>
      <c r="B863" t="s">
        <v>24</v>
      </c>
      <c r="C863" t="s">
        <v>16</v>
      </c>
      <c r="D863" t="s">
        <v>20</v>
      </c>
      <c r="E863" t="s">
        <v>12</v>
      </c>
      <c r="F863">
        <v>81</v>
      </c>
      <c r="G863">
        <v>86</v>
      </c>
      <c r="H863">
        <v>87</v>
      </c>
      <c r="I863">
        <f>StudentsTable[[#This Row],[math score]]+StudentsTable[[#This Row],[reading score]]+StudentsTable[[#This Row],[writing score]]</f>
        <v>254</v>
      </c>
      <c r="J863">
        <f>StudentsTable[[#This Row],[TotalScore]]/3</f>
        <v>84.666666666666671</v>
      </c>
      <c r="K863" t="str" cm="1">
        <f t="array" ref="K863">_xlfn.IFS(StudentsTable[[#This Row],[AverageScore]]&gt;=90,"A",StudentsTable[[#This Row],[AverageScore]]&gt;=80,"B",StudentsTable[[#This Row],[AverageScore]]&gt;=70,"C",StudentsTable[[#This Row],[AverageScore]]&gt;=60,"D",TRUE,"F")</f>
        <v>B</v>
      </c>
      <c r="L863" t="str">
        <f>IF(StudentsTable[[#This Row],[AverageScore]]&gt;=60,"Pass","Fail")</f>
        <v>Pass</v>
      </c>
      <c r="M863" t="str" cm="1">
        <f t="array" ref="M863">_xlfn.IFS(StudentsTable[[#This Row],[AverageScore]]&gt;=85,"Advanced",StudentsTable[[#This Row],[AverageScore]]&gt;=70,"Intermediate",StudentsTable[[#This Row],[AverageScore]]&gt;=60,"Basic",TRUE,"Needs Help")</f>
        <v>Intermediate</v>
      </c>
      <c r="N863">
        <f>RANK(StudentsTable[[#This Row],[AverageScore]],StudentsTable[AverageScore])</f>
        <v>117</v>
      </c>
      <c r="O863">
        <f>(StudentsTable[[#This Row],[AverageScore]]-MIN(StudentsTable[AverageScore]))/(MAX(StudentsTable[AverageScore])-MIN(StudentsTable[AverageScore]))*100</f>
        <v>83.150183150183153</v>
      </c>
    </row>
    <row r="864" spans="1:15" x14ac:dyDescent="0.3">
      <c r="A864" t="s">
        <v>17</v>
      </c>
      <c r="B864" t="s">
        <v>21</v>
      </c>
      <c r="C864" t="s">
        <v>10</v>
      </c>
      <c r="D864" t="s">
        <v>20</v>
      </c>
      <c r="E864" t="s">
        <v>15</v>
      </c>
      <c r="F864">
        <v>39</v>
      </c>
      <c r="G864">
        <v>42</v>
      </c>
      <c r="H864">
        <v>38</v>
      </c>
      <c r="I864">
        <f>StudentsTable[[#This Row],[math score]]+StudentsTable[[#This Row],[reading score]]+StudentsTable[[#This Row],[writing score]]</f>
        <v>119</v>
      </c>
      <c r="J864">
        <f>StudentsTable[[#This Row],[TotalScore]]/3</f>
        <v>39.666666666666664</v>
      </c>
      <c r="K864" t="str" cm="1">
        <f t="array" ref="K864">_xlfn.IFS(StudentsTable[[#This Row],[AverageScore]]&gt;=90,"A",StudentsTable[[#This Row],[AverageScore]]&gt;=80,"B",StudentsTable[[#This Row],[AverageScore]]&gt;=70,"C",StudentsTable[[#This Row],[AverageScore]]&gt;=60,"D",TRUE,"F")</f>
        <v>F</v>
      </c>
      <c r="L864" t="str">
        <f>IF(StudentsTable[[#This Row],[AverageScore]]&gt;=60,"Pass","Fail")</f>
        <v>Fail</v>
      </c>
      <c r="M864" t="str" cm="1">
        <f t="array" ref="M864">_xlfn.IFS(StudentsTable[[#This Row],[AverageScore]]&gt;=85,"Advanced",StudentsTable[[#This Row],[AverageScore]]&gt;=70,"Intermediate",StudentsTable[[#This Row],[AverageScore]]&gt;=60,"Basic",TRUE,"Needs Help")</f>
        <v>Needs Help</v>
      </c>
      <c r="N864">
        <f>RANK(StudentsTable[[#This Row],[AverageScore]],StudentsTable[AverageScore])</f>
        <v>971</v>
      </c>
      <c r="O864">
        <f>(StudentsTable[[#This Row],[AverageScore]]-MIN(StudentsTable[AverageScore]))/(MAX(StudentsTable[AverageScore])-MIN(StudentsTable[AverageScore]))*100</f>
        <v>33.699633699633694</v>
      </c>
    </row>
    <row r="865" spans="1:15" x14ac:dyDescent="0.3">
      <c r="A865" t="s">
        <v>8</v>
      </c>
      <c r="B865" t="s">
        <v>13</v>
      </c>
      <c r="C865" t="s">
        <v>14</v>
      </c>
      <c r="D865" t="s">
        <v>11</v>
      </c>
      <c r="E865" t="s">
        <v>15</v>
      </c>
      <c r="F865">
        <v>71</v>
      </c>
      <c r="G865">
        <v>71</v>
      </c>
      <c r="H865">
        <v>80</v>
      </c>
      <c r="I865">
        <f>StudentsTable[[#This Row],[math score]]+StudentsTable[[#This Row],[reading score]]+StudentsTable[[#This Row],[writing score]]</f>
        <v>222</v>
      </c>
      <c r="J865">
        <f>StudentsTable[[#This Row],[TotalScore]]/3</f>
        <v>74</v>
      </c>
      <c r="K865" t="str" cm="1">
        <f t="array" ref="K865">_xlfn.IFS(StudentsTable[[#This Row],[AverageScore]]&gt;=90,"A",StudentsTable[[#This Row],[AverageScore]]&gt;=80,"B",StudentsTable[[#This Row],[AverageScore]]&gt;=70,"C",StudentsTable[[#This Row],[AverageScore]]&gt;=60,"D",TRUE,"F")</f>
        <v>C</v>
      </c>
      <c r="L865" t="str">
        <f>IF(StudentsTable[[#This Row],[AverageScore]]&gt;=60,"Pass","Fail")</f>
        <v>Pass</v>
      </c>
      <c r="M865" t="str" cm="1">
        <f t="array" ref="M865">_xlfn.IFS(StudentsTable[[#This Row],[AverageScore]]&gt;=85,"Advanced",StudentsTable[[#This Row],[AverageScore]]&gt;=70,"Intermediate",StudentsTable[[#This Row],[AverageScore]]&gt;=60,"Basic",TRUE,"Needs Help")</f>
        <v>Intermediate</v>
      </c>
      <c r="N865">
        <f>RANK(StudentsTable[[#This Row],[AverageScore]],StudentsTable[AverageScore])</f>
        <v>345</v>
      </c>
      <c r="O865">
        <f>(StudentsTable[[#This Row],[AverageScore]]-MIN(StudentsTable[AverageScore]))/(MAX(StudentsTable[AverageScore])-MIN(StudentsTable[AverageScore]))*100</f>
        <v>71.428571428571431</v>
      </c>
    </row>
    <row r="866" spans="1:15" x14ac:dyDescent="0.3">
      <c r="A866" t="s">
        <v>17</v>
      </c>
      <c r="B866" t="s">
        <v>13</v>
      </c>
      <c r="C866" t="s">
        <v>19</v>
      </c>
      <c r="D866" t="s">
        <v>11</v>
      </c>
      <c r="E866" t="s">
        <v>12</v>
      </c>
      <c r="F866">
        <v>97</v>
      </c>
      <c r="G866">
        <v>93</v>
      </c>
      <c r="H866">
        <v>91</v>
      </c>
      <c r="I866">
        <f>StudentsTable[[#This Row],[math score]]+StudentsTable[[#This Row],[reading score]]+StudentsTable[[#This Row],[writing score]]</f>
        <v>281</v>
      </c>
      <c r="J866">
        <f>StudentsTable[[#This Row],[TotalScore]]/3</f>
        <v>93.666666666666671</v>
      </c>
      <c r="K866" t="str" cm="1">
        <f t="array" ref="K866">_xlfn.IFS(StudentsTable[[#This Row],[AverageScore]]&gt;=90,"A",StudentsTable[[#This Row],[AverageScore]]&gt;=80,"B",StudentsTable[[#This Row],[AverageScore]]&gt;=70,"C",StudentsTable[[#This Row],[AverageScore]]&gt;=60,"D",TRUE,"F")</f>
        <v>A</v>
      </c>
      <c r="L866" t="str">
        <f>IF(StudentsTable[[#This Row],[AverageScore]]&gt;=60,"Pass","Fail")</f>
        <v>Pass</v>
      </c>
      <c r="M866" t="str" cm="1">
        <f t="array" ref="M866">_xlfn.IFS(StudentsTable[[#This Row],[AverageScore]]&gt;=85,"Advanced",StudentsTable[[#This Row],[AverageScore]]&gt;=70,"Intermediate",StudentsTable[[#This Row],[AverageScore]]&gt;=60,"Basic",TRUE,"Needs Help")</f>
        <v>Advanced</v>
      </c>
      <c r="N866">
        <f>RANK(StudentsTable[[#This Row],[AverageScore]],StudentsTable[AverageScore])</f>
        <v>27</v>
      </c>
      <c r="O866">
        <f>(StudentsTable[[#This Row],[AverageScore]]-MIN(StudentsTable[AverageScore]))/(MAX(StudentsTable[AverageScore])-MIN(StudentsTable[AverageScore]))*100</f>
        <v>93.040293040293037</v>
      </c>
    </row>
    <row r="867" spans="1:15" x14ac:dyDescent="0.3">
      <c r="A867" t="s">
        <v>17</v>
      </c>
      <c r="B867" t="s">
        <v>21</v>
      </c>
      <c r="C867" t="s">
        <v>14</v>
      </c>
      <c r="D867" t="s">
        <v>11</v>
      </c>
      <c r="E867" t="s">
        <v>15</v>
      </c>
      <c r="F867">
        <v>82</v>
      </c>
      <c r="G867">
        <v>82</v>
      </c>
      <c r="H867">
        <v>88</v>
      </c>
      <c r="I867">
        <f>StudentsTable[[#This Row],[math score]]+StudentsTable[[#This Row],[reading score]]+StudentsTable[[#This Row],[writing score]]</f>
        <v>252</v>
      </c>
      <c r="J867">
        <f>StudentsTable[[#This Row],[TotalScore]]/3</f>
        <v>84</v>
      </c>
      <c r="K867" t="str" cm="1">
        <f t="array" ref="K867">_xlfn.IFS(StudentsTable[[#This Row],[AverageScore]]&gt;=90,"A",StudentsTable[[#This Row],[AverageScore]]&gt;=80,"B",StudentsTable[[#This Row],[AverageScore]]&gt;=70,"C",StudentsTable[[#This Row],[AverageScore]]&gt;=60,"D",TRUE,"F")</f>
        <v>B</v>
      </c>
      <c r="L867" t="str">
        <f>IF(StudentsTable[[#This Row],[AverageScore]]&gt;=60,"Pass","Fail")</f>
        <v>Pass</v>
      </c>
      <c r="M867" t="str" cm="1">
        <f t="array" ref="M867">_xlfn.IFS(StudentsTable[[#This Row],[AverageScore]]&gt;=85,"Advanced",StudentsTable[[#This Row],[AverageScore]]&gt;=70,"Intermediate",StudentsTable[[#This Row],[AverageScore]]&gt;=60,"Basic",TRUE,"Needs Help")</f>
        <v>Intermediate</v>
      </c>
      <c r="N867">
        <f>RANK(StudentsTable[[#This Row],[AverageScore]],StudentsTable[AverageScore])</f>
        <v>123</v>
      </c>
      <c r="O867">
        <f>(StudentsTable[[#This Row],[AverageScore]]-MIN(StudentsTable[AverageScore]))/(MAX(StudentsTable[AverageScore])-MIN(StudentsTable[AverageScore]))*100</f>
        <v>82.417582417582409</v>
      </c>
    </row>
    <row r="868" spans="1:15" x14ac:dyDescent="0.3">
      <c r="A868" t="s">
        <v>17</v>
      </c>
      <c r="B868" t="s">
        <v>13</v>
      </c>
      <c r="C868" t="s">
        <v>22</v>
      </c>
      <c r="D868" t="s">
        <v>20</v>
      </c>
      <c r="E868" t="s">
        <v>12</v>
      </c>
      <c r="F868">
        <v>59</v>
      </c>
      <c r="G868">
        <v>53</v>
      </c>
      <c r="H868">
        <v>52</v>
      </c>
      <c r="I868">
        <f>StudentsTable[[#This Row],[math score]]+StudentsTable[[#This Row],[reading score]]+StudentsTable[[#This Row],[writing score]]</f>
        <v>164</v>
      </c>
      <c r="J868">
        <f>StudentsTable[[#This Row],[TotalScore]]/3</f>
        <v>54.666666666666664</v>
      </c>
      <c r="K868" t="str" cm="1">
        <f t="array" ref="K868">_xlfn.IFS(StudentsTable[[#This Row],[AverageScore]]&gt;=90,"A",StudentsTable[[#This Row],[AverageScore]]&gt;=80,"B",StudentsTable[[#This Row],[AverageScore]]&gt;=70,"C",StudentsTable[[#This Row],[AverageScore]]&gt;=60,"D",TRUE,"F")</f>
        <v>F</v>
      </c>
      <c r="L868" t="str">
        <f>IF(StudentsTable[[#This Row],[AverageScore]]&gt;=60,"Pass","Fail")</f>
        <v>Fail</v>
      </c>
      <c r="M868" t="str" cm="1">
        <f t="array" ref="M868">_xlfn.IFS(StudentsTable[[#This Row],[AverageScore]]&gt;=85,"Advanced",StudentsTable[[#This Row],[AverageScore]]&gt;=70,"Intermediate",StudentsTable[[#This Row],[AverageScore]]&gt;=60,"Basic",TRUE,"Needs Help")</f>
        <v>Needs Help</v>
      </c>
      <c r="N868">
        <f>RANK(StudentsTable[[#This Row],[AverageScore]],StudentsTable[AverageScore])</f>
        <v>810</v>
      </c>
      <c r="O868">
        <f>(StudentsTable[[#This Row],[AverageScore]]-MIN(StudentsTable[AverageScore]))/(MAX(StudentsTable[AverageScore])-MIN(StudentsTable[AverageScore]))*100</f>
        <v>50.183150183150182</v>
      </c>
    </row>
    <row r="869" spans="1:15" x14ac:dyDescent="0.3">
      <c r="A869" t="s">
        <v>17</v>
      </c>
      <c r="B869" t="s">
        <v>9</v>
      </c>
      <c r="C869" t="s">
        <v>19</v>
      </c>
      <c r="D869" t="s">
        <v>11</v>
      </c>
      <c r="E869" t="s">
        <v>12</v>
      </c>
      <c r="F869">
        <v>61</v>
      </c>
      <c r="G869">
        <v>42</v>
      </c>
      <c r="H869">
        <v>41</v>
      </c>
      <c r="I869">
        <f>StudentsTable[[#This Row],[math score]]+StudentsTable[[#This Row],[reading score]]+StudentsTable[[#This Row],[writing score]]</f>
        <v>144</v>
      </c>
      <c r="J869">
        <f>StudentsTable[[#This Row],[TotalScore]]/3</f>
        <v>48</v>
      </c>
      <c r="K869" t="str" cm="1">
        <f t="array" ref="K869">_xlfn.IFS(StudentsTable[[#This Row],[AverageScore]]&gt;=90,"A",StudentsTable[[#This Row],[AverageScore]]&gt;=80,"B",StudentsTable[[#This Row],[AverageScore]]&gt;=70,"C",StudentsTable[[#This Row],[AverageScore]]&gt;=60,"D",TRUE,"F")</f>
        <v>F</v>
      </c>
      <c r="L869" t="str">
        <f>IF(StudentsTable[[#This Row],[AverageScore]]&gt;=60,"Pass","Fail")</f>
        <v>Fail</v>
      </c>
      <c r="M869" t="str" cm="1">
        <f t="array" ref="M869">_xlfn.IFS(StudentsTable[[#This Row],[AverageScore]]&gt;=85,"Advanced",StudentsTable[[#This Row],[AverageScore]]&gt;=70,"Intermediate",StudentsTable[[#This Row],[AverageScore]]&gt;=60,"Basic",TRUE,"Needs Help")</f>
        <v>Needs Help</v>
      </c>
      <c r="N869">
        <f>RANK(StudentsTable[[#This Row],[AverageScore]],StudentsTable[AverageScore])</f>
        <v>921</v>
      </c>
      <c r="O869">
        <f>(StudentsTable[[#This Row],[AverageScore]]-MIN(StudentsTable[AverageScore]))/(MAX(StudentsTable[AverageScore])-MIN(StudentsTable[AverageScore]))*100</f>
        <v>42.857142857142854</v>
      </c>
    </row>
    <row r="870" spans="1:15" x14ac:dyDescent="0.3">
      <c r="A870" t="s">
        <v>17</v>
      </c>
      <c r="B870" t="s">
        <v>24</v>
      </c>
      <c r="C870" t="s">
        <v>19</v>
      </c>
      <c r="D870" t="s">
        <v>20</v>
      </c>
      <c r="E870" t="s">
        <v>15</v>
      </c>
      <c r="F870">
        <v>78</v>
      </c>
      <c r="G870">
        <v>74</v>
      </c>
      <c r="H870">
        <v>72</v>
      </c>
      <c r="I870">
        <f>StudentsTable[[#This Row],[math score]]+StudentsTable[[#This Row],[reading score]]+StudentsTable[[#This Row],[writing score]]</f>
        <v>224</v>
      </c>
      <c r="J870">
        <f>StudentsTable[[#This Row],[TotalScore]]/3</f>
        <v>74.666666666666671</v>
      </c>
      <c r="K870" t="str" cm="1">
        <f t="array" ref="K870">_xlfn.IFS(StudentsTable[[#This Row],[AverageScore]]&gt;=90,"A",StudentsTable[[#This Row],[AverageScore]]&gt;=80,"B",StudentsTable[[#This Row],[AverageScore]]&gt;=70,"C",StudentsTable[[#This Row],[AverageScore]]&gt;=60,"D",TRUE,"F")</f>
        <v>C</v>
      </c>
      <c r="L870" t="str">
        <f>IF(StudentsTable[[#This Row],[AverageScore]]&gt;=60,"Pass","Fail")</f>
        <v>Pass</v>
      </c>
      <c r="M870" t="str" cm="1">
        <f t="array" ref="M870">_xlfn.IFS(StudentsTable[[#This Row],[AverageScore]]&gt;=85,"Advanced",StudentsTable[[#This Row],[AverageScore]]&gt;=70,"Intermediate",StudentsTable[[#This Row],[AverageScore]]&gt;=60,"Basic",TRUE,"Needs Help")</f>
        <v>Intermediate</v>
      </c>
      <c r="N870">
        <f>RANK(StudentsTable[[#This Row],[AverageScore]],StudentsTable[AverageScore])</f>
        <v>325</v>
      </c>
      <c r="O870">
        <f>(StudentsTable[[#This Row],[AverageScore]]-MIN(StudentsTable[AverageScore]))/(MAX(StudentsTable[AverageScore])-MIN(StudentsTable[AverageScore]))*100</f>
        <v>72.161172161172175</v>
      </c>
    </row>
    <row r="871" spans="1:15" x14ac:dyDescent="0.3">
      <c r="A871" t="s">
        <v>17</v>
      </c>
      <c r="B871" t="s">
        <v>13</v>
      </c>
      <c r="C871" t="s">
        <v>19</v>
      </c>
      <c r="D871" t="s">
        <v>20</v>
      </c>
      <c r="E871" t="s">
        <v>12</v>
      </c>
      <c r="F871">
        <v>49</v>
      </c>
      <c r="G871">
        <v>51</v>
      </c>
      <c r="H871">
        <v>51</v>
      </c>
      <c r="I871">
        <f>StudentsTable[[#This Row],[math score]]+StudentsTable[[#This Row],[reading score]]+StudentsTable[[#This Row],[writing score]]</f>
        <v>151</v>
      </c>
      <c r="J871">
        <f>StudentsTable[[#This Row],[TotalScore]]/3</f>
        <v>50.333333333333336</v>
      </c>
      <c r="K871" t="str" cm="1">
        <f t="array" ref="K871">_xlfn.IFS(StudentsTable[[#This Row],[AverageScore]]&gt;=90,"A",StudentsTable[[#This Row],[AverageScore]]&gt;=80,"B",StudentsTable[[#This Row],[AverageScore]]&gt;=70,"C",StudentsTable[[#This Row],[AverageScore]]&gt;=60,"D",TRUE,"F")</f>
        <v>F</v>
      </c>
      <c r="L871" t="str">
        <f>IF(StudentsTable[[#This Row],[AverageScore]]&gt;=60,"Pass","Fail")</f>
        <v>Fail</v>
      </c>
      <c r="M871" t="str" cm="1">
        <f t="array" ref="M871">_xlfn.IFS(StudentsTable[[#This Row],[AverageScore]]&gt;=85,"Advanced",StudentsTable[[#This Row],[AverageScore]]&gt;=70,"Intermediate",StudentsTable[[#This Row],[AverageScore]]&gt;=60,"Basic",TRUE,"Needs Help")</f>
        <v>Needs Help</v>
      </c>
      <c r="N871">
        <f>RANK(StudentsTable[[#This Row],[AverageScore]],StudentsTable[AverageScore])</f>
        <v>884</v>
      </c>
      <c r="O871">
        <f>(StudentsTable[[#This Row],[AverageScore]]-MIN(StudentsTable[AverageScore]))/(MAX(StudentsTable[AverageScore])-MIN(StudentsTable[AverageScore]))*100</f>
        <v>45.421245421245423</v>
      </c>
    </row>
    <row r="872" spans="1:15" x14ac:dyDescent="0.3">
      <c r="A872" t="s">
        <v>17</v>
      </c>
      <c r="B872" t="s">
        <v>9</v>
      </c>
      <c r="C872" t="s">
        <v>22</v>
      </c>
      <c r="D872" t="s">
        <v>11</v>
      </c>
      <c r="E872" t="s">
        <v>12</v>
      </c>
      <c r="F872">
        <v>59</v>
      </c>
      <c r="G872">
        <v>58</v>
      </c>
      <c r="H872">
        <v>47</v>
      </c>
      <c r="I872">
        <f>StudentsTable[[#This Row],[math score]]+StudentsTable[[#This Row],[reading score]]+StudentsTable[[#This Row],[writing score]]</f>
        <v>164</v>
      </c>
      <c r="J872">
        <f>StudentsTable[[#This Row],[TotalScore]]/3</f>
        <v>54.666666666666664</v>
      </c>
      <c r="K872" t="str" cm="1">
        <f t="array" ref="K872">_xlfn.IFS(StudentsTable[[#This Row],[AverageScore]]&gt;=90,"A",StudentsTable[[#This Row],[AverageScore]]&gt;=80,"B",StudentsTable[[#This Row],[AverageScore]]&gt;=70,"C",StudentsTable[[#This Row],[AverageScore]]&gt;=60,"D",TRUE,"F")</f>
        <v>F</v>
      </c>
      <c r="L872" t="str">
        <f>IF(StudentsTable[[#This Row],[AverageScore]]&gt;=60,"Pass","Fail")</f>
        <v>Fail</v>
      </c>
      <c r="M872" t="str" cm="1">
        <f t="array" ref="M872">_xlfn.IFS(StudentsTable[[#This Row],[AverageScore]]&gt;=85,"Advanced",StudentsTable[[#This Row],[AverageScore]]&gt;=70,"Intermediate",StudentsTable[[#This Row],[AverageScore]]&gt;=60,"Basic",TRUE,"Needs Help")</f>
        <v>Needs Help</v>
      </c>
      <c r="N872">
        <f>RANK(StudentsTable[[#This Row],[AverageScore]],StudentsTable[AverageScore])</f>
        <v>810</v>
      </c>
      <c r="O872">
        <f>(StudentsTable[[#This Row],[AverageScore]]-MIN(StudentsTable[AverageScore]))/(MAX(StudentsTable[AverageScore])-MIN(StudentsTable[AverageScore]))*100</f>
        <v>50.183150183150182</v>
      </c>
    </row>
    <row r="873" spans="1:15" x14ac:dyDescent="0.3">
      <c r="A873" t="s">
        <v>8</v>
      </c>
      <c r="B873" t="s">
        <v>13</v>
      </c>
      <c r="C873" t="s">
        <v>14</v>
      </c>
      <c r="D873" t="s">
        <v>11</v>
      </c>
      <c r="E873" t="s">
        <v>15</v>
      </c>
      <c r="F873">
        <v>70</v>
      </c>
      <c r="G873">
        <v>72</v>
      </c>
      <c r="H873">
        <v>76</v>
      </c>
      <c r="I873">
        <f>StudentsTable[[#This Row],[math score]]+StudentsTable[[#This Row],[reading score]]+StudentsTable[[#This Row],[writing score]]</f>
        <v>218</v>
      </c>
      <c r="J873">
        <f>StudentsTable[[#This Row],[TotalScore]]/3</f>
        <v>72.666666666666671</v>
      </c>
      <c r="K873" t="str" cm="1">
        <f t="array" ref="K873">_xlfn.IFS(StudentsTable[[#This Row],[AverageScore]]&gt;=90,"A",StudentsTable[[#This Row],[AverageScore]]&gt;=80,"B",StudentsTable[[#This Row],[AverageScore]]&gt;=70,"C",StudentsTable[[#This Row],[AverageScore]]&gt;=60,"D",TRUE,"F")</f>
        <v>C</v>
      </c>
      <c r="L873" t="str">
        <f>IF(StudentsTable[[#This Row],[AverageScore]]&gt;=60,"Pass","Fail")</f>
        <v>Pass</v>
      </c>
      <c r="M873" t="str" cm="1">
        <f t="array" ref="M873">_xlfn.IFS(StudentsTable[[#This Row],[AverageScore]]&gt;=85,"Advanced",StudentsTable[[#This Row],[AverageScore]]&gt;=70,"Intermediate",StudentsTable[[#This Row],[AverageScore]]&gt;=60,"Basic",TRUE,"Needs Help")</f>
        <v>Intermediate</v>
      </c>
      <c r="N873">
        <f>RANK(StudentsTable[[#This Row],[AverageScore]],StudentsTable[AverageScore])</f>
        <v>379</v>
      </c>
      <c r="O873">
        <f>(StudentsTable[[#This Row],[AverageScore]]-MIN(StudentsTable[AverageScore]))/(MAX(StudentsTable[AverageScore])-MIN(StudentsTable[AverageScore]))*100</f>
        <v>69.963369963369971</v>
      </c>
    </row>
    <row r="874" spans="1:15" x14ac:dyDescent="0.3">
      <c r="A874" t="s">
        <v>17</v>
      </c>
      <c r="B874" t="s">
        <v>9</v>
      </c>
      <c r="C874" t="s">
        <v>19</v>
      </c>
      <c r="D874" t="s">
        <v>11</v>
      </c>
      <c r="E874" t="s">
        <v>15</v>
      </c>
      <c r="F874">
        <v>82</v>
      </c>
      <c r="G874">
        <v>84</v>
      </c>
      <c r="H874">
        <v>78</v>
      </c>
      <c r="I874">
        <f>StudentsTable[[#This Row],[math score]]+StudentsTable[[#This Row],[reading score]]+StudentsTable[[#This Row],[writing score]]</f>
        <v>244</v>
      </c>
      <c r="J874">
        <f>StudentsTable[[#This Row],[TotalScore]]/3</f>
        <v>81.333333333333329</v>
      </c>
      <c r="K874" t="str" cm="1">
        <f t="array" ref="K874">_xlfn.IFS(StudentsTable[[#This Row],[AverageScore]]&gt;=90,"A",StudentsTable[[#This Row],[AverageScore]]&gt;=80,"B",StudentsTable[[#This Row],[AverageScore]]&gt;=70,"C",StudentsTable[[#This Row],[AverageScore]]&gt;=60,"D",TRUE,"F")</f>
        <v>B</v>
      </c>
      <c r="L874" t="str">
        <f>IF(StudentsTable[[#This Row],[AverageScore]]&gt;=60,"Pass","Fail")</f>
        <v>Pass</v>
      </c>
      <c r="M874" t="str" cm="1">
        <f t="array" ref="M874">_xlfn.IFS(StudentsTable[[#This Row],[AverageScore]]&gt;=85,"Advanced",StudentsTable[[#This Row],[AverageScore]]&gt;=70,"Intermediate",StudentsTable[[#This Row],[AverageScore]]&gt;=60,"Basic",TRUE,"Needs Help")</f>
        <v>Intermediate</v>
      </c>
      <c r="N874">
        <f>RANK(StudentsTable[[#This Row],[AverageScore]],StudentsTable[AverageScore])</f>
        <v>173</v>
      </c>
      <c r="O874">
        <f>(StudentsTable[[#This Row],[AverageScore]]-MIN(StudentsTable[AverageScore]))/(MAX(StudentsTable[AverageScore])-MIN(StudentsTable[AverageScore]))*100</f>
        <v>79.487179487179489</v>
      </c>
    </row>
    <row r="875" spans="1:15" x14ac:dyDescent="0.3">
      <c r="A875" t="s">
        <v>17</v>
      </c>
      <c r="B875" t="s">
        <v>24</v>
      </c>
      <c r="C875" t="s">
        <v>19</v>
      </c>
      <c r="D875" t="s">
        <v>20</v>
      </c>
      <c r="E875" t="s">
        <v>12</v>
      </c>
      <c r="F875">
        <v>90</v>
      </c>
      <c r="G875">
        <v>90</v>
      </c>
      <c r="H875">
        <v>82</v>
      </c>
      <c r="I875">
        <f>StudentsTable[[#This Row],[math score]]+StudentsTable[[#This Row],[reading score]]+StudentsTable[[#This Row],[writing score]]</f>
        <v>262</v>
      </c>
      <c r="J875">
        <f>StudentsTable[[#This Row],[TotalScore]]/3</f>
        <v>87.333333333333329</v>
      </c>
      <c r="K875" t="str" cm="1">
        <f t="array" ref="K875">_xlfn.IFS(StudentsTable[[#This Row],[AverageScore]]&gt;=90,"A",StudentsTable[[#This Row],[AverageScore]]&gt;=80,"B",StudentsTable[[#This Row],[AverageScore]]&gt;=70,"C",StudentsTable[[#This Row],[AverageScore]]&gt;=60,"D",TRUE,"F")</f>
        <v>B</v>
      </c>
      <c r="L875" t="str">
        <f>IF(StudentsTable[[#This Row],[AverageScore]]&gt;=60,"Pass","Fail")</f>
        <v>Pass</v>
      </c>
      <c r="M875" t="str" cm="1">
        <f t="array" ref="M875">_xlfn.IFS(StudentsTable[[#This Row],[AverageScore]]&gt;=85,"Advanced",StudentsTable[[#This Row],[AverageScore]]&gt;=70,"Intermediate",StudentsTable[[#This Row],[AverageScore]]&gt;=60,"Basic",TRUE,"Needs Help")</f>
        <v>Advanced</v>
      </c>
      <c r="N875">
        <f>RANK(StudentsTable[[#This Row],[AverageScore]],StudentsTable[AverageScore])</f>
        <v>78</v>
      </c>
      <c r="O875">
        <f>(StudentsTable[[#This Row],[AverageScore]]-MIN(StudentsTable[AverageScore]))/(MAX(StudentsTable[AverageScore])-MIN(StudentsTable[AverageScore]))*100</f>
        <v>86.080586080586073</v>
      </c>
    </row>
    <row r="876" spans="1:15" x14ac:dyDescent="0.3">
      <c r="A876" t="s">
        <v>8</v>
      </c>
      <c r="B876" t="s">
        <v>13</v>
      </c>
      <c r="C876" t="s">
        <v>10</v>
      </c>
      <c r="D876" t="s">
        <v>20</v>
      </c>
      <c r="E876" t="s">
        <v>12</v>
      </c>
      <c r="F876">
        <v>43</v>
      </c>
      <c r="G876">
        <v>62</v>
      </c>
      <c r="H876">
        <v>61</v>
      </c>
      <c r="I876">
        <f>StudentsTable[[#This Row],[math score]]+StudentsTable[[#This Row],[reading score]]+StudentsTable[[#This Row],[writing score]]</f>
        <v>166</v>
      </c>
      <c r="J876">
        <f>StudentsTable[[#This Row],[TotalScore]]/3</f>
        <v>55.333333333333336</v>
      </c>
      <c r="K876" t="str" cm="1">
        <f t="array" ref="K876">_xlfn.IFS(StudentsTable[[#This Row],[AverageScore]]&gt;=90,"A",StudentsTable[[#This Row],[AverageScore]]&gt;=80,"B",StudentsTable[[#This Row],[AverageScore]]&gt;=70,"C",StudentsTable[[#This Row],[AverageScore]]&gt;=60,"D",TRUE,"F")</f>
        <v>F</v>
      </c>
      <c r="L876" t="str">
        <f>IF(StudentsTable[[#This Row],[AverageScore]]&gt;=60,"Pass","Fail")</f>
        <v>Fail</v>
      </c>
      <c r="M876" t="str" cm="1">
        <f t="array" ref="M876">_xlfn.IFS(StudentsTable[[#This Row],[AverageScore]]&gt;=85,"Advanced",StudentsTable[[#This Row],[AverageScore]]&gt;=70,"Intermediate",StudentsTable[[#This Row],[AverageScore]]&gt;=60,"Basic",TRUE,"Needs Help")</f>
        <v>Needs Help</v>
      </c>
      <c r="N876">
        <f>RANK(StudentsTable[[#This Row],[AverageScore]],StudentsTable[AverageScore])</f>
        <v>803</v>
      </c>
      <c r="O876">
        <f>(StudentsTable[[#This Row],[AverageScore]]-MIN(StudentsTable[AverageScore]))/(MAX(StudentsTable[AverageScore])-MIN(StudentsTable[AverageScore]))*100</f>
        <v>50.915750915750927</v>
      </c>
    </row>
    <row r="877" spans="1:15" x14ac:dyDescent="0.3">
      <c r="A877" t="s">
        <v>17</v>
      </c>
      <c r="B877" t="s">
        <v>13</v>
      </c>
      <c r="C877" t="s">
        <v>14</v>
      </c>
      <c r="D877" t="s">
        <v>20</v>
      </c>
      <c r="E877" t="s">
        <v>12</v>
      </c>
      <c r="F877">
        <v>80</v>
      </c>
      <c r="G877">
        <v>64</v>
      </c>
      <c r="H877">
        <v>66</v>
      </c>
      <c r="I877">
        <f>StudentsTable[[#This Row],[math score]]+StudentsTable[[#This Row],[reading score]]+StudentsTable[[#This Row],[writing score]]</f>
        <v>210</v>
      </c>
      <c r="J877">
        <f>StudentsTable[[#This Row],[TotalScore]]/3</f>
        <v>70</v>
      </c>
      <c r="K877" t="str" cm="1">
        <f t="array" ref="K877">_xlfn.IFS(StudentsTable[[#This Row],[AverageScore]]&gt;=90,"A",StudentsTable[[#This Row],[AverageScore]]&gt;=80,"B",StudentsTable[[#This Row],[AverageScore]]&gt;=70,"C",StudentsTable[[#This Row],[AverageScore]]&gt;=60,"D",TRUE,"F")</f>
        <v>C</v>
      </c>
      <c r="L877" t="str">
        <f>IF(StudentsTable[[#This Row],[AverageScore]]&gt;=60,"Pass","Fail")</f>
        <v>Pass</v>
      </c>
      <c r="M877" t="str" cm="1">
        <f t="array" ref="M877">_xlfn.IFS(StudentsTable[[#This Row],[AverageScore]]&gt;=85,"Advanced",StudentsTable[[#This Row],[AverageScore]]&gt;=70,"Intermediate",StudentsTable[[#This Row],[AverageScore]]&gt;=60,"Basic",TRUE,"Needs Help")</f>
        <v>Intermediate</v>
      </c>
      <c r="N877">
        <f>RANK(StudentsTable[[#This Row],[AverageScore]],StudentsTable[AverageScore])</f>
        <v>448</v>
      </c>
      <c r="O877">
        <f>(StudentsTable[[#This Row],[AverageScore]]-MIN(StudentsTable[AverageScore]))/(MAX(StudentsTable[AverageScore])-MIN(StudentsTable[AverageScore]))*100</f>
        <v>67.032967032967022</v>
      </c>
    </row>
    <row r="878" spans="1:15" x14ac:dyDescent="0.3">
      <c r="A878" t="s">
        <v>17</v>
      </c>
      <c r="B878" t="s">
        <v>21</v>
      </c>
      <c r="C878" t="s">
        <v>14</v>
      </c>
      <c r="D878" t="s">
        <v>11</v>
      </c>
      <c r="E878" t="s">
        <v>12</v>
      </c>
      <c r="F878">
        <v>81</v>
      </c>
      <c r="G878">
        <v>82</v>
      </c>
      <c r="H878">
        <v>84</v>
      </c>
      <c r="I878">
        <f>StudentsTable[[#This Row],[math score]]+StudentsTable[[#This Row],[reading score]]+StudentsTable[[#This Row],[writing score]]</f>
        <v>247</v>
      </c>
      <c r="J878">
        <f>StudentsTable[[#This Row],[TotalScore]]/3</f>
        <v>82.333333333333329</v>
      </c>
      <c r="K878" t="str" cm="1">
        <f t="array" ref="K878">_xlfn.IFS(StudentsTable[[#This Row],[AverageScore]]&gt;=90,"A",StudentsTable[[#This Row],[AverageScore]]&gt;=80,"B",StudentsTable[[#This Row],[AverageScore]]&gt;=70,"C",StudentsTable[[#This Row],[AverageScore]]&gt;=60,"D",TRUE,"F")</f>
        <v>B</v>
      </c>
      <c r="L878" t="str">
        <f>IF(StudentsTable[[#This Row],[AverageScore]]&gt;=60,"Pass","Fail")</f>
        <v>Pass</v>
      </c>
      <c r="M878" t="str" cm="1">
        <f t="array" ref="M878">_xlfn.IFS(StudentsTable[[#This Row],[AverageScore]]&gt;=85,"Advanced",StudentsTable[[#This Row],[AverageScore]]&gt;=70,"Intermediate",StudentsTable[[#This Row],[AverageScore]]&gt;=60,"Basic",TRUE,"Needs Help")</f>
        <v>Intermediate</v>
      </c>
      <c r="N878">
        <f>RANK(StudentsTable[[#This Row],[AverageScore]],StudentsTable[AverageScore])</f>
        <v>155</v>
      </c>
      <c r="O878">
        <f>(StudentsTable[[#This Row],[AverageScore]]-MIN(StudentsTable[AverageScore]))/(MAX(StudentsTable[AverageScore])-MIN(StudentsTable[AverageScore]))*100</f>
        <v>80.586080586080584</v>
      </c>
    </row>
    <row r="879" spans="1:15" x14ac:dyDescent="0.3">
      <c r="A879" t="s">
        <v>17</v>
      </c>
      <c r="B879" t="s">
        <v>13</v>
      </c>
      <c r="C879" t="s">
        <v>23</v>
      </c>
      <c r="D879" t="s">
        <v>11</v>
      </c>
      <c r="E879" t="s">
        <v>12</v>
      </c>
      <c r="F879">
        <v>57</v>
      </c>
      <c r="G879">
        <v>61</v>
      </c>
      <c r="H879">
        <v>54</v>
      </c>
      <c r="I879">
        <f>StudentsTable[[#This Row],[math score]]+StudentsTable[[#This Row],[reading score]]+StudentsTable[[#This Row],[writing score]]</f>
        <v>172</v>
      </c>
      <c r="J879">
        <f>StudentsTable[[#This Row],[TotalScore]]/3</f>
        <v>57.333333333333336</v>
      </c>
      <c r="K879" t="str" cm="1">
        <f t="array" ref="K879">_xlfn.IFS(StudentsTable[[#This Row],[AverageScore]]&gt;=90,"A",StudentsTable[[#This Row],[AverageScore]]&gt;=80,"B",StudentsTable[[#This Row],[AverageScore]]&gt;=70,"C",StudentsTable[[#This Row],[AverageScore]]&gt;=60,"D",TRUE,"F")</f>
        <v>F</v>
      </c>
      <c r="L879" t="str">
        <f>IF(StudentsTable[[#This Row],[AverageScore]]&gt;=60,"Pass","Fail")</f>
        <v>Fail</v>
      </c>
      <c r="M879" t="str" cm="1">
        <f t="array" ref="M879">_xlfn.IFS(StudentsTable[[#This Row],[AverageScore]]&gt;=85,"Advanced",StudentsTable[[#This Row],[AverageScore]]&gt;=70,"Intermediate",StudentsTable[[#This Row],[AverageScore]]&gt;=60,"Basic",TRUE,"Needs Help")</f>
        <v>Needs Help</v>
      </c>
      <c r="N879">
        <f>RANK(StudentsTable[[#This Row],[AverageScore]],StudentsTable[AverageScore])</f>
        <v>764</v>
      </c>
      <c r="O879">
        <f>(StudentsTable[[#This Row],[AverageScore]]-MIN(StudentsTable[AverageScore]))/(MAX(StudentsTable[AverageScore])-MIN(StudentsTable[AverageScore]))*100</f>
        <v>53.113553113553117</v>
      </c>
    </row>
    <row r="880" spans="1:15" x14ac:dyDescent="0.3">
      <c r="A880" t="s">
        <v>8</v>
      </c>
      <c r="B880" t="s">
        <v>21</v>
      </c>
      <c r="C880" t="s">
        <v>23</v>
      </c>
      <c r="D880" t="s">
        <v>11</v>
      </c>
      <c r="E880" t="s">
        <v>12</v>
      </c>
      <c r="F880">
        <v>59</v>
      </c>
      <c r="G880">
        <v>72</v>
      </c>
      <c r="H880">
        <v>80</v>
      </c>
      <c r="I880">
        <f>StudentsTable[[#This Row],[math score]]+StudentsTable[[#This Row],[reading score]]+StudentsTable[[#This Row],[writing score]]</f>
        <v>211</v>
      </c>
      <c r="J880">
        <f>StudentsTable[[#This Row],[TotalScore]]/3</f>
        <v>70.333333333333329</v>
      </c>
      <c r="K880" t="str" cm="1">
        <f t="array" ref="K880">_xlfn.IFS(StudentsTable[[#This Row],[AverageScore]]&gt;=90,"A",StudentsTable[[#This Row],[AverageScore]]&gt;=80,"B",StudentsTable[[#This Row],[AverageScore]]&gt;=70,"C",StudentsTable[[#This Row],[AverageScore]]&gt;=60,"D",TRUE,"F")</f>
        <v>C</v>
      </c>
      <c r="L880" t="str">
        <f>IF(StudentsTable[[#This Row],[AverageScore]]&gt;=60,"Pass","Fail")</f>
        <v>Pass</v>
      </c>
      <c r="M880" t="str" cm="1">
        <f t="array" ref="M880">_xlfn.IFS(StudentsTable[[#This Row],[AverageScore]]&gt;=85,"Advanced",StudentsTable[[#This Row],[AverageScore]]&gt;=70,"Intermediate",StudentsTable[[#This Row],[AverageScore]]&gt;=60,"Basic",TRUE,"Needs Help")</f>
        <v>Intermediate</v>
      </c>
      <c r="N880">
        <f>RANK(StudentsTable[[#This Row],[AverageScore]],StudentsTable[AverageScore])</f>
        <v>440</v>
      </c>
      <c r="O880">
        <f>(StudentsTable[[#This Row],[AverageScore]]-MIN(StudentsTable[AverageScore]))/(MAX(StudentsTable[AverageScore])-MIN(StudentsTable[AverageScore]))*100</f>
        <v>67.399267399267387</v>
      </c>
    </row>
    <row r="881" spans="1:15" x14ac:dyDescent="0.3">
      <c r="A881" t="s">
        <v>8</v>
      </c>
      <c r="B881" t="s">
        <v>21</v>
      </c>
      <c r="C881" t="s">
        <v>19</v>
      </c>
      <c r="D881" t="s">
        <v>11</v>
      </c>
      <c r="E881" t="s">
        <v>12</v>
      </c>
      <c r="F881">
        <v>64</v>
      </c>
      <c r="G881">
        <v>76</v>
      </c>
      <c r="H881">
        <v>74</v>
      </c>
      <c r="I881">
        <f>StudentsTable[[#This Row],[math score]]+StudentsTable[[#This Row],[reading score]]+StudentsTable[[#This Row],[writing score]]</f>
        <v>214</v>
      </c>
      <c r="J881">
        <f>StudentsTable[[#This Row],[TotalScore]]/3</f>
        <v>71.333333333333329</v>
      </c>
      <c r="K881" t="str" cm="1">
        <f t="array" ref="K881">_xlfn.IFS(StudentsTable[[#This Row],[AverageScore]]&gt;=90,"A",StudentsTable[[#This Row],[AverageScore]]&gt;=80,"B",StudentsTable[[#This Row],[AverageScore]]&gt;=70,"C",StudentsTable[[#This Row],[AverageScore]]&gt;=60,"D",TRUE,"F")</f>
        <v>C</v>
      </c>
      <c r="L881" t="str">
        <f>IF(StudentsTable[[#This Row],[AverageScore]]&gt;=60,"Pass","Fail")</f>
        <v>Pass</v>
      </c>
      <c r="M881" t="str" cm="1">
        <f t="array" ref="M881">_xlfn.IFS(StudentsTable[[#This Row],[AverageScore]]&gt;=85,"Advanced",StudentsTable[[#This Row],[AverageScore]]&gt;=70,"Intermediate",StudentsTable[[#This Row],[AverageScore]]&gt;=60,"Basic",TRUE,"Needs Help")</f>
        <v>Intermediate</v>
      </c>
      <c r="N881">
        <f>RANK(StudentsTable[[#This Row],[AverageScore]],StudentsTable[AverageScore])</f>
        <v>412</v>
      </c>
      <c r="O881">
        <f>(StudentsTable[[#This Row],[AverageScore]]-MIN(StudentsTable[AverageScore]))/(MAX(StudentsTable[AverageScore])-MIN(StudentsTable[AverageScore]))*100</f>
        <v>68.498168498168482</v>
      </c>
    </row>
    <row r="882" spans="1:15" x14ac:dyDescent="0.3">
      <c r="A882" t="s">
        <v>17</v>
      </c>
      <c r="B882" t="s">
        <v>13</v>
      </c>
      <c r="C882" t="s">
        <v>10</v>
      </c>
      <c r="D882" t="s">
        <v>11</v>
      </c>
      <c r="E882" t="s">
        <v>15</v>
      </c>
      <c r="F882">
        <v>63</v>
      </c>
      <c r="G882">
        <v>64</v>
      </c>
      <c r="H882">
        <v>66</v>
      </c>
      <c r="I882">
        <f>StudentsTable[[#This Row],[math score]]+StudentsTable[[#This Row],[reading score]]+StudentsTable[[#This Row],[writing score]]</f>
        <v>193</v>
      </c>
      <c r="J882">
        <f>StudentsTable[[#This Row],[TotalScore]]/3</f>
        <v>64.333333333333329</v>
      </c>
      <c r="K882" t="str" cm="1">
        <f t="array" ref="K882">_xlfn.IFS(StudentsTable[[#This Row],[AverageScore]]&gt;=90,"A",StudentsTable[[#This Row],[AverageScore]]&gt;=80,"B",StudentsTable[[#This Row],[AverageScore]]&gt;=70,"C",StudentsTable[[#This Row],[AverageScore]]&gt;=60,"D",TRUE,"F")</f>
        <v>D</v>
      </c>
      <c r="L882" t="str">
        <f>IF(StudentsTable[[#This Row],[AverageScore]]&gt;=60,"Pass","Fail")</f>
        <v>Pass</v>
      </c>
      <c r="M882" t="str" cm="1">
        <f t="array" ref="M882">_xlfn.IFS(StudentsTable[[#This Row],[AverageScore]]&gt;=85,"Advanced",StudentsTable[[#This Row],[AverageScore]]&gt;=70,"Intermediate",StudentsTable[[#This Row],[AverageScore]]&gt;=60,"Basic",TRUE,"Needs Help")</f>
        <v>Basic</v>
      </c>
      <c r="N882">
        <f>RANK(StudentsTable[[#This Row],[AverageScore]],StudentsTable[AverageScore])</f>
        <v>613</v>
      </c>
      <c r="O882">
        <f>(StudentsTable[[#This Row],[AverageScore]]-MIN(StudentsTable[AverageScore]))/(MAX(StudentsTable[AverageScore])-MIN(StudentsTable[AverageScore]))*100</f>
        <v>60.805860805860803</v>
      </c>
    </row>
    <row r="883" spans="1:15" x14ac:dyDescent="0.3">
      <c r="A883" t="s">
        <v>8</v>
      </c>
      <c r="B883" t="s">
        <v>24</v>
      </c>
      <c r="C883" t="s">
        <v>10</v>
      </c>
      <c r="D883" t="s">
        <v>11</v>
      </c>
      <c r="E883" t="s">
        <v>15</v>
      </c>
      <c r="F883">
        <v>71</v>
      </c>
      <c r="G883">
        <v>70</v>
      </c>
      <c r="H883">
        <v>70</v>
      </c>
      <c r="I883">
        <f>StudentsTable[[#This Row],[math score]]+StudentsTable[[#This Row],[reading score]]+StudentsTable[[#This Row],[writing score]]</f>
        <v>211</v>
      </c>
      <c r="J883">
        <f>StudentsTable[[#This Row],[TotalScore]]/3</f>
        <v>70.333333333333329</v>
      </c>
      <c r="K883" t="str" cm="1">
        <f t="array" ref="K883">_xlfn.IFS(StudentsTable[[#This Row],[AverageScore]]&gt;=90,"A",StudentsTable[[#This Row],[AverageScore]]&gt;=80,"B",StudentsTable[[#This Row],[AverageScore]]&gt;=70,"C",StudentsTable[[#This Row],[AverageScore]]&gt;=60,"D",TRUE,"F")</f>
        <v>C</v>
      </c>
      <c r="L883" t="str">
        <f>IF(StudentsTable[[#This Row],[AverageScore]]&gt;=60,"Pass","Fail")</f>
        <v>Pass</v>
      </c>
      <c r="M883" t="str" cm="1">
        <f t="array" ref="M883">_xlfn.IFS(StudentsTable[[#This Row],[AverageScore]]&gt;=85,"Advanced",StudentsTable[[#This Row],[AverageScore]]&gt;=70,"Intermediate",StudentsTable[[#This Row],[AverageScore]]&gt;=60,"Basic",TRUE,"Needs Help")</f>
        <v>Intermediate</v>
      </c>
      <c r="N883">
        <f>RANK(StudentsTable[[#This Row],[AverageScore]],StudentsTable[AverageScore])</f>
        <v>440</v>
      </c>
      <c r="O883">
        <f>(StudentsTable[[#This Row],[AverageScore]]-MIN(StudentsTable[AverageScore]))/(MAX(StudentsTable[AverageScore])-MIN(StudentsTable[AverageScore]))*100</f>
        <v>67.399267399267387</v>
      </c>
    </row>
    <row r="884" spans="1:15" x14ac:dyDescent="0.3">
      <c r="A884" t="s">
        <v>8</v>
      </c>
      <c r="B884" t="s">
        <v>9</v>
      </c>
      <c r="C884" t="s">
        <v>22</v>
      </c>
      <c r="D884" t="s">
        <v>20</v>
      </c>
      <c r="E884" t="s">
        <v>12</v>
      </c>
      <c r="F884">
        <v>64</v>
      </c>
      <c r="G884">
        <v>73</v>
      </c>
      <c r="H884">
        <v>71</v>
      </c>
      <c r="I884">
        <f>StudentsTable[[#This Row],[math score]]+StudentsTable[[#This Row],[reading score]]+StudentsTable[[#This Row],[writing score]]</f>
        <v>208</v>
      </c>
      <c r="J884">
        <f>StudentsTable[[#This Row],[TotalScore]]/3</f>
        <v>69.333333333333329</v>
      </c>
      <c r="K884" t="str" cm="1">
        <f t="array" ref="K884">_xlfn.IFS(StudentsTable[[#This Row],[AverageScore]]&gt;=90,"A",StudentsTable[[#This Row],[AverageScore]]&gt;=80,"B",StudentsTable[[#This Row],[AverageScore]]&gt;=70,"C",StudentsTable[[#This Row],[AverageScore]]&gt;=60,"D",TRUE,"F")</f>
        <v>D</v>
      </c>
      <c r="L884" t="str">
        <f>IF(StudentsTable[[#This Row],[AverageScore]]&gt;=60,"Pass","Fail")</f>
        <v>Pass</v>
      </c>
      <c r="M884" t="str" cm="1">
        <f t="array" ref="M884">_xlfn.IFS(StudentsTable[[#This Row],[AverageScore]]&gt;=85,"Advanced",StudentsTable[[#This Row],[AverageScore]]&gt;=70,"Intermediate",StudentsTable[[#This Row],[AverageScore]]&gt;=60,"Basic",TRUE,"Needs Help")</f>
        <v>Basic</v>
      </c>
      <c r="N884">
        <f>RANK(StudentsTable[[#This Row],[AverageScore]],StudentsTable[AverageScore])</f>
        <v>465</v>
      </c>
      <c r="O884">
        <f>(StudentsTable[[#This Row],[AverageScore]]-MIN(StudentsTable[AverageScore]))/(MAX(StudentsTable[AverageScore])-MIN(StudentsTable[AverageScore]))*100</f>
        <v>66.300366300366292</v>
      </c>
    </row>
    <row r="885" spans="1:15" x14ac:dyDescent="0.3">
      <c r="A885" t="s">
        <v>17</v>
      </c>
      <c r="B885" t="s">
        <v>21</v>
      </c>
      <c r="C885" t="s">
        <v>10</v>
      </c>
      <c r="D885" t="s">
        <v>20</v>
      </c>
      <c r="E885" t="s">
        <v>12</v>
      </c>
      <c r="F885">
        <v>55</v>
      </c>
      <c r="G885">
        <v>46</v>
      </c>
      <c r="H885">
        <v>44</v>
      </c>
      <c r="I885">
        <f>StudentsTable[[#This Row],[math score]]+StudentsTable[[#This Row],[reading score]]+StudentsTable[[#This Row],[writing score]]</f>
        <v>145</v>
      </c>
      <c r="J885">
        <f>StudentsTable[[#This Row],[TotalScore]]/3</f>
        <v>48.333333333333336</v>
      </c>
      <c r="K885" t="str" cm="1">
        <f t="array" ref="K885">_xlfn.IFS(StudentsTable[[#This Row],[AverageScore]]&gt;=90,"A",StudentsTable[[#This Row],[AverageScore]]&gt;=80,"B",StudentsTable[[#This Row],[AverageScore]]&gt;=70,"C",StudentsTable[[#This Row],[AverageScore]]&gt;=60,"D",TRUE,"F")</f>
        <v>F</v>
      </c>
      <c r="L885" t="str">
        <f>IF(StudentsTable[[#This Row],[AverageScore]]&gt;=60,"Pass","Fail")</f>
        <v>Fail</v>
      </c>
      <c r="M885" t="str" cm="1">
        <f t="array" ref="M885">_xlfn.IFS(StudentsTable[[#This Row],[AverageScore]]&gt;=85,"Advanced",StudentsTable[[#This Row],[AverageScore]]&gt;=70,"Intermediate",StudentsTable[[#This Row],[AverageScore]]&gt;=60,"Basic",TRUE,"Needs Help")</f>
        <v>Needs Help</v>
      </c>
      <c r="N885">
        <f>RANK(StudentsTable[[#This Row],[AverageScore]],StudentsTable[AverageScore])</f>
        <v>915</v>
      </c>
      <c r="O885">
        <f>(StudentsTable[[#This Row],[AverageScore]]-MIN(StudentsTable[AverageScore]))/(MAX(StudentsTable[AverageScore])-MIN(StudentsTable[AverageScore]))*100</f>
        <v>43.223443223443226</v>
      </c>
    </row>
    <row r="886" spans="1:15" x14ac:dyDescent="0.3">
      <c r="A886" t="s">
        <v>8</v>
      </c>
      <c r="B886" t="s">
        <v>24</v>
      </c>
      <c r="C886" t="s">
        <v>19</v>
      </c>
      <c r="D886" t="s">
        <v>11</v>
      </c>
      <c r="E886" t="s">
        <v>12</v>
      </c>
      <c r="F886">
        <v>51</v>
      </c>
      <c r="G886">
        <v>51</v>
      </c>
      <c r="H886">
        <v>54</v>
      </c>
      <c r="I886">
        <f>StudentsTable[[#This Row],[math score]]+StudentsTable[[#This Row],[reading score]]+StudentsTable[[#This Row],[writing score]]</f>
        <v>156</v>
      </c>
      <c r="J886">
        <f>StudentsTable[[#This Row],[TotalScore]]/3</f>
        <v>52</v>
      </c>
      <c r="K886" t="str" cm="1">
        <f t="array" ref="K886">_xlfn.IFS(StudentsTable[[#This Row],[AverageScore]]&gt;=90,"A",StudentsTable[[#This Row],[AverageScore]]&gt;=80,"B",StudentsTable[[#This Row],[AverageScore]]&gt;=70,"C",StudentsTable[[#This Row],[AverageScore]]&gt;=60,"D",TRUE,"F")</f>
        <v>F</v>
      </c>
      <c r="L886" t="str">
        <f>IF(StudentsTable[[#This Row],[AverageScore]]&gt;=60,"Pass","Fail")</f>
        <v>Fail</v>
      </c>
      <c r="M886" t="str" cm="1">
        <f t="array" ref="M886">_xlfn.IFS(StudentsTable[[#This Row],[AverageScore]]&gt;=85,"Advanced",StudentsTable[[#This Row],[AverageScore]]&gt;=70,"Intermediate",StudentsTable[[#This Row],[AverageScore]]&gt;=60,"Basic",TRUE,"Needs Help")</f>
        <v>Needs Help</v>
      </c>
      <c r="N886">
        <f>RANK(StudentsTable[[#This Row],[AverageScore]],StudentsTable[AverageScore])</f>
        <v>855</v>
      </c>
      <c r="O886">
        <f>(StudentsTable[[#This Row],[AverageScore]]-MIN(StudentsTable[AverageScore]))/(MAX(StudentsTable[AverageScore])-MIN(StudentsTable[AverageScore]))*100</f>
        <v>47.252747252747248</v>
      </c>
    </row>
    <row r="887" spans="1:15" x14ac:dyDescent="0.3">
      <c r="A887" t="s">
        <v>8</v>
      </c>
      <c r="B887" t="s">
        <v>13</v>
      </c>
      <c r="C887" t="s">
        <v>19</v>
      </c>
      <c r="D887" t="s">
        <v>11</v>
      </c>
      <c r="E887" t="s">
        <v>15</v>
      </c>
      <c r="F887">
        <v>62</v>
      </c>
      <c r="G887">
        <v>76</v>
      </c>
      <c r="H887">
        <v>80</v>
      </c>
      <c r="I887">
        <f>StudentsTable[[#This Row],[math score]]+StudentsTable[[#This Row],[reading score]]+StudentsTable[[#This Row],[writing score]]</f>
        <v>218</v>
      </c>
      <c r="J887">
        <f>StudentsTable[[#This Row],[TotalScore]]/3</f>
        <v>72.666666666666671</v>
      </c>
      <c r="K887" t="str" cm="1">
        <f t="array" ref="K887">_xlfn.IFS(StudentsTable[[#This Row],[AverageScore]]&gt;=90,"A",StudentsTable[[#This Row],[AverageScore]]&gt;=80,"B",StudentsTable[[#This Row],[AverageScore]]&gt;=70,"C",StudentsTable[[#This Row],[AverageScore]]&gt;=60,"D",TRUE,"F")</f>
        <v>C</v>
      </c>
      <c r="L887" t="str">
        <f>IF(StudentsTable[[#This Row],[AverageScore]]&gt;=60,"Pass","Fail")</f>
        <v>Pass</v>
      </c>
      <c r="M887" t="str" cm="1">
        <f t="array" ref="M887">_xlfn.IFS(StudentsTable[[#This Row],[AverageScore]]&gt;=85,"Advanced",StudentsTable[[#This Row],[AverageScore]]&gt;=70,"Intermediate",StudentsTable[[#This Row],[AverageScore]]&gt;=60,"Basic",TRUE,"Needs Help")</f>
        <v>Intermediate</v>
      </c>
      <c r="N887">
        <f>RANK(StudentsTable[[#This Row],[AverageScore]],StudentsTable[AverageScore])</f>
        <v>379</v>
      </c>
      <c r="O887">
        <f>(StudentsTable[[#This Row],[AverageScore]]-MIN(StudentsTable[AverageScore]))/(MAX(StudentsTable[AverageScore])-MIN(StudentsTable[AverageScore]))*100</f>
        <v>69.963369963369971</v>
      </c>
    </row>
    <row r="888" spans="1:15" x14ac:dyDescent="0.3">
      <c r="A888" t="s">
        <v>8</v>
      </c>
      <c r="B888" t="s">
        <v>24</v>
      </c>
      <c r="C888" t="s">
        <v>19</v>
      </c>
      <c r="D888" t="s">
        <v>11</v>
      </c>
      <c r="E888" t="s">
        <v>15</v>
      </c>
      <c r="F888">
        <v>93</v>
      </c>
      <c r="G888">
        <v>100</v>
      </c>
      <c r="H888">
        <v>95</v>
      </c>
      <c r="I888">
        <f>StudentsTable[[#This Row],[math score]]+StudentsTable[[#This Row],[reading score]]+StudentsTable[[#This Row],[writing score]]</f>
        <v>288</v>
      </c>
      <c r="J888">
        <f>StudentsTable[[#This Row],[TotalScore]]/3</f>
        <v>96</v>
      </c>
      <c r="K888" t="str" cm="1">
        <f t="array" ref="K888">_xlfn.IFS(StudentsTable[[#This Row],[AverageScore]]&gt;=90,"A",StudentsTable[[#This Row],[AverageScore]]&gt;=80,"B",StudentsTable[[#This Row],[AverageScore]]&gt;=70,"C",StudentsTable[[#This Row],[AverageScore]]&gt;=60,"D",TRUE,"F")</f>
        <v>A</v>
      </c>
      <c r="L888" t="str">
        <f>IF(StudentsTable[[#This Row],[AverageScore]]&gt;=60,"Pass","Fail")</f>
        <v>Pass</v>
      </c>
      <c r="M888" t="str" cm="1">
        <f t="array" ref="M888">_xlfn.IFS(StudentsTable[[#This Row],[AverageScore]]&gt;=85,"Advanced",StudentsTable[[#This Row],[AverageScore]]&gt;=70,"Intermediate",StudentsTable[[#This Row],[AverageScore]]&gt;=60,"Basic",TRUE,"Needs Help")</f>
        <v>Advanced</v>
      </c>
      <c r="N888">
        <f>RANK(StudentsTable[[#This Row],[AverageScore]],StudentsTable[AverageScore])</f>
        <v>20</v>
      </c>
      <c r="O888">
        <f>(StudentsTable[[#This Row],[AverageScore]]-MIN(StudentsTable[AverageScore]))/(MAX(StudentsTable[AverageScore])-MIN(StudentsTable[AverageScore]))*100</f>
        <v>95.604395604395606</v>
      </c>
    </row>
    <row r="889" spans="1:15" x14ac:dyDescent="0.3">
      <c r="A889" t="s">
        <v>17</v>
      </c>
      <c r="B889" t="s">
        <v>13</v>
      </c>
      <c r="C889" t="s">
        <v>22</v>
      </c>
      <c r="D889" t="s">
        <v>20</v>
      </c>
      <c r="E889" t="s">
        <v>12</v>
      </c>
      <c r="F889">
        <v>54</v>
      </c>
      <c r="G889">
        <v>72</v>
      </c>
      <c r="H889">
        <v>59</v>
      </c>
      <c r="I889">
        <f>StudentsTable[[#This Row],[math score]]+StudentsTable[[#This Row],[reading score]]+StudentsTable[[#This Row],[writing score]]</f>
        <v>185</v>
      </c>
      <c r="J889">
        <f>StudentsTable[[#This Row],[TotalScore]]/3</f>
        <v>61.666666666666664</v>
      </c>
      <c r="K889" t="str" cm="1">
        <f t="array" ref="K889">_xlfn.IFS(StudentsTable[[#This Row],[AverageScore]]&gt;=90,"A",StudentsTable[[#This Row],[AverageScore]]&gt;=80,"B",StudentsTable[[#This Row],[AverageScore]]&gt;=70,"C",StudentsTable[[#This Row],[AverageScore]]&gt;=60,"D",TRUE,"F")</f>
        <v>D</v>
      </c>
      <c r="L889" t="str">
        <f>IF(StudentsTable[[#This Row],[AverageScore]]&gt;=60,"Pass","Fail")</f>
        <v>Pass</v>
      </c>
      <c r="M889" t="str" cm="1">
        <f t="array" ref="M889">_xlfn.IFS(StudentsTable[[#This Row],[AverageScore]]&gt;=85,"Advanced",StudentsTable[[#This Row],[AverageScore]]&gt;=70,"Intermediate",StudentsTable[[#This Row],[AverageScore]]&gt;=60,"Basic",TRUE,"Needs Help")</f>
        <v>Basic</v>
      </c>
      <c r="N889">
        <f>RANK(StudentsTable[[#This Row],[AverageScore]],StudentsTable[AverageScore])</f>
        <v>671</v>
      </c>
      <c r="O889">
        <f>(StudentsTable[[#This Row],[AverageScore]]-MIN(StudentsTable[AverageScore]))/(MAX(StudentsTable[AverageScore])-MIN(StudentsTable[AverageScore]))*100</f>
        <v>57.875457875457869</v>
      </c>
    </row>
    <row r="890" spans="1:15" x14ac:dyDescent="0.3">
      <c r="A890" t="s">
        <v>8</v>
      </c>
      <c r="B890" t="s">
        <v>21</v>
      </c>
      <c r="C890" t="s">
        <v>14</v>
      </c>
      <c r="D890" t="s">
        <v>20</v>
      </c>
      <c r="E890" t="s">
        <v>12</v>
      </c>
      <c r="F890">
        <v>69</v>
      </c>
      <c r="G890">
        <v>65</v>
      </c>
      <c r="H890">
        <v>74</v>
      </c>
      <c r="I890">
        <f>StudentsTable[[#This Row],[math score]]+StudentsTable[[#This Row],[reading score]]+StudentsTable[[#This Row],[writing score]]</f>
        <v>208</v>
      </c>
      <c r="J890">
        <f>StudentsTable[[#This Row],[TotalScore]]/3</f>
        <v>69.333333333333329</v>
      </c>
      <c r="K890" t="str" cm="1">
        <f t="array" ref="K890">_xlfn.IFS(StudentsTable[[#This Row],[AverageScore]]&gt;=90,"A",StudentsTable[[#This Row],[AverageScore]]&gt;=80,"B",StudentsTable[[#This Row],[AverageScore]]&gt;=70,"C",StudentsTable[[#This Row],[AverageScore]]&gt;=60,"D",TRUE,"F")</f>
        <v>D</v>
      </c>
      <c r="L890" t="str">
        <f>IF(StudentsTable[[#This Row],[AverageScore]]&gt;=60,"Pass","Fail")</f>
        <v>Pass</v>
      </c>
      <c r="M890" t="str" cm="1">
        <f t="array" ref="M890">_xlfn.IFS(StudentsTable[[#This Row],[AverageScore]]&gt;=85,"Advanced",StudentsTable[[#This Row],[AverageScore]]&gt;=70,"Intermediate",StudentsTable[[#This Row],[AverageScore]]&gt;=60,"Basic",TRUE,"Needs Help")</f>
        <v>Basic</v>
      </c>
      <c r="N890">
        <f>RANK(StudentsTable[[#This Row],[AverageScore]],StudentsTable[AverageScore])</f>
        <v>465</v>
      </c>
      <c r="O890">
        <f>(StudentsTable[[#This Row],[AverageScore]]-MIN(StudentsTable[AverageScore]))/(MAX(StudentsTable[AverageScore])-MIN(StudentsTable[AverageScore]))*100</f>
        <v>66.300366300366292</v>
      </c>
    </row>
    <row r="891" spans="1:15" x14ac:dyDescent="0.3">
      <c r="A891" t="s">
        <v>17</v>
      </c>
      <c r="B891" t="s">
        <v>21</v>
      </c>
      <c r="C891" t="s">
        <v>22</v>
      </c>
      <c r="D891" t="s">
        <v>20</v>
      </c>
      <c r="E891" t="s">
        <v>12</v>
      </c>
      <c r="F891">
        <v>44</v>
      </c>
      <c r="G891">
        <v>51</v>
      </c>
      <c r="H891">
        <v>48</v>
      </c>
      <c r="I891">
        <f>StudentsTable[[#This Row],[math score]]+StudentsTable[[#This Row],[reading score]]+StudentsTable[[#This Row],[writing score]]</f>
        <v>143</v>
      </c>
      <c r="J891">
        <f>StudentsTable[[#This Row],[TotalScore]]/3</f>
        <v>47.666666666666664</v>
      </c>
      <c r="K891" t="str" cm="1">
        <f t="array" ref="K891">_xlfn.IFS(StudentsTable[[#This Row],[AverageScore]]&gt;=90,"A",StudentsTable[[#This Row],[AverageScore]]&gt;=80,"B",StudentsTable[[#This Row],[AverageScore]]&gt;=70,"C",StudentsTable[[#This Row],[AverageScore]]&gt;=60,"D",TRUE,"F")</f>
        <v>F</v>
      </c>
      <c r="L891" t="str">
        <f>IF(StudentsTable[[#This Row],[AverageScore]]&gt;=60,"Pass","Fail")</f>
        <v>Fail</v>
      </c>
      <c r="M891" t="str" cm="1">
        <f t="array" ref="M891">_xlfn.IFS(StudentsTable[[#This Row],[AverageScore]]&gt;=85,"Advanced",StudentsTable[[#This Row],[AverageScore]]&gt;=70,"Intermediate",StudentsTable[[#This Row],[AverageScore]]&gt;=60,"Basic",TRUE,"Needs Help")</f>
        <v>Needs Help</v>
      </c>
      <c r="N891">
        <f>RANK(StudentsTable[[#This Row],[AverageScore]],StudentsTable[AverageScore])</f>
        <v>925</v>
      </c>
      <c r="O891">
        <f>(StudentsTable[[#This Row],[AverageScore]]-MIN(StudentsTable[AverageScore]))/(MAX(StudentsTable[AverageScore])-MIN(StudentsTable[AverageScore]))*100</f>
        <v>42.490842490842489</v>
      </c>
    </row>
    <row r="892" spans="1:15" x14ac:dyDescent="0.3">
      <c r="A892" t="s">
        <v>8</v>
      </c>
      <c r="B892" t="s">
        <v>24</v>
      </c>
      <c r="C892" t="s">
        <v>14</v>
      </c>
      <c r="D892" t="s">
        <v>11</v>
      </c>
      <c r="E892" t="s">
        <v>15</v>
      </c>
      <c r="F892">
        <v>86</v>
      </c>
      <c r="G892">
        <v>85</v>
      </c>
      <c r="H892">
        <v>91</v>
      </c>
      <c r="I892">
        <f>StudentsTable[[#This Row],[math score]]+StudentsTable[[#This Row],[reading score]]+StudentsTable[[#This Row],[writing score]]</f>
        <v>262</v>
      </c>
      <c r="J892">
        <f>StudentsTable[[#This Row],[TotalScore]]/3</f>
        <v>87.333333333333329</v>
      </c>
      <c r="K892" t="str" cm="1">
        <f t="array" ref="K892">_xlfn.IFS(StudentsTable[[#This Row],[AverageScore]]&gt;=90,"A",StudentsTable[[#This Row],[AverageScore]]&gt;=80,"B",StudentsTable[[#This Row],[AverageScore]]&gt;=70,"C",StudentsTable[[#This Row],[AverageScore]]&gt;=60,"D",TRUE,"F")</f>
        <v>B</v>
      </c>
      <c r="L892" t="str">
        <f>IF(StudentsTable[[#This Row],[AverageScore]]&gt;=60,"Pass","Fail")</f>
        <v>Pass</v>
      </c>
      <c r="M892" t="str" cm="1">
        <f t="array" ref="M892">_xlfn.IFS(StudentsTable[[#This Row],[AverageScore]]&gt;=85,"Advanced",StudentsTable[[#This Row],[AverageScore]]&gt;=70,"Intermediate",StudentsTable[[#This Row],[AverageScore]]&gt;=60,"Basic",TRUE,"Needs Help")</f>
        <v>Advanced</v>
      </c>
      <c r="N892">
        <f>RANK(StudentsTable[[#This Row],[AverageScore]],StudentsTable[AverageScore])</f>
        <v>78</v>
      </c>
      <c r="O892">
        <f>(StudentsTable[[#This Row],[AverageScore]]-MIN(StudentsTable[AverageScore]))/(MAX(StudentsTable[AverageScore])-MIN(StudentsTable[AverageScore]))*100</f>
        <v>86.080586080586073</v>
      </c>
    </row>
    <row r="893" spans="1:15" x14ac:dyDescent="0.3">
      <c r="A893" t="s">
        <v>8</v>
      </c>
      <c r="B893" t="s">
        <v>24</v>
      </c>
      <c r="C893" t="s">
        <v>19</v>
      </c>
      <c r="D893" t="s">
        <v>11</v>
      </c>
      <c r="E893" t="s">
        <v>12</v>
      </c>
      <c r="F893">
        <v>85</v>
      </c>
      <c r="G893">
        <v>92</v>
      </c>
      <c r="H893">
        <v>85</v>
      </c>
      <c r="I893">
        <f>StudentsTable[[#This Row],[math score]]+StudentsTable[[#This Row],[reading score]]+StudentsTable[[#This Row],[writing score]]</f>
        <v>262</v>
      </c>
      <c r="J893">
        <f>StudentsTable[[#This Row],[TotalScore]]/3</f>
        <v>87.333333333333329</v>
      </c>
      <c r="K893" t="str" cm="1">
        <f t="array" ref="K893">_xlfn.IFS(StudentsTable[[#This Row],[AverageScore]]&gt;=90,"A",StudentsTable[[#This Row],[AverageScore]]&gt;=80,"B",StudentsTable[[#This Row],[AverageScore]]&gt;=70,"C",StudentsTable[[#This Row],[AverageScore]]&gt;=60,"D",TRUE,"F")</f>
        <v>B</v>
      </c>
      <c r="L893" t="str">
        <f>IF(StudentsTable[[#This Row],[AverageScore]]&gt;=60,"Pass","Fail")</f>
        <v>Pass</v>
      </c>
      <c r="M893" t="str" cm="1">
        <f t="array" ref="M893">_xlfn.IFS(StudentsTable[[#This Row],[AverageScore]]&gt;=85,"Advanced",StudentsTable[[#This Row],[AverageScore]]&gt;=70,"Intermediate",StudentsTable[[#This Row],[AverageScore]]&gt;=60,"Basic",TRUE,"Needs Help")</f>
        <v>Advanced</v>
      </c>
      <c r="N893">
        <f>RANK(StudentsTable[[#This Row],[AverageScore]],StudentsTable[AverageScore])</f>
        <v>78</v>
      </c>
      <c r="O893">
        <f>(StudentsTable[[#This Row],[AverageScore]]-MIN(StudentsTable[AverageScore]))/(MAX(StudentsTable[AverageScore])-MIN(StudentsTable[AverageScore]))*100</f>
        <v>86.080586080586073</v>
      </c>
    </row>
    <row r="894" spans="1:15" x14ac:dyDescent="0.3">
      <c r="A894" t="s">
        <v>8</v>
      </c>
      <c r="B894" t="s">
        <v>18</v>
      </c>
      <c r="C894" t="s">
        <v>16</v>
      </c>
      <c r="D894" t="s">
        <v>20</v>
      </c>
      <c r="E894" t="s">
        <v>12</v>
      </c>
      <c r="F894">
        <v>50</v>
      </c>
      <c r="G894">
        <v>67</v>
      </c>
      <c r="H894">
        <v>73</v>
      </c>
      <c r="I894">
        <f>StudentsTable[[#This Row],[math score]]+StudentsTable[[#This Row],[reading score]]+StudentsTable[[#This Row],[writing score]]</f>
        <v>190</v>
      </c>
      <c r="J894">
        <f>StudentsTable[[#This Row],[TotalScore]]/3</f>
        <v>63.333333333333336</v>
      </c>
      <c r="K894" t="str" cm="1">
        <f t="array" ref="K894">_xlfn.IFS(StudentsTable[[#This Row],[AverageScore]]&gt;=90,"A",StudentsTable[[#This Row],[AverageScore]]&gt;=80,"B",StudentsTable[[#This Row],[AverageScore]]&gt;=70,"C",StudentsTable[[#This Row],[AverageScore]]&gt;=60,"D",TRUE,"F")</f>
        <v>D</v>
      </c>
      <c r="L894" t="str">
        <f>IF(StudentsTable[[#This Row],[AverageScore]]&gt;=60,"Pass","Fail")</f>
        <v>Pass</v>
      </c>
      <c r="M894" t="str" cm="1">
        <f t="array" ref="M894">_xlfn.IFS(StudentsTable[[#This Row],[AverageScore]]&gt;=85,"Advanced",StudentsTable[[#This Row],[AverageScore]]&gt;=70,"Intermediate",StudentsTable[[#This Row],[AverageScore]]&gt;=60,"Basic",TRUE,"Needs Help")</f>
        <v>Basic</v>
      </c>
      <c r="N894">
        <f>RANK(StudentsTable[[#This Row],[AverageScore]],StudentsTable[AverageScore])</f>
        <v>641</v>
      </c>
      <c r="O894">
        <f>(StudentsTable[[#This Row],[AverageScore]]-MIN(StudentsTable[AverageScore]))/(MAX(StudentsTable[AverageScore])-MIN(StudentsTable[AverageScore]))*100</f>
        <v>59.706959706959708</v>
      </c>
    </row>
    <row r="895" spans="1:15" x14ac:dyDescent="0.3">
      <c r="A895" t="s">
        <v>17</v>
      </c>
      <c r="B895" t="s">
        <v>21</v>
      </c>
      <c r="C895" t="s">
        <v>23</v>
      </c>
      <c r="D895" t="s">
        <v>11</v>
      </c>
      <c r="E895" t="s">
        <v>15</v>
      </c>
      <c r="F895">
        <v>88</v>
      </c>
      <c r="G895">
        <v>74</v>
      </c>
      <c r="H895">
        <v>75</v>
      </c>
      <c r="I895">
        <f>StudentsTable[[#This Row],[math score]]+StudentsTable[[#This Row],[reading score]]+StudentsTable[[#This Row],[writing score]]</f>
        <v>237</v>
      </c>
      <c r="J895">
        <f>StudentsTable[[#This Row],[TotalScore]]/3</f>
        <v>79</v>
      </c>
      <c r="K895" t="str" cm="1">
        <f t="array" ref="K895">_xlfn.IFS(StudentsTable[[#This Row],[AverageScore]]&gt;=90,"A",StudentsTable[[#This Row],[AverageScore]]&gt;=80,"B",StudentsTable[[#This Row],[AverageScore]]&gt;=70,"C",StudentsTable[[#This Row],[AverageScore]]&gt;=60,"D",TRUE,"F")</f>
        <v>C</v>
      </c>
      <c r="L895" t="str">
        <f>IF(StudentsTable[[#This Row],[AverageScore]]&gt;=60,"Pass","Fail")</f>
        <v>Pass</v>
      </c>
      <c r="M895" t="str" cm="1">
        <f t="array" ref="M895">_xlfn.IFS(StudentsTable[[#This Row],[AverageScore]]&gt;=85,"Advanced",StudentsTable[[#This Row],[AverageScore]]&gt;=70,"Intermediate",StudentsTable[[#This Row],[AverageScore]]&gt;=60,"Basic",TRUE,"Needs Help")</f>
        <v>Intermediate</v>
      </c>
      <c r="N895">
        <f>RANK(StudentsTable[[#This Row],[AverageScore]],StudentsTable[AverageScore])</f>
        <v>215</v>
      </c>
      <c r="O895">
        <f>(StudentsTable[[#This Row],[AverageScore]]-MIN(StudentsTable[AverageScore]))/(MAX(StudentsTable[AverageScore])-MIN(StudentsTable[AverageScore]))*100</f>
        <v>76.923076923076934</v>
      </c>
    </row>
    <row r="896" spans="1:15" x14ac:dyDescent="0.3">
      <c r="A896" t="s">
        <v>8</v>
      </c>
      <c r="B896" t="s">
        <v>24</v>
      </c>
      <c r="C896" t="s">
        <v>19</v>
      </c>
      <c r="D896" t="s">
        <v>11</v>
      </c>
      <c r="E896" t="s">
        <v>12</v>
      </c>
      <c r="F896">
        <v>59</v>
      </c>
      <c r="G896">
        <v>62</v>
      </c>
      <c r="H896">
        <v>69</v>
      </c>
      <c r="I896">
        <f>StudentsTable[[#This Row],[math score]]+StudentsTable[[#This Row],[reading score]]+StudentsTable[[#This Row],[writing score]]</f>
        <v>190</v>
      </c>
      <c r="J896">
        <f>StudentsTable[[#This Row],[TotalScore]]/3</f>
        <v>63.333333333333336</v>
      </c>
      <c r="K896" t="str" cm="1">
        <f t="array" ref="K896">_xlfn.IFS(StudentsTable[[#This Row],[AverageScore]]&gt;=90,"A",StudentsTable[[#This Row],[AverageScore]]&gt;=80,"B",StudentsTable[[#This Row],[AverageScore]]&gt;=70,"C",StudentsTable[[#This Row],[AverageScore]]&gt;=60,"D",TRUE,"F")</f>
        <v>D</v>
      </c>
      <c r="L896" t="str">
        <f>IF(StudentsTable[[#This Row],[AverageScore]]&gt;=60,"Pass","Fail")</f>
        <v>Pass</v>
      </c>
      <c r="M896" t="str" cm="1">
        <f t="array" ref="M896">_xlfn.IFS(StudentsTable[[#This Row],[AverageScore]]&gt;=85,"Advanced",StudentsTable[[#This Row],[AverageScore]]&gt;=70,"Intermediate",StudentsTable[[#This Row],[AverageScore]]&gt;=60,"Basic",TRUE,"Needs Help")</f>
        <v>Basic</v>
      </c>
      <c r="N896">
        <f>RANK(StudentsTable[[#This Row],[AverageScore]],StudentsTable[AverageScore])</f>
        <v>641</v>
      </c>
      <c r="O896">
        <f>(StudentsTable[[#This Row],[AverageScore]]-MIN(StudentsTable[AverageScore]))/(MAX(StudentsTable[AverageScore])-MIN(StudentsTable[AverageScore]))*100</f>
        <v>59.706959706959708</v>
      </c>
    </row>
    <row r="897" spans="1:15" x14ac:dyDescent="0.3">
      <c r="A897" t="s">
        <v>8</v>
      </c>
      <c r="B897" t="s">
        <v>24</v>
      </c>
      <c r="C897" t="s">
        <v>23</v>
      </c>
      <c r="D897" t="s">
        <v>20</v>
      </c>
      <c r="E897" t="s">
        <v>12</v>
      </c>
      <c r="F897">
        <v>32</v>
      </c>
      <c r="G897">
        <v>34</v>
      </c>
      <c r="H897">
        <v>38</v>
      </c>
      <c r="I897">
        <f>StudentsTable[[#This Row],[math score]]+StudentsTable[[#This Row],[reading score]]+StudentsTable[[#This Row],[writing score]]</f>
        <v>104</v>
      </c>
      <c r="J897">
        <f>StudentsTable[[#This Row],[TotalScore]]/3</f>
        <v>34.666666666666664</v>
      </c>
      <c r="K897" t="str" cm="1">
        <f t="array" ref="K897">_xlfn.IFS(StudentsTable[[#This Row],[AverageScore]]&gt;=90,"A",StudentsTable[[#This Row],[AverageScore]]&gt;=80,"B",StudentsTable[[#This Row],[AverageScore]]&gt;=70,"C",StudentsTable[[#This Row],[AverageScore]]&gt;=60,"D",TRUE,"F")</f>
        <v>F</v>
      </c>
      <c r="L897" t="str">
        <f>IF(StudentsTable[[#This Row],[AverageScore]]&gt;=60,"Pass","Fail")</f>
        <v>Fail</v>
      </c>
      <c r="M897" t="str" cm="1">
        <f t="array" ref="M897">_xlfn.IFS(StudentsTable[[#This Row],[AverageScore]]&gt;=85,"Advanced",StudentsTable[[#This Row],[AverageScore]]&gt;=70,"Intermediate",StudentsTable[[#This Row],[AverageScore]]&gt;=60,"Basic",TRUE,"Needs Help")</f>
        <v>Needs Help</v>
      </c>
      <c r="N897">
        <f>RANK(StudentsTable[[#This Row],[AverageScore]],StudentsTable[AverageScore])</f>
        <v>983</v>
      </c>
      <c r="O897">
        <f>(StudentsTable[[#This Row],[AverageScore]]-MIN(StudentsTable[AverageScore]))/(MAX(StudentsTable[AverageScore])-MIN(StudentsTable[AverageScore]))*100</f>
        <v>28.205128205128204</v>
      </c>
    </row>
    <row r="898" spans="1:15" x14ac:dyDescent="0.3">
      <c r="A898" t="s">
        <v>17</v>
      </c>
      <c r="B898" t="s">
        <v>9</v>
      </c>
      <c r="C898" t="s">
        <v>22</v>
      </c>
      <c r="D898" t="s">
        <v>20</v>
      </c>
      <c r="E898" t="s">
        <v>12</v>
      </c>
      <c r="F898">
        <v>36</v>
      </c>
      <c r="G898">
        <v>29</v>
      </c>
      <c r="H898">
        <v>27</v>
      </c>
      <c r="I898">
        <f>StudentsTable[[#This Row],[math score]]+StudentsTable[[#This Row],[reading score]]+StudentsTable[[#This Row],[writing score]]</f>
        <v>92</v>
      </c>
      <c r="J898">
        <f>StudentsTable[[#This Row],[TotalScore]]/3</f>
        <v>30.666666666666668</v>
      </c>
      <c r="K898" t="str" cm="1">
        <f t="array" ref="K898">_xlfn.IFS(StudentsTable[[#This Row],[AverageScore]]&gt;=90,"A",StudentsTable[[#This Row],[AverageScore]]&gt;=80,"B",StudentsTable[[#This Row],[AverageScore]]&gt;=70,"C",StudentsTable[[#This Row],[AverageScore]]&gt;=60,"D",TRUE,"F")</f>
        <v>F</v>
      </c>
      <c r="L898" t="str">
        <f>IF(StudentsTable[[#This Row],[AverageScore]]&gt;=60,"Pass","Fail")</f>
        <v>Fail</v>
      </c>
      <c r="M898" t="str" cm="1">
        <f t="array" ref="M898">_xlfn.IFS(StudentsTable[[#This Row],[AverageScore]]&gt;=85,"Advanced",StudentsTable[[#This Row],[AverageScore]]&gt;=70,"Intermediate",StudentsTable[[#This Row],[AverageScore]]&gt;=60,"Basic",TRUE,"Needs Help")</f>
        <v>Needs Help</v>
      </c>
      <c r="N898">
        <f>RANK(StudentsTable[[#This Row],[AverageScore]],StudentsTable[AverageScore])</f>
        <v>990</v>
      </c>
      <c r="O898">
        <f>(StudentsTable[[#This Row],[AverageScore]]-MIN(StudentsTable[AverageScore]))/(MAX(StudentsTable[AverageScore])-MIN(StudentsTable[AverageScore]))*100</f>
        <v>23.80952380952381</v>
      </c>
    </row>
    <row r="899" spans="1:15" x14ac:dyDescent="0.3">
      <c r="A899" t="s">
        <v>8</v>
      </c>
      <c r="B899" t="s">
        <v>9</v>
      </c>
      <c r="C899" t="s">
        <v>23</v>
      </c>
      <c r="D899" t="s">
        <v>20</v>
      </c>
      <c r="E899" t="s">
        <v>15</v>
      </c>
      <c r="F899">
        <v>63</v>
      </c>
      <c r="G899">
        <v>78</v>
      </c>
      <c r="H899">
        <v>79</v>
      </c>
      <c r="I899">
        <f>StudentsTable[[#This Row],[math score]]+StudentsTable[[#This Row],[reading score]]+StudentsTable[[#This Row],[writing score]]</f>
        <v>220</v>
      </c>
      <c r="J899">
        <f>StudentsTable[[#This Row],[TotalScore]]/3</f>
        <v>73.333333333333329</v>
      </c>
      <c r="K899" t="str" cm="1">
        <f t="array" ref="K899">_xlfn.IFS(StudentsTable[[#This Row],[AverageScore]]&gt;=90,"A",StudentsTable[[#This Row],[AverageScore]]&gt;=80,"B",StudentsTable[[#This Row],[AverageScore]]&gt;=70,"C",StudentsTable[[#This Row],[AverageScore]]&gt;=60,"D",TRUE,"F")</f>
        <v>C</v>
      </c>
      <c r="L899" t="str">
        <f>IF(StudentsTable[[#This Row],[AverageScore]]&gt;=60,"Pass","Fail")</f>
        <v>Pass</v>
      </c>
      <c r="M899" t="str" cm="1">
        <f t="array" ref="M899">_xlfn.IFS(StudentsTable[[#This Row],[AverageScore]]&gt;=85,"Advanced",StudentsTable[[#This Row],[AverageScore]]&gt;=70,"Intermediate",StudentsTable[[#This Row],[AverageScore]]&gt;=60,"Basic",TRUE,"Needs Help")</f>
        <v>Intermediate</v>
      </c>
      <c r="N899">
        <f>RANK(StudentsTable[[#This Row],[AverageScore]],StudentsTable[AverageScore])</f>
        <v>356</v>
      </c>
      <c r="O899">
        <f>(StudentsTable[[#This Row],[AverageScore]]-MIN(StudentsTable[AverageScore]))/(MAX(StudentsTable[AverageScore])-MIN(StudentsTable[AverageScore]))*100</f>
        <v>70.695970695970686</v>
      </c>
    </row>
    <row r="900" spans="1:15" x14ac:dyDescent="0.3">
      <c r="A900" t="s">
        <v>17</v>
      </c>
      <c r="B900" t="s">
        <v>21</v>
      </c>
      <c r="C900" t="s">
        <v>19</v>
      </c>
      <c r="D900" t="s">
        <v>11</v>
      </c>
      <c r="E900" t="s">
        <v>15</v>
      </c>
      <c r="F900">
        <v>67</v>
      </c>
      <c r="G900">
        <v>54</v>
      </c>
      <c r="H900">
        <v>63</v>
      </c>
      <c r="I900">
        <f>StudentsTable[[#This Row],[math score]]+StudentsTable[[#This Row],[reading score]]+StudentsTable[[#This Row],[writing score]]</f>
        <v>184</v>
      </c>
      <c r="J900">
        <f>StudentsTable[[#This Row],[TotalScore]]/3</f>
        <v>61.333333333333336</v>
      </c>
      <c r="K900" t="str" cm="1">
        <f t="array" ref="K900">_xlfn.IFS(StudentsTable[[#This Row],[AverageScore]]&gt;=90,"A",StudentsTable[[#This Row],[AverageScore]]&gt;=80,"B",StudentsTable[[#This Row],[AverageScore]]&gt;=70,"C",StudentsTable[[#This Row],[AverageScore]]&gt;=60,"D",TRUE,"F")</f>
        <v>D</v>
      </c>
      <c r="L900" t="str">
        <f>IF(StudentsTable[[#This Row],[AverageScore]]&gt;=60,"Pass","Fail")</f>
        <v>Pass</v>
      </c>
      <c r="M900" t="str" cm="1">
        <f t="array" ref="M900">_xlfn.IFS(StudentsTable[[#This Row],[AverageScore]]&gt;=85,"Advanced",StudentsTable[[#This Row],[AverageScore]]&gt;=70,"Intermediate",StudentsTable[[#This Row],[AverageScore]]&gt;=60,"Basic",TRUE,"Needs Help")</f>
        <v>Basic</v>
      </c>
      <c r="N900">
        <f>RANK(StudentsTable[[#This Row],[AverageScore]],StudentsTable[AverageScore])</f>
        <v>678</v>
      </c>
      <c r="O900">
        <f>(StudentsTable[[#This Row],[AverageScore]]-MIN(StudentsTable[AverageScore]))/(MAX(StudentsTable[AverageScore])-MIN(StudentsTable[AverageScore]))*100</f>
        <v>57.509157509157518</v>
      </c>
    </row>
    <row r="901" spans="1:15" x14ac:dyDescent="0.3">
      <c r="A901" t="s">
        <v>8</v>
      </c>
      <c r="B901" t="s">
        <v>21</v>
      </c>
      <c r="C901" t="s">
        <v>23</v>
      </c>
      <c r="D901" t="s">
        <v>11</v>
      </c>
      <c r="E901" t="s">
        <v>15</v>
      </c>
      <c r="F901">
        <v>65</v>
      </c>
      <c r="G901">
        <v>78</v>
      </c>
      <c r="H901">
        <v>82</v>
      </c>
      <c r="I901">
        <f>StudentsTable[[#This Row],[math score]]+StudentsTable[[#This Row],[reading score]]+StudentsTable[[#This Row],[writing score]]</f>
        <v>225</v>
      </c>
      <c r="J901">
        <f>StudentsTable[[#This Row],[TotalScore]]/3</f>
        <v>75</v>
      </c>
      <c r="K901" t="str" cm="1">
        <f t="array" ref="K901">_xlfn.IFS(StudentsTable[[#This Row],[AverageScore]]&gt;=90,"A",StudentsTable[[#This Row],[AverageScore]]&gt;=80,"B",StudentsTable[[#This Row],[AverageScore]]&gt;=70,"C",StudentsTable[[#This Row],[AverageScore]]&gt;=60,"D",TRUE,"F")</f>
        <v>C</v>
      </c>
      <c r="L901" t="str">
        <f>IF(StudentsTable[[#This Row],[AverageScore]]&gt;=60,"Pass","Fail")</f>
        <v>Pass</v>
      </c>
      <c r="M901" t="str" cm="1">
        <f t="array" ref="M901">_xlfn.IFS(StudentsTable[[#This Row],[AverageScore]]&gt;=85,"Advanced",StudentsTable[[#This Row],[AverageScore]]&gt;=70,"Intermediate",StudentsTable[[#This Row],[AverageScore]]&gt;=60,"Basic",TRUE,"Needs Help")</f>
        <v>Intermediate</v>
      </c>
      <c r="N901">
        <f>RANK(StudentsTable[[#This Row],[AverageScore]],StudentsTable[AverageScore])</f>
        <v>314</v>
      </c>
      <c r="O901">
        <f>(StudentsTable[[#This Row],[AverageScore]]-MIN(StudentsTable[AverageScore]))/(MAX(StudentsTable[AverageScore])-MIN(StudentsTable[AverageScore]))*100</f>
        <v>72.527472527472526</v>
      </c>
    </row>
    <row r="902" spans="1:15" x14ac:dyDescent="0.3">
      <c r="A902" t="s">
        <v>17</v>
      </c>
      <c r="B902" t="s">
        <v>21</v>
      </c>
      <c r="C902" t="s">
        <v>16</v>
      </c>
      <c r="D902" t="s">
        <v>11</v>
      </c>
      <c r="E902" t="s">
        <v>12</v>
      </c>
      <c r="F902">
        <v>85</v>
      </c>
      <c r="G902">
        <v>84</v>
      </c>
      <c r="H902">
        <v>89</v>
      </c>
      <c r="I902">
        <f>StudentsTable[[#This Row],[math score]]+StudentsTable[[#This Row],[reading score]]+StudentsTable[[#This Row],[writing score]]</f>
        <v>258</v>
      </c>
      <c r="J902">
        <f>StudentsTable[[#This Row],[TotalScore]]/3</f>
        <v>86</v>
      </c>
      <c r="K902" t="str" cm="1">
        <f t="array" ref="K902">_xlfn.IFS(StudentsTable[[#This Row],[AverageScore]]&gt;=90,"A",StudentsTable[[#This Row],[AverageScore]]&gt;=80,"B",StudentsTable[[#This Row],[AverageScore]]&gt;=70,"C",StudentsTable[[#This Row],[AverageScore]]&gt;=60,"D",TRUE,"F")</f>
        <v>B</v>
      </c>
      <c r="L902" t="str">
        <f>IF(StudentsTable[[#This Row],[AverageScore]]&gt;=60,"Pass","Fail")</f>
        <v>Pass</v>
      </c>
      <c r="M902" t="str" cm="1">
        <f t="array" ref="M902">_xlfn.IFS(StudentsTable[[#This Row],[AverageScore]]&gt;=85,"Advanced",StudentsTable[[#This Row],[AverageScore]]&gt;=70,"Intermediate",StudentsTable[[#This Row],[AverageScore]]&gt;=60,"Basic",TRUE,"Needs Help")</f>
        <v>Advanced</v>
      </c>
      <c r="N902">
        <f>RANK(StudentsTable[[#This Row],[AverageScore]],StudentsTable[AverageScore])</f>
        <v>99</v>
      </c>
      <c r="O902">
        <f>(StudentsTable[[#This Row],[AverageScore]]-MIN(StudentsTable[AverageScore]))/(MAX(StudentsTable[AverageScore])-MIN(StudentsTable[AverageScore]))*100</f>
        <v>84.615384615384613</v>
      </c>
    </row>
    <row r="903" spans="1:15" x14ac:dyDescent="0.3">
      <c r="A903" t="s">
        <v>8</v>
      </c>
      <c r="B903" t="s">
        <v>13</v>
      </c>
      <c r="C903" t="s">
        <v>16</v>
      </c>
      <c r="D903" t="s">
        <v>11</v>
      </c>
      <c r="E903" t="s">
        <v>12</v>
      </c>
      <c r="F903">
        <v>73</v>
      </c>
      <c r="G903">
        <v>78</v>
      </c>
      <c r="H903">
        <v>74</v>
      </c>
      <c r="I903">
        <f>StudentsTable[[#This Row],[math score]]+StudentsTable[[#This Row],[reading score]]+StudentsTable[[#This Row],[writing score]]</f>
        <v>225</v>
      </c>
      <c r="J903">
        <f>StudentsTable[[#This Row],[TotalScore]]/3</f>
        <v>75</v>
      </c>
      <c r="K903" t="str" cm="1">
        <f t="array" ref="K903">_xlfn.IFS(StudentsTable[[#This Row],[AverageScore]]&gt;=90,"A",StudentsTable[[#This Row],[AverageScore]]&gt;=80,"B",StudentsTable[[#This Row],[AverageScore]]&gt;=70,"C",StudentsTable[[#This Row],[AverageScore]]&gt;=60,"D",TRUE,"F")</f>
        <v>C</v>
      </c>
      <c r="L903" t="str">
        <f>IF(StudentsTable[[#This Row],[AverageScore]]&gt;=60,"Pass","Fail")</f>
        <v>Pass</v>
      </c>
      <c r="M903" t="str" cm="1">
        <f t="array" ref="M903">_xlfn.IFS(StudentsTable[[#This Row],[AverageScore]]&gt;=85,"Advanced",StudentsTable[[#This Row],[AverageScore]]&gt;=70,"Intermediate",StudentsTable[[#This Row],[AverageScore]]&gt;=60,"Basic",TRUE,"Needs Help")</f>
        <v>Intermediate</v>
      </c>
      <c r="N903">
        <f>RANK(StudentsTable[[#This Row],[AverageScore]],StudentsTable[AverageScore])</f>
        <v>314</v>
      </c>
      <c r="O903">
        <f>(StudentsTable[[#This Row],[AverageScore]]-MIN(StudentsTable[AverageScore]))/(MAX(StudentsTable[AverageScore])-MIN(StudentsTable[AverageScore]))*100</f>
        <v>72.527472527472526</v>
      </c>
    </row>
    <row r="904" spans="1:15" x14ac:dyDescent="0.3">
      <c r="A904" t="s">
        <v>8</v>
      </c>
      <c r="B904" t="s">
        <v>18</v>
      </c>
      <c r="C904" t="s">
        <v>22</v>
      </c>
      <c r="D904" t="s">
        <v>20</v>
      </c>
      <c r="E904" t="s">
        <v>15</v>
      </c>
      <c r="F904">
        <v>34</v>
      </c>
      <c r="G904">
        <v>48</v>
      </c>
      <c r="H904">
        <v>41</v>
      </c>
      <c r="I904">
        <f>StudentsTable[[#This Row],[math score]]+StudentsTable[[#This Row],[reading score]]+StudentsTable[[#This Row],[writing score]]</f>
        <v>123</v>
      </c>
      <c r="J904">
        <f>StudentsTable[[#This Row],[TotalScore]]/3</f>
        <v>41</v>
      </c>
      <c r="K904" t="str" cm="1">
        <f t="array" ref="K904">_xlfn.IFS(StudentsTable[[#This Row],[AverageScore]]&gt;=90,"A",StudentsTable[[#This Row],[AverageScore]]&gt;=80,"B",StudentsTable[[#This Row],[AverageScore]]&gt;=70,"C",StudentsTable[[#This Row],[AverageScore]]&gt;=60,"D",TRUE,"F")</f>
        <v>F</v>
      </c>
      <c r="L904" t="str">
        <f>IF(StudentsTable[[#This Row],[AverageScore]]&gt;=60,"Pass","Fail")</f>
        <v>Fail</v>
      </c>
      <c r="M904" t="str" cm="1">
        <f t="array" ref="M904">_xlfn.IFS(StudentsTable[[#This Row],[AverageScore]]&gt;=85,"Advanced",StudentsTable[[#This Row],[AverageScore]]&gt;=70,"Intermediate",StudentsTable[[#This Row],[AverageScore]]&gt;=60,"Basic",TRUE,"Needs Help")</f>
        <v>Needs Help</v>
      </c>
      <c r="N904">
        <f>RANK(StudentsTable[[#This Row],[AverageScore]],StudentsTable[AverageScore])</f>
        <v>965</v>
      </c>
      <c r="O904">
        <f>(StudentsTable[[#This Row],[AverageScore]]-MIN(StudentsTable[AverageScore]))/(MAX(StudentsTable[AverageScore])-MIN(StudentsTable[AverageScore]))*100</f>
        <v>35.164835164835168</v>
      </c>
    </row>
    <row r="905" spans="1:15" x14ac:dyDescent="0.3">
      <c r="A905" t="s">
        <v>8</v>
      </c>
      <c r="B905" t="s">
        <v>21</v>
      </c>
      <c r="C905" t="s">
        <v>10</v>
      </c>
      <c r="D905" t="s">
        <v>20</v>
      </c>
      <c r="E905" t="s">
        <v>15</v>
      </c>
      <c r="F905">
        <v>93</v>
      </c>
      <c r="G905">
        <v>100</v>
      </c>
      <c r="H905">
        <v>100</v>
      </c>
      <c r="I905">
        <f>StudentsTable[[#This Row],[math score]]+StudentsTable[[#This Row],[reading score]]+StudentsTable[[#This Row],[writing score]]</f>
        <v>293</v>
      </c>
      <c r="J905">
        <f>StudentsTable[[#This Row],[TotalScore]]/3</f>
        <v>97.666666666666671</v>
      </c>
      <c r="K905" t="str" cm="1">
        <f t="array" ref="K905">_xlfn.IFS(StudentsTable[[#This Row],[AverageScore]]&gt;=90,"A",StudentsTable[[#This Row],[AverageScore]]&gt;=80,"B",StudentsTable[[#This Row],[AverageScore]]&gt;=70,"C",StudentsTable[[#This Row],[AverageScore]]&gt;=60,"D",TRUE,"F")</f>
        <v>A</v>
      </c>
      <c r="L905" t="str">
        <f>IF(StudentsTable[[#This Row],[AverageScore]]&gt;=60,"Pass","Fail")</f>
        <v>Pass</v>
      </c>
      <c r="M905" t="str" cm="1">
        <f t="array" ref="M905">_xlfn.IFS(StudentsTable[[#This Row],[AverageScore]]&gt;=85,"Advanced",StudentsTable[[#This Row],[AverageScore]]&gt;=70,"Intermediate",StudentsTable[[#This Row],[AverageScore]]&gt;=60,"Basic",TRUE,"Needs Help")</f>
        <v>Advanced</v>
      </c>
      <c r="N905">
        <f>RANK(StudentsTable[[#This Row],[AverageScore]],StudentsTable[AverageScore])</f>
        <v>9</v>
      </c>
      <c r="O905">
        <f>(StudentsTable[[#This Row],[AverageScore]]-MIN(StudentsTable[AverageScore]))/(MAX(StudentsTable[AverageScore])-MIN(StudentsTable[AverageScore]))*100</f>
        <v>97.435897435897445</v>
      </c>
    </row>
    <row r="906" spans="1:15" x14ac:dyDescent="0.3">
      <c r="A906" t="s">
        <v>8</v>
      </c>
      <c r="B906" t="s">
        <v>21</v>
      </c>
      <c r="C906" t="s">
        <v>23</v>
      </c>
      <c r="D906" t="s">
        <v>20</v>
      </c>
      <c r="E906" t="s">
        <v>12</v>
      </c>
      <c r="F906">
        <v>67</v>
      </c>
      <c r="G906">
        <v>84</v>
      </c>
      <c r="H906">
        <v>84</v>
      </c>
      <c r="I906">
        <f>StudentsTable[[#This Row],[math score]]+StudentsTable[[#This Row],[reading score]]+StudentsTable[[#This Row],[writing score]]</f>
        <v>235</v>
      </c>
      <c r="J906">
        <f>StudentsTable[[#This Row],[TotalScore]]/3</f>
        <v>78.333333333333329</v>
      </c>
      <c r="K906" t="str" cm="1">
        <f t="array" ref="K906">_xlfn.IFS(StudentsTable[[#This Row],[AverageScore]]&gt;=90,"A",StudentsTable[[#This Row],[AverageScore]]&gt;=80,"B",StudentsTable[[#This Row],[AverageScore]]&gt;=70,"C",StudentsTable[[#This Row],[AverageScore]]&gt;=60,"D",TRUE,"F")</f>
        <v>C</v>
      </c>
      <c r="L906" t="str">
        <f>IF(StudentsTable[[#This Row],[AverageScore]]&gt;=60,"Pass","Fail")</f>
        <v>Pass</v>
      </c>
      <c r="M906" t="str" cm="1">
        <f t="array" ref="M906">_xlfn.IFS(StudentsTable[[#This Row],[AverageScore]]&gt;=85,"Advanced",StudentsTable[[#This Row],[AverageScore]]&gt;=70,"Intermediate",StudentsTable[[#This Row],[AverageScore]]&gt;=60,"Basic",TRUE,"Needs Help")</f>
        <v>Intermediate</v>
      </c>
      <c r="N906">
        <f>RANK(StudentsTable[[#This Row],[AverageScore]],StudentsTable[AverageScore])</f>
        <v>231</v>
      </c>
      <c r="O906">
        <f>(StudentsTable[[#This Row],[AverageScore]]-MIN(StudentsTable[AverageScore]))/(MAX(StudentsTable[AverageScore])-MIN(StudentsTable[AverageScore]))*100</f>
        <v>76.19047619047619</v>
      </c>
    </row>
    <row r="907" spans="1:15" x14ac:dyDescent="0.3">
      <c r="A907" t="s">
        <v>17</v>
      </c>
      <c r="B907" t="s">
        <v>21</v>
      </c>
      <c r="C907" t="s">
        <v>14</v>
      </c>
      <c r="D907" t="s">
        <v>11</v>
      </c>
      <c r="E907" t="s">
        <v>12</v>
      </c>
      <c r="F907">
        <v>88</v>
      </c>
      <c r="G907">
        <v>77</v>
      </c>
      <c r="H907">
        <v>77</v>
      </c>
      <c r="I907">
        <f>StudentsTable[[#This Row],[math score]]+StudentsTable[[#This Row],[reading score]]+StudentsTable[[#This Row],[writing score]]</f>
        <v>242</v>
      </c>
      <c r="J907">
        <f>StudentsTable[[#This Row],[TotalScore]]/3</f>
        <v>80.666666666666671</v>
      </c>
      <c r="K907" t="str" cm="1">
        <f t="array" ref="K907">_xlfn.IFS(StudentsTable[[#This Row],[AverageScore]]&gt;=90,"A",StudentsTable[[#This Row],[AverageScore]]&gt;=80,"B",StudentsTable[[#This Row],[AverageScore]]&gt;=70,"C",StudentsTable[[#This Row],[AverageScore]]&gt;=60,"D",TRUE,"F")</f>
        <v>B</v>
      </c>
      <c r="L907" t="str">
        <f>IF(StudentsTable[[#This Row],[AverageScore]]&gt;=60,"Pass","Fail")</f>
        <v>Pass</v>
      </c>
      <c r="M907" t="str" cm="1">
        <f t="array" ref="M907">_xlfn.IFS(StudentsTable[[#This Row],[AverageScore]]&gt;=85,"Advanced",StudentsTable[[#This Row],[AverageScore]]&gt;=70,"Intermediate",StudentsTable[[#This Row],[AverageScore]]&gt;=60,"Basic",TRUE,"Needs Help")</f>
        <v>Intermediate</v>
      </c>
      <c r="N907">
        <f>RANK(StudentsTable[[#This Row],[AverageScore]],StudentsTable[AverageScore])</f>
        <v>180</v>
      </c>
      <c r="O907">
        <f>(StudentsTable[[#This Row],[AverageScore]]-MIN(StudentsTable[AverageScore]))/(MAX(StudentsTable[AverageScore])-MIN(StudentsTable[AverageScore]))*100</f>
        <v>78.754578754578759</v>
      </c>
    </row>
    <row r="908" spans="1:15" x14ac:dyDescent="0.3">
      <c r="A908" t="s">
        <v>17</v>
      </c>
      <c r="B908" t="s">
        <v>9</v>
      </c>
      <c r="C908" t="s">
        <v>22</v>
      </c>
      <c r="D908" t="s">
        <v>11</v>
      </c>
      <c r="E908" t="s">
        <v>12</v>
      </c>
      <c r="F908">
        <v>57</v>
      </c>
      <c r="G908">
        <v>48</v>
      </c>
      <c r="H908">
        <v>51</v>
      </c>
      <c r="I908">
        <f>StudentsTable[[#This Row],[math score]]+StudentsTable[[#This Row],[reading score]]+StudentsTable[[#This Row],[writing score]]</f>
        <v>156</v>
      </c>
      <c r="J908">
        <f>StudentsTable[[#This Row],[TotalScore]]/3</f>
        <v>52</v>
      </c>
      <c r="K908" t="str" cm="1">
        <f t="array" ref="K908">_xlfn.IFS(StudentsTable[[#This Row],[AverageScore]]&gt;=90,"A",StudentsTable[[#This Row],[AverageScore]]&gt;=80,"B",StudentsTable[[#This Row],[AverageScore]]&gt;=70,"C",StudentsTable[[#This Row],[AverageScore]]&gt;=60,"D",TRUE,"F")</f>
        <v>F</v>
      </c>
      <c r="L908" t="str">
        <f>IF(StudentsTable[[#This Row],[AverageScore]]&gt;=60,"Pass","Fail")</f>
        <v>Fail</v>
      </c>
      <c r="M908" t="str" cm="1">
        <f t="array" ref="M908">_xlfn.IFS(StudentsTable[[#This Row],[AverageScore]]&gt;=85,"Advanced",StudentsTable[[#This Row],[AverageScore]]&gt;=70,"Intermediate",StudentsTable[[#This Row],[AverageScore]]&gt;=60,"Basic",TRUE,"Needs Help")</f>
        <v>Needs Help</v>
      </c>
      <c r="N908">
        <f>RANK(StudentsTable[[#This Row],[AverageScore]],StudentsTable[AverageScore])</f>
        <v>855</v>
      </c>
      <c r="O908">
        <f>(StudentsTable[[#This Row],[AverageScore]]-MIN(StudentsTable[AverageScore]))/(MAX(StudentsTable[AverageScore])-MIN(StudentsTable[AverageScore]))*100</f>
        <v>47.252747252747248</v>
      </c>
    </row>
    <row r="909" spans="1:15" x14ac:dyDescent="0.3">
      <c r="A909" t="s">
        <v>8</v>
      </c>
      <c r="B909" t="s">
        <v>21</v>
      </c>
      <c r="C909" t="s">
        <v>14</v>
      </c>
      <c r="D909" t="s">
        <v>11</v>
      </c>
      <c r="E909" t="s">
        <v>15</v>
      </c>
      <c r="F909">
        <v>79</v>
      </c>
      <c r="G909">
        <v>84</v>
      </c>
      <c r="H909">
        <v>91</v>
      </c>
      <c r="I909">
        <f>StudentsTable[[#This Row],[math score]]+StudentsTable[[#This Row],[reading score]]+StudentsTable[[#This Row],[writing score]]</f>
        <v>254</v>
      </c>
      <c r="J909">
        <f>StudentsTable[[#This Row],[TotalScore]]/3</f>
        <v>84.666666666666671</v>
      </c>
      <c r="K909" t="str" cm="1">
        <f t="array" ref="K909">_xlfn.IFS(StudentsTable[[#This Row],[AverageScore]]&gt;=90,"A",StudentsTable[[#This Row],[AverageScore]]&gt;=80,"B",StudentsTable[[#This Row],[AverageScore]]&gt;=70,"C",StudentsTable[[#This Row],[AverageScore]]&gt;=60,"D",TRUE,"F")</f>
        <v>B</v>
      </c>
      <c r="L909" t="str">
        <f>IF(StudentsTable[[#This Row],[AverageScore]]&gt;=60,"Pass","Fail")</f>
        <v>Pass</v>
      </c>
      <c r="M909" t="str" cm="1">
        <f t="array" ref="M909">_xlfn.IFS(StudentsTable[[#This Row],[AverageScore]]&gt;=85,"Advanced",StudentsTable[[#This Row],[AverageScore]]&gt;=70,"Intermediate",StudentsTable[[#This Row],[AverageScore]]&gt;=60,"Basic",TRUE,"Needs Help")</f>
        <v>Intermediate</v>
      </c>
      <c r="N909">
        <f>RANK(StudentsTable[[#This Row],[AverageScore]],StudentsTable[AverageScore])</f>
        <v>117</v>
      </c>
      <c r="O909">
        <f>(StudentsTable[[#This Row],[AverageScore]]-MIN(StudentsTable[AverageScore]))/(MAX(StudentsTable[AverageScore])-MIN(StudentsTable[AverageScore]))*100</f>
        <v>83.150183150183153</v>
      </c>
    </row>
    <row r="910" spans="1:15" x14ac:dyDescent="0.3">
      <c r="A910" t="s">
        <v>8</v>
      </c>
      <c r="B910" t="s">
        <v>13</v>
      </c>
      <c r="C910" t="s">
        <v>10</v>
      </c>
      <c r="D910" t="s">
        <v>20</v>
      </c>
      <c r="E910" t="s">
        <v>12</v>
      </c>
      <c r="F910">
        <v>67</v>
      </c>
      <c r="G910">
        <v>75</v>
      </c>
      <c r="H910">
        <v>72</v>
      </c>
      <c r="I910">
        <f>StudentsTable[[#This Row],[math score]]+StudentsTable[[#This Row],[reading score]]+StudentsTable[[#This Row],[writing score]]</f>
        <v>214</v>
      </c>
      <c r="J910">
        <f>StudentsTable[[#This Row],[TotalScore]]/3</f>
        <v>71.333333333333329</v>
      </c>
      <c r="K910" t="str" cm="1">
        <f t="array" ref="K910">_xlfn.IFS(StudentsTable[[#This Row],[AverageScore]]&gt;=90,"A",StudentsTable[[#This Row],[AverageScore]]&gt;=80,"B",StudentsTable[[#This Row],[AverageScore]]&gt;=70,"C",StudentsTable[[#This Row],[AverageScore]]&gt;=60,"D",TRUE,"F")</f>
        <v>C</v>
      </c>
      <c r="L910" t="str">
        <f>IF(StudentsTable[[#This Row],[AverageScore]]&gt;=60,"Pass","Fail")</f>
        <v>Pass</v>
      </c>
      <c r="M910" t="str" cm="1">
        <f t="array" ref="M910">_xlfn.IFS(StudentsTable[[#This Row],[AverageScore]]&gt;=85,"Advanced",StudentsTable[[#This Row],[AverageScore]]&gt;=70,"Intermediate",StudentsTable[[#This Row],[AverageScore]]&gt;=60,"Basic",TRUE,"Needs Help")</f>
        <v>Intermediate</v>
      </c>
      <c r="N910">
        <f>RANK(StudentsTable[[#This Row],[AverageScore]],StudentsTable[AverageScore])</f>
        <v>412</v>
      </c>
      <c r="O910">
        <f>(StudentsTable[[#This Row],[AverageScore]]-MIN(StudentsTable[AverageScore]))/(MAX(StudentsTable[AverageScore])-MIN(StudentsTable[AverageScore]))*100</f>
        <v>68.498168498168482</v>
      </c>
    </row>
    <row r="911" spans="1:15" x14ac:dyDescent="0.3">
      <c r="A911" t="s">
        <v>17</v>
      </c>
      <c r="B911" t="s">
        <v>24</v>
      </c>
      <c r="C911" t="s">
        <v>10</v>
      </c>
      <c r="D911" t="s">
        <v>11</v>
      </c>
      <c r="E911" t="s">
        <v>15</v>
      </c>
      <c r="F911">
        <v>70</v>
      </c>
      <c r="G911">
        <v>64</v>
      </c>
      <c r="H911">
        <v>70</v>
      </c>
      <c r="I911">
        <f>StudentsTable[[#This Row],[math score]]+StudentsTable[[#This Row],[reading score]]+StudentsTable[[#This Row],[writing score]]</f>
        <v>204</v>
      </c>
      <c r="J911">
        <f>StudentsTable[[#This Row],[TotalScore]]/3</f>
        <v>68</v>
      </c>
      <c r="K911" t="str" cm="1">
        <f t="array" ref="K911">_xlfn.IFS(StudentsTable[[#This Row],[AverageScore]]&gt;=90,"A",StudentsTable[[#This Row],[AverageScore]]&gt;=80,"B",StudentsTable[[#This Row],[AverageScore]]&gt;=70,"C",StudentsTable[[#This Row],[AverageScore]]&gt;=60,"D",TRUE,"F")</f>
        <v>D</v>
      </c>
      <c r="L911" t="str">
        <f>IF(StudentsTable[[#This Row],[AverageScore]]&gt;=60,"Pass","Fail")</f>
        <v>Pass</v>
      </c>
      <c r="M911" t="str" cm="1">
        <f t="array" ref="M911">_xlfn.IFS(StudentsTable[[#This Row],[AverageScore]]&gt;=85,"Advanced",StudentsTable[[#This Row],[AverageScore]]&gt;=70,"Intermediate",StudentsTable[[#This Row],[AverageScore]]&gt;=60,"Basic",TRUE,"Needs Help")</f>
        <v>Basic</v>
      </c>
      <c r="N911">
        <f>RANK(StudentsTable[[#This Row],[AverageScore]],StudentsTable[AverageScore])</f>
        <v>512</v>
      </c>
      <c r="O911">
        <f>(StudentsTable[[#This Row],[AverageScore]]-MIN(StudentsTable[AverageScore]))/(MAX(StudentsTable[AverageScore])-MIN(StudentsTable[AverageScore]))*100</f>
        <v>64.835164835164832</v>
      </c>
    </row>
    <row r="912" spans="1:15" x14ac:dyDescent="0.3">
      <c r="A912" t="s">
        <v>17</v>
      </c>
      <c r="B912" t="s">
        <v>21</v>
      </c>
      <c r="C912" t="s">
        <v>10</v>
      </c>
      <c r="D912" t="s">
        <v>20</v>
      </c>
      <c r="E912" t="s">
        <v>12</v>
      </c>
      <c r="F912">
        <v>50</v>
      </c>
      <c r="G912">
        <v>42</v>
      </c>
      <c r="H912">
        <v>48</v>
      </c>
      <c r="I912">
        <f>StudentsTable[[#This Row],[math score]]+StudentsTable[[#This Row],[reading score]]+StudentsTable[[#This Row],[writing score]]</f>
        <v>140</v>
      </c>
      <c r="J912">
        <f>StudentsTable[[#This Row],[TotalScore]]/3</f>
        <v>46.666666666666664</v>
      </c>
      <c r="K912" t="str" cm="1">
        <f t="array" ref="K912">_xlfn.IFS(StudentsTable[[#This Row],[AverageScore]]&gt;=90,"A",StudentsTable[[#This Row],[AverageScore]]&gt;=80,"B",StudentsTable[[#This Row],[AverageScore]]&gt;=70,"C",StudentsTable[[#This Row],[AverageScore]]&gt;=60,"D",TRUE,"F")</f>
        <v>F</v>
      </c>
      <c r="L912" t="str">
        <f>IF(StudentsTable[[#This Row],[AverageScore]]&gt;=60,"Pass","Fail")</f>
        <v>Fail</v>
      </c>
      <c r="M912" t="str" cm="1">
        <f t="array" ref="M912">_xlfn.IFS(StudentsTable[[#This Row],[AverageScore]]&gt;=85,"Advanced",StudentsTable[[#This Row],[AverageScore]]&gt;=70,"Intermediate",StudentsTable[[#This Row],[AverageScore]]&gt;=60,"Basic",TRUE,"Needs Help")</f>
        <v>Needs Help</v>
      </c>
      <c r="N912">
        <f>RANK(StudentsTable[[#This Row],[AverageScore]],StudentsTable[AverageScore])</f>
        <v>930</v>
      </c>
      <c r="O912">
        <f>(StudentsTable[[#This Row],[AverageScore]]-MIN(StudentsTable[AverageScore]))/(MAX(StudentsTable[AverageScore])-MIN(StudentsTable[AverageScore]))*100</f>
        <v>41.391941391941387</v>
      </c>
    </row>
    <row r="913" spans="1:15" x14ac:dyDescent="0.3">
      <c r="A913" t="s">
        <v>8</v>
      </c>
      <c r="B913" t="s">
        <v>18</v>
      </c>
      <c r="C913" t="s">
        <v>14</v>
      </c>
      <c r="D913" t="s">
        <v>11</v>
      </c>
      <c r="E913" t="s">
        <v>12</v>
      </c>
      <c r="F913">
        <v>69</v>
      </c>
      <c r="G913">
        <v>84</v>
      </c>
      <c r="H913">
        <v>82</v>
      </c>
      <c r="I913">
        <f>StudentsTable[[#This Row],[math score]]+StudentsTable[[#This Row],[reading score]]+StudentsTable[[#This Row],[writing score]]</f>
        <v>235</v>
      </c>
      <c r="J913">
        <f>StudentsTable[[#This Row],[TotalScore]]/3</f>
        <v>78.333333333333329</v>
      </c>
      <c r="K913" t="str" cm="1">
        <f t="array" ref="K913">_xlfn.IFS(StudentsTable[[#This Row],[AverageScore]]&gt;=90,"A",StudentsTable[[#This Row],[AverageScore]]&gt;=80,"B",StudentsTable[[#This Row],[AverageScore]]&gt;=70,"C",StudentsTable[[#This Row],[AverageScore]]&gt;=60,"D",TRUE,"F")</f>
        <v>C</v>
      </c>
      <c r="L913" t="str">
        <f>IF(StudentsTable[[#This Row],[AverageScore]]&gt;=60,"Pass","Fail")</f>
        <v>Pass</v>
      </c>
      <c r="M913" t="str" cm="1">
        <f t="array" ref="M913">_xlfn.IFS(StudentsTable[[#This Row],[AverageScore]]&gt;=85,"Advanced",StudentsTable[[#This Row],[AverageScore]]&gt;=70,"Intermediate",StudentsTable[[#This Row],[AverageScore]]&gt;=60,"Basic",TRUE,"Needs Help")</f>
        <v>Intermediate</v>
      </c>
      <c r="N913">
        <f>RANK(StudentsTable[[#This Row],[AverageScore]],StudentsTable[AverageScore])</f>
        <v>231</v>
      </c>
      <c r="O913">
        <f>(StudentsTable[[#This Row],[AverageScore]]-MIN(StudentsTable[AverageScore]))/(MAX(StudentsTable[AverageScore])-MIN(StudentsTable[AverageScore]))*100</f>
        <v>76.19047619047619</v>
      </c>
    </row>
    <row r="914" spans="1:15" x14ac:dyDescent="0.3">
      <c r="A914" t="s">
        <v>8</v>
      </c>
      <c r="B914" t="s">
        <v>13</v>
      </c>
      <c r="C914" t="s">
        <v>10</v>
      </c>
      <c r="D914" t="s">
        <v>11</v>
      </c>
      <c r="E914" t="s">
        <v>15</v>
      </c>
      <c r="F914">
        <v>52</v>
      </c>
      <c r="G914">
        <v>61</v>
      </c>
      <c r="H914">
        <v>66</v>
      </c>
      <c r="I914">
        <f>StudentsTable[[#This Row],[math score]]+StudentsTable[[#This Row],[reading score]]+StudentsTable[[#This Row],[writing score]]</f>
        <v>179</v>
      </c>
      <c r="J914">
        <f>StudentsTable[[#This Row],[TotalScore]]/3</f>
        <v>59.666666666666664</v>
      </c>
      <c r="K914" t="str" cm="1">
        <f t="array" ref="K914">_xlfn.IFS(StudentsTable[[#This Row],[AverageScore]]&gt;=90,"A",StudentsTable[[#This Row],[AverageScore]]&gt;=80,"B",StudentsTable[[#This Row],[AverageScore]]&gt;=70,"C",StudentsTable[[#This Row],[AverageScore]]&gt;=60,"D",TRUE,"F")</f>
        <v>F</v>
      </c>
      <c r="L914" t="str">
        <f>IF(StudentsTable[[#This Row],[AverageScore]]&gt;=60,"Pass","Fail")</f>
        <v>Fail</v>
      </c>
      <c r="M914" t="str" cm="1">
        <f t="array" ref="M914">_xlfn.IFS(StudentsTable[[#This Row],[AverageScore]]&gt;=85,"Advanced",StudentsTable[[#This Row],[AverageScore]]&gt;=70,"Intermediate",StudentsTable[[#This Row],[AverageScore]]&gt;=60,"Basic",TRUE,"Needs Help")</f>
        <v>Needs Help</v>
      </c>
      <c r="N914">
        <f>RANK(StudentsTable[[#This Row],[AverageScore]],StudentsTable[AverageScore])</f>
        <v>716</v>
      </c>
      <c r="O914">
        <f>(StudentsTable[[#This Row],[AverageScore]]-MIN(StudentsTable[AverageScore]))/(MAX(StudentsTable[AverageScore])-MIN(StudentsTable[AverageScore]))*100</f>
        <v>55.677655677655679</v>
      </c>
    </row>
    <row r="915" spans="1:15" x14ac:dyDescent="0.3">
      <c r="A915" t="s">
        <v>8</v>
      </c>
      <c r="B915" t="s">
        <v>13</v>
      </c>
      <c r="C915" t="s">
        <v>10</v>
      </c>
      <c r="D915" t="s">
        <v>20</v>
      </c>
      <c r="E915" t="s">
        <v>15</v>
      </c>
      <c r="F915">
        <v>47</v>
      </c>
      <c r="G915">
        <v>62</v>
      </c>
      <c r="H915">
        <v>66</v>
      </c>
      <c r="I915">
        <f>StudentsTable[[#This Row],[math score]]+StudentsTable[[#This Row],[reading score]]+StudentsTable[[#This Row],[writing score]]</f>
        <v>175</v>
      </c>
      <c r="J915">
        <f>StudentsTable[[#This Row],[TotalScore]]/3</f>
        <v>58.333333333333336</v>
      </c>
      <c r="K915" t="str" cm="1">
        <f t="array" ref="K915">_xlfn.IFS(StudentsTable[[#This Row],[AverageScore]]&gt;=90,"A",StudentsTable[[#This Row],[AverageScore]]&gt;=80,"B",StudentsTable[[#This Row],[AverageScore]]&gt;=70,"C",StudentsTable[[#This Row],[AverageScore]]&gt;=60,"D",TRUE,"F")</f>
        <v>F</v>
      </c>
      <c r="L915" t="str">
        <f>IF(StudentsTable[[#This Row],[AverageScore]]&gt;=60,"Pass","Fail")</f>
        <v>Fail</v>
      </c>
      <c r="M915" t="str" cm="1">
        <f t="array" ref="M915">_xlfn.IFS(StudentsTable[[#This Row],[AverageScore]]&gt;=85,"Advanced",StudentsTable[[#This Row],[AverageScore]]&gt;=70,"Intermediate",StudentsTable[[#This Row],[AverageScore]]&gt;=60,"Basic",TRUE,"Needs Help")</f>
        <v>Needs Help</v>
      </c>
      <c r="N915">
        <f>RANK(StudentsTable[[#This Row],[AverageScore]],StudentsTable[AverageScore])</f>
        <v>745</v>
      </c>
      <c r="O915">
        <f>(StudentsTable[[#This Row],[AverageScore]]-MIN(StudentsTable[AverageScore]))/(MAX(StudentsTable[AverageScore])-MIN(StudentsTable[AverageScore]))*100</f>
        <v>54.212454212454219</v>
      </c>
    </row>
    <row r="916" spans="1:15" x14ac:dyDescent="0.3">
      <c r="A916" t="s">
        <v>8</v>
      </c>
      <c r="B916" t="s">
        <v>9</v>
      </c>
      <c r="C916" t="s">
        <v>19</v>
      </c>
      <c r="D916" t="s">
        <v>20</v>
      </c>
      <c r="E916" t="s">
        <v>12</v>
      </c>
      <c r="F916">
        <v>46</v>
      </c>
      <c r="G916">
        <v>61</v>
      </c>
      <c r="H916">
        <v>55</v>
      </c>
      <c r="I916">
        <f>StudentsTable[[#This Row],[math score]]+StudentsTable[[#This Row],[reading score]]+StudentsTable[[#This Row],[writing score]]</f>
        <v>162</v>
      </c>
      <c r="J916">
        <f>StudentsTable[[#This Row],[TotalScore]]/3</f>
        <v>54</v>
      </c>
      <c r="K916" t="str" cm="1">
        <f t="array" ref="K916">_xlfn.IFS(StudentsTable[[#This Row],[AverageScore]]&gt;=90,"A",StudentsTable[[#This Row],[AverageScore]]&gt;=80,"B",StudentsTable[[#This Row],[AverageScore]]&gt;=70,"C",StudentsTable[[#This Row],[AverageScore]]&gt;=60,"D",TRUE,"F")</f>
        <v>F</v>
      </c>
      <c r="L916" t="str">
        <f>IF(StudentsTable[[#This Row],[AverageScore]]&gt;=60,"Pass","Fail")</f>
        <v>Fail</v>
      </c>
      <c r="M916" t="str" cm="1">
        <f t="array" ref="M916">_xlfn.IFS(StudentsTable[[#This Row],[AverageScore]]&gt;=85,"Advanced",StudentsTable[[#This Row],[AverageScore]]&gt;=70,"Intermediate",StudentsTable[[#This Row],[AverageScore]]&gt;=60,"Basic",TRUE,"Needs Help")</f>
        <v>Needs Help</v>
      </c>
      <c r="N916">
        <f>RANK(StudentsTable[[#This Row],[AverageScore]],StudentsTable[AverageScore])</f>
        <v>824</v>
      </c>
      <c r="O916">
        <f>(StudentsTable[[#This Row],[AverageScore]]-MIN(StudentsTable[AverageScore]))/(MAX(StudentsTable[AverageScore])-MIN(StudentsTable[AverageScore]))*100</f>
        <v>49.450549450549453</v>
      </c>
    </row>
    <row r="917" spans="1:15" x14ac:dyDescent="0.3">
      <c r="A917" t="s">
        <v>8</v>
      </c>
      <c r="B917" t="s">
        <v>24</v>
      </c>
      <c r="C917" t="s">
        <v>14</v>
      </c>
      <c r="D917" t="s">
        <v>11</v>
      </c>
      <c r="E917" t="s">
        <v>12</v>
      </c>
      <c r="F917">
        <v>68</v>
      </c>
      <c r="G917">
        <v>70</v>
      </c>
      <c r="H917">
        <v>66</v>
      </c>
      <c r="I917">
        <f>StudentsTable[[#This Row],[math score]]+StudentsTable[[#This Row],[reading score]]+StudentsTable[[#This Row],[writing score]]</f>
        <v>204</v>
      </c>
      <c r="J917">
        <f>StudentsTable[[#This Row],[TotalScore]]/3</f>
        <v>68</v>
      </c>
      <c r="K917" t="str" cm="1">
        <f t="array" ref="K917">_xlfn.IFS(StudentsTable[[#This Row],[AverageScore]]&gt;=90,"A",StudentsTable[[#This Row],[AverageScore]]&gt;=80,"B",StudentsTable[[#This Row],[AverageScore]]&gt;=70,"C",StudentsTable[[#This Row],[AverageScore]]&gt;=60,"D",TRUE,"F")</f>
        <v>D</v>
      </c>
      <c r="L917" t="str">
        <f>IF(StudentsTable[[#This Row],[AverageScore]]&gt;=60,"Pass","Fail")</f>
        <v>Pass</v>
      </c>
      <c r="M917" t="str" cm="1">
        <f t="array" ref="M917">_xlfn.IFS(StudentsTable[[#This Row],[AverageScore]]&gt;=85,"Advanced",StudentsTable[[#This Row],[AverageScore]]&gt;=70,"Intermediate",StudentsTable[[#This Row],[AverageScore]]&gt;=60,"Basic",TRUE,"Needs Help")</f>
        <v>Basic</v>
      </c>
      <c r="N917">
        <f>RANK(StudentsTable[[#This Row],[AverageScore]],StudentsTable[AverageScore])</f>
        <v>512</v>
      </c>
      <c r="O917">
        <f>(StudentsTable[[#This Row],[AverageScore]]-MIN(StudentsTable[AverageScore]))/(MAX(StudentsTable[AverageScore])-MIN(StudentsTable[AverageScore]))*100</f>
        <v>64.835164835164832</v>
      </c>
    </row>
    <row r="918" spans="1:15" x14ac:dyDescent="0.3">
      <c r="A918" t="s">
        <v>17</v>
      </c>
      <c r="B918" t="s">
        <v>24</v>
      </c>
      <c r="C918" t="s">
        <v>10</v>
      </c>
      <c r="D918" t="s">
        <v>11</v>
      </c>
      <c r="E918" t="s">
        <v>15</v>
      </c>
      <c r="F918">
        <v>100</v>
      </c>
      <c r="G918">
        <v>100</v>
      </c>
      <c r="H918">
        <v>100</v>
      </c>
      <c r="I918">
        <f>StudentsTable[[#This Row],[math score]]+StudentsTable[[#This Row],[reading score]]+StudentsTable[[#This Row],[writing score]]</f>
        <v>300</v>
      </c>
      <c r="J918">
        <f>StudentsTable[[#This Row],[TotalScore]]/3</f>
        <v>100</v>
      </c>
      <c r="K918" t="str" cm="1">
        <f t="array" ref="K918">_xlfn.IFS(StudentsTable[[#This Row],[AverageScore]]&gt;=90,"A",StudentsTable[[#This Row],[AverageScore]]&gt;=80,"B",StudentsTable[[#This Row],[AverageScore]]&gt;=70,"C",StudentsTable[[#This Row],[AverageScore]]&gt;=60,"D",TRUE,"F")</f>
        <v>A</v>
      </c>
      <c r="L918" t="str">
        <f>IF(StudentsTable[[#This Row],[AverageScore]]&gt;=60,"Pass","Fail")</f>
        <v>Pass</v>
      </c>
      <c r="M918" t="str" cm="1">
        <f t="array" ref="M918">_xlfn.IFS(StudentsTable[[#This Row],[AverageScore]]&gt;=85,"Advanced",StudentsTable[[#This Row],[AverageScore]]&gt;=70,"Intermediate",StudentsTable[[#This Row],[AverageScore]]&gt;=60,"Basic",TRUE,"Needs Help")</f>
        <v>Advanced</v>
      </c>
      <c r="N918">
        <f>RANK(StudentsTable[[#This Row],[AverageScore]],StudentsTable[AverageScore])</f>
        <v>1</v>
      </c>
      <c r="O918">
        <f>(StudentsTable[[#This Row],[AverageScore]]-MIN(StudentsTable[AverageScore]))/(MAX(StudentsTable[AverageScore])-MIN(StudentsTable[AverageScore]))*100</f>
        <v>100</v>
      </c>
    </row>
    <row r="919" spans="1:15" x14ac:dyDescent="0.3">
      <c r="A919" t="s">
        <v>8</v>
      </c>
      <c r="B919" t="s">
        <v>13</v>
      </c>
      <c r="C919" t="s">
        <v>22</v>
      </c>
      <c r="D919" t="s">
        <v>11</v>
      </c>
      <c r="E919" t="s">
        <v>12</v>
      </c>
      <c r="F919">
        <v>44</v>
      </c>
      <c r="G919">
        <v>61</v>
      </c>
      <c r="H919">
        <v>52</v>
      </c>
      <c r="I919">
        <f>StudentsTable[[#This Row],[math score]]+StudentsTable[[#This Row],[reading score]]+StudentsTable[[#This Row],[writing score]]</f>
        <v>157</v>
      </c>
      <c r="J919">
        <f>StudentsTable[[#This Row],[TotalScore]]/3</f>
        <v>52.333333333333336</v>
      </c>
      <c r="K919" t="str" cm="1">
        <f t="array" ref="K919">_xlfn.IFS(StudentsTable[[#This Row],[AverageScore]]&gt;=90,"A",StudentsTable[[#This Row],[AverageScore]]&gt;=80,"B",StudentsTable[[#This Row],[AverageScore]]&gt;=70,"C",StudentsTable[[#This Row],[AverageScore]]&gt;=60,"D",TRUE,"F")</f>
        <v>F</v>
      </c>
      <c r="L919" t="str">
        <f>IF(StudentsTable[[#This Row],[AverageScore]]&gt;=60,"Pass","Fail")</f>
        <v>Fail</v>
      </c>
      <c r="M919" t="str" cm="1">
        <f t="array" ref="M919">_xlfn.IFS(StudentsTable[[#This Row],[AverageScore]]&gt;=85,"Advanced",StudentsTable[[#This Row],[AverageScore]]&gt;=70,"Intermediate",StudentsTable[[#This Row],[AverageScore]]&gt;=60,"Basic",TRUE,"Needs Help")</f>
        <v>Needs Help</v>
      </c>
      <c r="N919">
        <f>RANK(StudentsTable[[#This Row],[AverageScore]],StudentsTable[AverageScore])</f>
        <v>850</v>
      </c>
      <c r="O919">
        <f>(StudentsTable[[#This Row],[AverageScore]]-MIN(StudentsTable[AverageScore]))/(MAX(StudentsTable[AverageScore])-MIN(StudentsTable[AverageScore]))*100</f>
        <v>47.61904761904762</v>
      </c>
    </row>
    <row r="920" spans="1:15" x14ac:dyDescent="0.3">
      <c r="A920" t="s">
        <v>8</v>
      </c>
      <c r="B920" t="s">
        <v>13</v>
      </c>
      <c r="C920" t="s">
        <v>19</v>
      </c>
      <c r="D920" t="s">
        <v>11</v>
      </c>
      <c r="E920" t="s">
        <v>15</v>
      </c>
      <c r="F920">
        <v>57</v>
      </c>
      <c r="G920">
        <v>77</v>
      </c>
      <c r="H920">
        <v>80</v>
      </c>
      <c r="I920">
        <f>StudentsTable[[#This Row],[math score]]+StudentsTable[[#This Row],[reading score]]+StudentsTable[[#This Row],[writing score]]</f>
        <v>214</v>
      </c>
      <c r="J920">
        <f>StudentsTable[[#This Row],[TotalScore]]/3</f>
        <v>71.333333333333329</v>
      </c>
      <c r="K920" t="str" cm="1">
        <f t="array" ref="K920">_xlfn.IFS(StudentsTable[[#This Row],[AverageScore]]&gt;=90,"A",StudentsTable[[#This Row],[AverageScore]]&gt;=80,"B",StudentsTable[[#This Row],[AverageScore]]&gt;=70,"C",StudentsTable[[#This Row],[AverageScore]]&gt;=60,"D",TRUE,"F")</f>
        <v>C</v>
      </c>
      <c r="L920" t="str">
        <f>IF(StudentsTable[[#This Row],[AverageScore]]&gt;=60,"Pass","Fail")</f>
        <v>Pass</v>
      </c>
      <c r="M920" t="str" cm="1">
        <f t="array" ref="M920">_xlfn.IFS(StudentsTable[[#This Row],[AverageScore]]&gt;=85,"Advanced",StudentsTable[[#This Row],[AverageScore]]&gt;=70,"Intermediate",StudentsTable[[#This Row],[AverageScore]]&gt;=60,"Basic",TRUE,"Needs Help")</f>
        <v>Intermediate</v>
      </c>
      <c r="N920">
        <f>RANK(StudentsTable[[#This Row],[AverageScore]],StudentsTable[AverageScore])</f>
        <v>412</v>
      </c>
      <c r="O920">
        <f>(StudentsTable[[#This Row],[AverageScore]]-MIN(StudentsTable[AverageScore]))/(MAX(StudentsTable[AverageScore])-MIN(StudentsTable[AverageScore]))*100</f>
        <v>68.498168498168482</v>
      </c>
    </row>
    <row r="921" spans="1:15" x14ac:dyDescent="0.3">
      <c r="A921" t="s">
        <v>17</v>
      </c>
      <c r="B921" t="s">
        <v>9</v>
      </c>
      <c r="C921" t="s">
        <v>14</v>
      </c>
      <c r="D921" t="s">
        <v>11</v>
      </c>
      <c r="E921" t="s">
        <v>15</v>
      </c>
      <c r="F921">
        <v>91</v>
      </c>
      <c r="G921">
        <v>96</v>
      </c>
      <c r="H921">
        <v>91</v>
      </c>
      <c r="I921">
        <f>StudentsTable[[#This Row],[math score]]+StudentsTable[[#This Row],[reading score]]+StudentsTable[[#This Row],[writing score]]</f>
        <v>278</v>
      </c>
      <c r="J921">
        <f>StudentsTable[[#This Row],[TotalScore]]/3</f>
        <v>92.666666666666671</v>
      </c>
      <c r="K921" t="str" cm="1">
        <f t="array" ref="K921">_xlfn.IFS(StudentsTable[[#This Row],[AverageScore]]&gt;=90,"A",StudentsTable[[#This Row],[AverageScore]]&gt;=80,"B",StudentsTable[[#This Row],[AverageScore]]&gt;=70,"C",StudentsTable[[#This Row],[AverageScore]]&gt;=60,"D",TRUE,"F")</f>
        <v>A</v>
      </c>
      <c r="L921" t="str">
        <f>IF(StudentsTable[[#This Row],[AverageScore]]&gt;=60,"Pass","Fail")</f>
        <v>Pass</v>
      </c>
      <c r="M921" t="str" cm="1">
        <f t="array" ref="M921">_xlfn.IFS(StudentsTable[[#This Row],[AverageScore]]&gt;=85,"Advanced",StudentsTable[[#This Row],[AverageScore]]&gt;=70,"Intermediate",StudentsTable[[#This Row],[AverageScore]]&gt;=60,"Basic",TRUE,"Needs Help")</f>
        <v>Advanced</v>
      </c>
      <c r="N921">
        <f>RANK(StudentsTable[[#This Row],[AverageScore]],StudentsTable[AverageScore])</f>
        <v>31</v>
      </c>
      <c r="O921">
        <f>(StudentsTable[[#This Row],[AverageScore]]-MIN(StudentsTable[AverageScore]))/(MAX(StudentsTable[AverageScore])-MIN(StudentsTable[AverageScore]))*100</f>
        <v>91.941391941391942</v>
      </c>
    </row>
    <row r="922" spans="1:15" x14ac:dyDescent="0.3">
      <c r="A922" t="s">
        <v>17</v>
      </c>
      <c r="B922" t="s">
        <v>21</v>
      </c>
      <c r="C922" t="s">
        <v>22</v>
      </c>
      <c r="D922" t="s">
        <v>20</v>
      </c>
      <c r="E922" t="s">
        <v>12</v>
      </c>
      <c r="F922">
        <v>69</v>
      </c>
      <c r="G922">
        <v>70</v>
      </c>
      <c r="H922">
        <v>67</v>
      </c>
      <c r="I922">
        <f>StudentsTable[[#This Row],[math score]]+StudentsTable[[#This Row],[reading score]]+StudentsTable[[#This Row],[writing score]]</f>
        <v>206</v>
      </c>
      <c r="J922">
        <f>StudentsTable[[#This Row],[TotalScore]]/3</f>
        <v>68.666666666666671</v>
      </c>
      <c r="K922" t="str" cm="1">
        <f t="array" ref="K922">_xlfn.IFS(StudentsTable[[#This Row],[AverageScore]]&gt;=90,"A",StudentsTable[[#This Row],[AverageScore]]&gt;=80,"B",StudentsTable[[#This Row],[AverageScore]]&gt;=70,"C",StudentsTable[[#This Row],[AverageScore]]&gt;=60,"D",TRUE,"F")</f>
        <v>D</v>
      </c>
      <c r="L922" t="str">
        <f>IF(StudentsTable[[#This Row],[AverageScore]]&gt;=60,"Pass","Fail")</f>
        <v>Pass</v>
      </c>
      <c r="M922" t="str" cm="1">
        <f t="array" ref="M922">_xlfn.IFS(StudentsTable[[#This Row],[AverageScore]]&gt;=85,"Advanced",StudentsTable[[#This Row],[AverageScore]]&gt;=70,"Intermediate",StudentsTable[[#This Row],[AverageScore]]&gt;=60,"Basic",TRUE,"Needs Help")</f>
        <v>Basic</v>
      </c>
      <c r="N922">
        <f>RANK(StudentsTable[[#This Row],[AverageScore]],StudentsTable[AverageScore])</f>
        <v>487</v>
      </c>
      <c r="O922">
        <f>(StudentsTable[[#This Row],[AverageScore]]-MIN(StudentsTable[AverageScore]))/(MAX(StudentsTable[AverageScore])-MIN(StudentsTable[AverageScore]))*100</f>
        <v>65.567765567765562</v>
      </c>
    </row>
    <row r="923" spans="1:15" x14ac:dyDescent="0.3">
      <c r="A923" t="s">
        <v>8</v>
      </c>
      <c r="B923" t="s">
        <v>13</v>
      </c>
      <c r="C923" t="s">
        <v>22</v>
      </c>
      <c r="D923" t="s">
        <v>20</v>
      </c>
      <c r="E923" t="s">
        <v>12</v>
      </c>
      <c r="F923">
        <v>35</v>
      </c>
      <c r="G923">
        <v>53</v>
      </c>
      <c r="H923">
        <v>46</v>
      </c>
      <c r="I923">
        <f>StudentsTable[[#This Row],[math score]]+StudentsTable[[#This Row],[reading score]]+StudentsTable[[#This Row],[writing score]]</f>
        <v>134</v>
      </c>
      <c r="J923">
        <f>StudentsTable[[#This Row],[TotalScore]]/3</f>
        <v>44.666666666666664</v>
      </c>
      <c r="K923" t="str" cm="1">
        <f t="array" ref="K923">_xlfn.IFS(StudentsTable[[#This Row],[AverageScore]]&gt;=90,"A",StudentsTable[[#This Row],[AverageScore]]&gt;=80,"B",StudentsTable[[#This Row],[AverageScore]]&gt;=70,"C",StudentsTable[[#This Row],[AverageScore]]&gt;=60,"D",TRUE,"F")</f>
        <v>F</v>
      </c>
      <c r="L923" t="str">
        <f>IF(StudentsTable[[#This Row],[AverageScore]]&gt;=60,"Pass","Fail")</f>
        <v>Fail</v>
      </c>
      <c r="M923" t="str" cm="1">
        <f t="array" ref="M923">_xlfn.IFS(StudentsTable[[#This Row],[AverageScore]]&gt;=85,"Advanced",StudentsTable[[#This Row],[AverageScore]]&gt;=70,"Intermediate",StudentsTable[[#This Row],[AverageScore]]&gt;=60,"Basic",TRUE,"Needs Help")</f>
        <v>Needs Help</v>
      </c>
      <c r="N923">
        <f>RANK(StudentsTable[[#This Row],[AverageScore]],StudentsTable[AverageScore])</f>
        <v>947</v>
      </c>
      <c r="O923">
        <f>(StudentsTable[[#This Row],[AverageScore]]-MIN(StudentsTable[AverageScore]))/(MAX(StudentsTable[AverageScore])-MIN(StudentsTable[AverageScore]))*100</f>
        <v>39.194139194139197</v>
      </c>
    </row>
    <row r="924" spans="1:15" x14ac:dyDescent="0.3">
      <c r="A924" t="s">
        <v>17</v>
      </c>
      <c r="B924" t="s">
        <v>21</v>
      </c>
      <c r="C924" t="s">
        <v>22</v>
      </c>
      <c r="D924" t="s">
        <v>11</v>
      </c>
      <c r="E924" t="s">
        <v>12</v>
      </c>
      <c r="F924">
        <v>72</v>
      </c>
      <c r="G924">
        <v>66</v>
      </c>
      <c r="H924">
        <v>66</v>
      </c>
      <c r="I924">
        <f>StudentsTable[[#This Row],[math score]]+StudentsTable[[#This Row],[reading score]]+StudentsTable[[#This Row],[writing score]]</f>
        <v>204</v>
      </c>
      <c r="J924">
        <f>StudentsTable[[#This Row],[TotalScore]]/3</f>
        <v>68</v>
      </c>
      <c r="K924" t="str" cm="1">
        <f t="array" ref="K924">_xlfn.IFS(StudentsTable[[#This Row],[AverageScore]]&gt;=90,"A",StudentsTable[[#This Row],[AverageScore]]&gt;=80,"B",StudentsTable[[#This Row],[AverageScore]]&gt;=70,"C",StudentsTable[[#This Row],[AverageScore]]&gt;=60,"D",TRUE,"F")</f>
        <v>D</v>
      </c>
      <c r="L924" t="str">
        <f>IF(StudentsTable[[#This Row],[AverageScore]]&gt;=60,"Pass","Fail")</f>
        <v>Pass</v>
      </c>
      <c r="M924" t="str" cm="1">
        <f t="array" ref="M924">_xlfn.IFS(StudentsTable[[#This Row],[AverageScore]]&gt;=85,"Advanced",StudentsTable[[#This Row],[AverageScore]]&gt;=70,"Intermediate",StudentsTable[[#This Row],[AverageScore]]&gt;=60,"Basic",TRUE,"Needs Help")</f>
        <v>Basic</v>
      </c>
      <c r="N924">
        <f>RANK(StudentsTable[[#This Row],[AverageScore]],StudentsTable[AverageScore])</f>
        <v>512</v>
      </c>
      <c r="O924">
        <f>(StudentsTable[[#This Row],[AverageScore]]-MIN(StudentsTable[AverageScore]))/(MAX(StudentsTable[AverageScore])-MIN(StudentsTable[AverageScore]))*100</f>
        <v>64.835164835164832</v>
      </c>
    </row>
    <row r="925" spans="1:15" x14ac:dyDescent="0.3">
      <c r="A925" t="s">
        <v>8</v>
      </c>
      <c r="B925" t="s">
        <v>9</v>
      </c>
      <c r="C925" t="s">
        <v>19</v>
      </c>
      <c r="D925" t="s">
        <v>20</v>
      </c>
      <c r="E925" t="s">
        <v>12</v>
      </c>
      <c r="F925">
        <v>54</v>
      </c>
      <c r="G925">
        <v>65</v>
      </c>
      <c r="H925">
        <v>65</v>
      </c>
      <c r="I925">
        <f>StudentsTable[[#This Row],[math score]]+StudentsTable[[#This Row],[reading score]]+StudentsTable[[#This Row],[writing score]]</f>
        <v>184</v>
      </c>
      <c r="J925">
        <f>StudentsTable[[#This Row],[TotalScore]]/3</f>
        <v>61.333333333333336</v>
      </c>
      <c r="K925" t="str" cm="1">
        <f t="array" ref="K925">_xlfn.IFS(StudentsTable[[#This Row],[AverageScore]]&gt;=90,"A",StudentsTable[[#This Row],[AverageScore]]&gt;=80,"B",StudentsTable[[#This Row],[AverageScore]]&gt;=70,"C",StudentsTable[[#This Row],[AverageScore]]&gt;=60,"D",TRUE,"F")</f>
        <v>D</v>
      </c>
      <c r="L925" t="str">
        <f>IF(StudentsTable[[#This Row],[AverageScore]]&gt;=60,"Pass","Fail")</f>
        <v>Pass</v>
      </c>
      <c r="M925" t="str" cm="1">
        <f t="array" ref="M925">_xlfn.IFS(StudentsTable[[#This Row],[AverageScore]]&gt;=85,"Advanced",StudentsTable[[#This Row],[AverageScore]]&gt;=70,"Intermediate",StudentsTable[[#This Row],[AverageScore]]&gt;=60,"Basic",TRUE,"Needs Help")</f>
        <v>Basic</v>
      </c>
      <c r="N925">
        <f>RANK(StudentsTable[[#This Row],[AverageScore]],StudentsTable[AverageScore])</f>
        <v>678</v>
      </c>
      <c r="O925">
        <f>(StudentsTable[[#This Row],[AverageScore]]-MIN(StudentsTable[AverageScore]))/(MAX(StudentsTable[AverageScore])-MIN(StudentsTable[AverageScore]))*100</f>
        <v>57.509157509157518</v>
      </c>
    </row>
    <row r="926" spans="1:15" x14ac:dyDescent="0.3">
      <c r="A926" t="s">
        <v>17</v>
      </c>
      <c r="B926" t="s">
        <v>21</v>
      </c>
      <c r="C926" t="s">
        <v>22</v>
      </c>
      <c r="D926" t="s">
        <v>20</v>
      </c>
      <c r="E926" t="s">
        <v>12</v>
      </c>
      <c r="F926">
        <v>74</v>
      </c>
      <c r="G926">
        <v>70</v>
      </c>
      <c r="H926">
        <v>69</v>
      </c>
      <c r="I926">
        <f>StudentsTable[[#This Row],[math score]]+StudentsTable[[#This Row],[reading score]]+StudentsTable[[#This Row],[writing score]]</f>
        <v>213</v>
      </c>
      <c r="J926">
        <f>StudentsTable[[#This Row],[TotalScore]]/3</f>
        <v>71</v>
      </c>
      <c r="K926" t="str" cm="1">
        <f t="array" ref="K926">_xlfn.IFS(StudentsTable[[#This Row],[AverageScore]]&gt;=90,"A",StudentsTable[[#This Row],[AverageScore]]&gt;=80,"B",StudentsTable[[#This Row],[AverageScore]]&gt;=70,"C",StudentsTable[[#This Row],[AverageScore]]&gt;=60,"D",TRUE,"F")</f>
        <v>C</v>
      </c>
      <c r="L926" t="str">
        <f>IF(StudentsTable[[#This Row],[AverageScore]]&gt;=60,"Pass","Fail")</f>
        <v>Pass</v>
      </c>
      <c r="M926" t="str" cm="1">
        <f t="array" ref="M926">_xlfn.IFS(StudentsTable[[#This Row],[AverageScore]]&gt;=85,"Advanced",StudentsTable[[#This Row],[AverageScore]]&gt;=70,"Intermediate",StudentsTable[[#This Row],[AverageScore]]&gt;=60,"Basic",TRUE,"Needs Help")</f>
        <v>Intermediate</v>
      </c>
      <c r="N926">
        <f>RANK(StudentsTable[[#This Row],[AverageScore]],StudentsTable[AverageScore])</f>
        <v>424</v>
      </c>
      <c r="O926">
        <f>(StudentsTable[[#This Row],[AverageScore]]-MIN(StudentsTable[AverageScore]))/(MAX(StudentsTable[AverageScore])-MIN(StudentsTable[AverageScore]))*100</f>
        <v>68.131868131868131</v>
      </c>
    </row>
    <row r="927" spans="1:15" x14ac:dyDescent="0.3">
      <c r="A927" t="s">
        <v>17</v>
      </c>
      <c r="B927" t="s">
        <v>24</v>
      </c>
      <c r="C927" t="s">
        <v>23</v>
      </c>
      <c r="D927" t="s">
        <v>11</v>
      </c>
      <c r="E927" t="s">
        <v>15</v>
      </c>
      <c r="F927">
        <v>74</v>
      </c>
      <c r="G927">
        <v>64</v>
      </c>
      <c r="H927">
        <v>60</v>
      </c>
      <c r="I927">
        <f>StudentsTable[[#This Row],[math score]]+StudentsTable[[#This Row],[reading score]]+StudentsTable[[#This Row],[writing score]]</f>
        <v>198</v>
      </c>
      <c r="J927">
        <f>StudentsTable[[#This Row],[TotalScore]]/3</f>
        <v>66</v>
      </c>
      <c r="K927" t="str" cm="1">
        <f t="array" ref="K927">_xlfn.IFS(StudentsTable[[#This Row],[AverageScore]]&gt;=90,"A",StudentsTable[[#This Row],[AverageScore]]&gt;=80,"B",StudentsTable[[#This Row],[AverageScore]]&gt;=70,"C",StudentsTable[[#This Row],[AverageScore]]&gt;=60,"D",TRUE,"F")</f>
        <v>D</v>
      </c>
      <c r="L927" t="str">
        <f>IF(StudentsTable[[#This Row],[AverageScore]]&gt;=60,"Pass","Fail")</f>
        <v>Pass</v>
      </c>
      <c r="M927" t="str" cm="1">
        <f t="array" ref="M927">_xlfn.IFS(StudentsTable[[#This Row],[AverageScore]]&gt;=85,"Advanced",StudentsTable[[#This Row],[AverageScore]]&gt;=70,"Intermediate",StudentsTable[[#This Row],[AverageScore]]&gt;=60,"Basic",TRUE,"Needs Help")</f>
        <v>Basic</v>
      </c>
      <c r="N927">
        <f>RANK(StudentsTable[[#This Row],[AverageScore]],StudentsTable[AverageScore])</f>
        <v>562</v>
      </c>
      <c r="O927">
        <f>(StudentsTable[[#This Row],[AverageScore]]-MIN(StudentsTable[AverageScore]))/(MAX(StudentsTable[AverageScore])-MIN(StudentsTable[AverageScore]))*100</f>
        <v>62.637362637362635</v>
      </c>
    </row>
    <row r="928" spans="1:15" x14ac:dyDescent="0.3">
      <c r="A928" t="s">
        <v>17</v>
      </c>
      <c r="B928" t="s">
        <v>24</v>
      </c>
      <c r="C928" t="s">
        <v>19</v>
      </c>
      <c r="D928" t="s">
        <v>20</v>
      </c>
      <c r="E928" t="s">
        <v>12</v>
      </c>
      <c r="F928">
        <v>64</v>
      </c>
      <c r="G928">
        <v>56</v>
      </c>
      <c r="H928">
        <v>52</v>
      </c>
      <c r="I928">
        <f>StudentsTable[[#This Row],[math score]]+StudentsTable[[#This Row],[reading score]]+StudentsTable[[#This Row],[writing score]]</f>
        <v>172</v>
      </c>
      <c r="J928">
        <f>StudentsTable[[#This Row],[TotalScore]]/3</f>
        <v>57.333333333333336</v>
      </c>
      <c r="K928" t="str" cm="1">
        <f t="array" ref="K928">_xlfn.IFS(StudentsTable[[#This Row],[AverageScore]]&gt;=90,"A",StudentsTable[[#This Row],[AverageScore]]&gt;=80,"B",StudentsTable[[#This Row],[AverageScore]]&gt;=70,"C",StudentsTable[[#This Row],[AverageScore]]&gt;=60,"D",TRUE,"F")</f>
        <v>F</v>
      </c>
      <c r="L928" t="str">
        <f>IF(StudentsTable[[#This Row],[AverageScore]]&gt;=60,"Pass","Fail")</f>
        <v>Fail</v>
      </c>
      <c r="M928" t="str" cm="1">
        <f t="array" ref="M928">_xlfn.IFS(StudentsTable[[#This Row],[AverageScore]]&gt;=85,"Advanced",StudentsTable[[#This Row],[AverageScore]]&gt;=70,"Intermediate",StudentsTable[[#This Row],[AverageScore]]&gt;=60,"Basic",TRUE,"Needs Help")</f>
        <v>Needs Help</v>
      </c>
      <c r="N928">
        <f>RANK(StudentsTable[[#This Row],[AverageScore]],StudentsTable[AverageScore])</f>
        <v>764</v>
      </c>
      <c r="O928">
        <f>(StudentsTable[[#This Row],[AverageScore]]-MIN(StudentsTable[AverageScore]))/(MAX(StudentsTable[AverageScore])-MIN(StudentsTable[AverageScore]))*100</f>
        <v>53.113553113553117</v>
      </c>
    </row>
    <row r="929" spans="1:15" x14ac:dyDescent="0.3">
      <c r="A929" t="s">
        <v>8</v>
      </c>
      <c r="B929" t="s">
        <v>21</v>
      </c>
      <c r="C929" t="s">
        <v>22</v>
      </c>
      <c r="D929" t="s">
        <v>20</v>
      </c>
      <c r="E929" t="s">
        <v>15</v>
      </c>
      <c r="F929">
        <v>65</v>
      </c>
      <c r="G929">
        <v>61</v>
      </c>
      <c r="H929">
        <v>71</v>
      </c>
      <c r="I929">
        <f>StudentsTable[[#This Row],[math score]]+StudentsTable[[#This Row],[reading score]]+StudentsTable[[#This Row],[writing score]]</f>
        <v>197</v>
      </c>
      <c r="J929">
        <f>StudentsTable[[#This Row],[TotalScore]]/3</f>
        <v>65.666666666666671</v>
      </c>
      <c r="K929" t="str" cm="1">
        <f t="array" ref="K929">_xlfn.IFS(StudentsTable[[#This Row],[AverageScore]]&gt;=90,"A",StudentsTable[[#This Row],[AverageScore]]&gt;=80,"B",StudentsTable[[#This Row],[AverageScore]]&gt;=70,"C",StudentsTable[[#This Row],[AverageScore]]&gt;=60,"D",TRUE,"F")</f>
        <v>D</v>
      </c>
      <c r="L929" t="str">
        <f>IF(StudentsTable[[#This Row],[AverageScore]]&gt;=60,"Pass","Fail")</f>
        <v>Pass</v>
      </c>
      <c r="M929" t="str" cm="1">
        <f t="array" ref="M929">_xlfn.IFS(StudentsTable[[#This Row],[AverageScore]]&gt;=85,"Advanced",StudentsTable[[#This Row],[AverageScore]]&gt;=70,"Intermediate",StudentsTable[[#This Row],[AverageScore]]&gt;=60,"Basic",TRUE,"Needs Help")</f>
        <v>Basic</v>
      </c>
      <c r="N929">
        <f>RANK(StudentsTable[[#This Row],[AverageScore]],StudentsTable[AverageScore])</f>
        <v>576</v>
      </c>
      <c r="O929">
        <f>(StudentsTable[[#This Row],[AverageScore]]-MIN(StudentsTable[AverageScore]))/(MAX(StudentsTable[AverageScore])-MIN(StudentsTable[AverageScore]))*100</f>
        <v>62.27106227106227</v>
      </c>
    </row>
    <row r="930" spans="1:15" x14ac:dyDescent="0.3">
      <c r="A930" t="s">
        <v>17</v>
      </c>
      <c r="B930" t="s">
        <v>24</v>
      </c>
      <c r="C930" t="s">
        <v>19</v>
      </c>
      <c r="D930" t="s">
        <v>20</v>
      </c>
      <c r="E930" t="s">
        <v>15</v>
      </c>
      <c r="F930">
        <v>46</v>
      </c>
      <c r="G930">
        <v>43</v>
      </c>
      <c r="H930">
        <v>44</v>
      </c>
      <c r="I930">
        <f>StudentsTable[[#This Row],[math score]]+StudentsTable[[#This Row],[reading score]]+StudentsTable[[#This Row],[writing score]]</f>
        <v>133</v>
      </c>
      <c r="J930">
        <f>StudentsTable[[#This Row],[TotalScore]]/3</f>
        <v>44.333333333333336</v>
      </c>
      <c r="K930" t="str" cm="1">
        <f t="array" ref="K930">_xlfn.IFS(StudentsTable[[#This Row],[AverageScore]]&gt;=90,"A",StudentsTable[[#This Row],[AverageScore]]&gt;=80,"B",StudentsTable[[#This Row],[AverageScore]]&gt;=70,"C",StudentsTable[[#This Row],[AverageScore]]&gt;=60,"D",TRUE,"F")</f>
        <v>F</v>
      </c>
      <c r="L930" t="str">
        <f>IF(StudentsTable[[#This Row],[AverageScore]]&gt;=60,"Pass","Fail")</f>
        <v>Fail</v>
      </c>
      <c r="M930" t="str" cm="1">
        <f t="array" ref="M930">_xlfn.IFS(StudentsTable[[#This Row],[AverageScore]]&gt;=85,"Advanced",StudentsTable[[#This Row],[AverageScore]]&gt;=70,"Intermediate",StudentsTable[[#This Row],[AverageScore]]&gt;=60,"Basic",TRUE,"Needs Help")</f>
        <v>Needs Help</v>
      </c>
      <c r="N930">
        <f>RANK(StudentsTable[[#This Row],[AverageScore]],StudentsTable[AverageScore])</f>
        <v>951</v>
      </c>
      <c r="O930">
        <f>(StudentsTable[[#This Row],[AverageScore]]-MIN(StudentsTable[AverageScore]))/(MAX(StudentsTable[AverageScore])-MIN(StudentsTable[AverageScore]))*100</f>
        <v>38.827838827838832</v>
      </c>
    </row>
    <row r="931" spans="1:15" x14ac:dyDescent="0.3">
      <c r="A931" t="s">
        <v>8</v>
      </c>
      <c r="B931" t="s">
        <v>13</v>
      </c>
      <c r="C931" t="s">
        <v>23</v>
      </c>
      <c r="D931" t="s">
        <v>20</v>
      </c>
      <c r="E931" t="s">
        <v>12</v>
      </c>
      <c r="F931">
        <v>48</v>
      </c>
      <c r="G931">
        <v>56</v>
      </c>
      <c r="H931">
        <v>51</v>
      </c>
      <c r="I931">
        <f>StudentsTable[[#This Row],[math score]]+StudentsTable[[#This Row],[reading score]]+StudentsTable[[#This Row],[writing score]]</f>
        <v>155</v>
      </c>
      <c r="J931">
        <f>StudentsTable[[#This Row],[TotalScore]]/3</f>
        <v>51.666666666666664</v>
      </c>
      <c r="K931" t="str" cm="1">
        <f t="array" ref="K931">_xlfn.IFS(StudentsTable[[#This Row],[AverageScore]]&gt;=90,"A",StudentsTable[[#This Row],[AverageScore]]&gt;=80,"B",StudentsTable[[#This Row],[AverageScore]]&gt;=70,"C",StudentsTable[[#This Row],[AverageScore]]&gt;=60,"D",TRUE,"F")</f>
        <v>F</v>
      </c>
      <c r="L931" t="str">
        <f>IF(StudentsTable[[#This Row],[AverageScore]]&gt;=60,"Pass","Fail")</f>
        <v>Fail</v>
      </c>
      <c r="M931" t="str" cm="1">
        <f t="array" ref="M931">_xlfn.IFS(StudentsTable[[#This Row],[AverageScore]]&gt;=85,"Advanced",StudentsTable[[#This Row],[AverageScore]]&gt;=70,"Intermediate",StudentsTable[[#This Row],[AverageScore]]&gt;=60,"Basic",TRUE,"Needs Help")</f>
        <v>Needs Help</v>
      </c>
      <c r="N931">
        <f>RANK(StudentsTable[[#This Row],[AverageScore]],StudentsTable[AverageScore])</f>
        <v>860</v>
      </c>
      <c r="O931">
        <f>(StudentsTable[[#This Row],[AverageScore]]-MIN(StudentsTable[AverageScore]))/(MAX(StudentsTable[AverageScore])-MIN(StudentsTable[AverageScore]))*100</f>
        <v>46.886446886446883</v>
      </c>
    </row>
    <row r="932" spans="1:15" x14ac:dyDescent="0.3">
      <c r="A932" t="s">
        <v>17</v>
      </c>
      <c r="B932" t="s">
        <v>13</v>
      </c>
      <c r="C932" t="s">
        <v>14</v>
      </c>
      <c r="D932" t="s">
        <v>20</v>
      </c>
      <c r="E932" t="s">
        <v>15</v>
      </c>
      <c r="F932">
        <v>67</v>
      </c>
      <c r="G932">
        <v>74</v>
      </c>
      <c r="H932">
        <v>70</v>
      </c>
      <c r="I932">
        <f>StudentsTable[[#This Row],[math score]]+StudentsTable[[#This Row],[reading score]]+StudentsTable[[#This Row],[writing score]]</f>
        <v>211</v>
      </c>
      <c r="J932">
        <f>StudentsTable[[#This Row],[TotalScore]]/3</f>
        <v>70.333333333333329</v>
      </c>
      <c r="K932" t="str" cm="1">
        <f t="array" ref="K932">_xlfn.IFS(StudentsTable[[#This Row],[AverageScore]]&gt;=90,"A",StudentsTable[[#This Row],[AverageScore]]&gt;=80,"B",StudentsTable[[#This Row],[AverageScore]]&gt;=70,"C",StudentsTable[[#This Row],[AverageScore]]&gt;=60,"D",TRUE,"F")</f>
        <v>C</v>
      </c>
      <c r="L932" t="str">
        <f>IF(StudentsTable[[#This Row],[AverageScore]]&gt;=60,"Pass","Fail")</f>
        <v>Pass</v>
      </c>
      <c r="M932" t="str" cm="1">
        <f t="array" ref="M932">_xlfn.IFS(StudentsTable[[#This Row],[AverageScore]]&gt;=85,"Advanced",StudentsTable[[#This Row],[AverageScore]]&gt;=70,"Intermediate",StudentsTable[[#This Row],[AverageScore]]&gt;=60,"Basic",TRUE,"Needs Help")</f>
        <v>Intermediate</v>
      </c>
      <c r="N932">
        <f>RANK(StudentsTable[[#This Row],[AverageScore]],StudentsTable[AverageScore])</f>
        <v>440</v>
      </c>
      <c r="O932">
        <f>(StudentsTable[[#This Row],[AverageScore]]-MIN(StudentsTable[AverageScore]))/(MAX(StudentsTable[AverageScore])-MIN(StudentsTable[AverageScore]))*100</f>
        <v>67.399267399267387</v>
      </c>
    </row>
    <row r="933" spans="1:15" x14ac:dyDescent="0.3">
      <c r="A933" t="s">
        <v>17</v>
      </c>
      <c r="B933" t="s">
        <v>21</v>
      </c>
      <c r="C933" t="s">
        <v>14</v>
      </c>
      <c r="D933" t="s">
        <v>20</v>
      </c>
      <c r="E933" t="s">
        <v>12</v>
      </c>
      <c r="F933">
        <v>62</v>
      </c>
      <c r="G933">
        <v>57</v>
      </c>
      <c r="H933">
        <v>62</v>
      </c>
      <c r="I933">
        <f>StudentsTable[[#This Row],[math score]]+StudentsTable[[#This Row],[reading score]]+StudentsTable[[#This Row],[writing score]]</f>
        <v>181</v>
      </c>
      <c r="J933">
        <f>StudentsTable[[#This Row],[TotalScore]]/3</f>
        <v>60.333333333333336</v>
      </c>
      <c r="K933" t="str" cm="1">
        <f t="array" ref="K933">_xlfn.IFS(StudentsTable[[#This Row],[AverageScore]]&gt;=90,"A",StudentsTable[[#This Row],[AverageScore]]&gt;=80,"B",StudentsTable[[#This Row],[AverageScore]]&gt;=70,"C",StudentsTable[[#This Row],[AverageScore]]&gt;=60,"D",TRUE,"F")</f>
        <v>D</v>
      </c>
      <c r="L933" t="str">
        <f>IF(StudentsTable[[#This Row],[AverageScore]]&gt;=60,"Pass","Fail")</f>
        <v>Pass</v>
      </c>
      <c r="M933" t="str" cm="1">
        <f t="array" ref="M933">_xlfn.IFS(StudentsTable[[#This Row],[AverageScore]]&gt;=85,"Advanced",StudentsTable[[#This Row],[AverageScore]]&gt;=70,"Intermediate",StudentsTable[[#This Row],[AverageScore]]&gt;=60,"Basic",TRUE,"Needs Help")</f>
        <v>Basic</v>
      </c>
      <c r="N933">
        <f>RANK(StudentsTable[[#This Row],[AverageScore]],StudentsTable[AverageScore])</f>
        <v>700</v>
      </c>
      <c r="O933">
        <f>(StudentsTable[[#This Row],[AverageScore]]-MIN(StudentsTable[AverageScore]))/(MAX(StudentsTable[AverageScore])-MIN(StudentsTable[AverageScore]))*100</f>
        <v>56.410256410256409</v>
      </c>
    </row>
    <row r="934" spans="1:15" x14ac:dyDescent="0.3">
      <c r="A934" t="s">
        <v>17</v>
      </c>
      <c r="B934" t="s">
        <v>21</v>
      </c>
      <c r="C934" t="s">
        <v>19</v>
      </c>
      <c r="D934" t="s">
        <v>20</v>
      </c>
      <c r="E934" t="s">
        <v>15</v>
      </c>
      <c r="F934">
        <v>61</v>
      </c>
      <c r="G934">
        <v>71</v>
      </c>
      <c r="H934">
        <v>73</v>
      </c>
      <c r="I934">
        <f>StudentsTable[[#This Row],[math score]]+StudentsTable[[#This Row],[reading score]]+StudentsTable[[#This Row],[writing score]]</f>
        <v>205</v>
      </c>
      <c r="J934">
        <f>StudentsTable[[#This Row],[TotalScore]]/3</f>
        <v>68.333333333333329</v>
      </c>
      <c r="K934" t="str" cm="1">
        <f t="array" ref="K934">_xlfn.IFS(StudentsTable[[#This Row],[AverageScore]]&gt;=90,"A",StudentsTable[[#This Row],[AverageScore]]&gt;=80,"B",StudentsTable[[#This Row],[AverageScore]]&gt;=70,"C",StudentsTable[[#This Row],[AverageScore]]&gt;=60,"D",TRUE,"F")</f>
        <v>D</v>
      </c>
      <c r="L934" t="str">
        <f>IF(StudentsTable[[#This Row],[AverageScore]]&gt;=60,"Pass","Fail")</f>
        <v>Pass</v>
      </c>
      <c r="M934" t="str" cm="1">
        <f t="array" ref="M934">_xlfn.IFS(StudentsTable[[#This Row],[AverageScore]]&gt;=85,"Advanced",StudentsTable[[#This Row],[AverageScore]]&gt;=70,"Intermediate",StudentsTable[[#This Row],[AverageScore]]&gt;=60,"Basic",TRUE,"Needs Help")</f>
        <v>Basic</v>
      </c>
      <c r="N934">
        <f>RANK(StudentsTable[[#This Row],[AverageScore]],StudentsTable[AverageScore])</f>
        <v>499</v>
      </c>
      <c r="O934">
        <f>(StudentsTable[[#This Row],[AverageScore]]-MIN(StudentsTable[AverageScore]))/(MAX(StudentsTable[AverageScore])-MIN(StudentsTable[AverageScore]))*100</f>
        <v>65.201465201465197</v>
      </c>
    </row>
    <row r="935" spans="1:15" x14ac:dyDescent="0.3">
      <c r="A935" t="s">
        <v>17</v>
      </c>
      <c r="B935" t="s">
        <v>13</v>
      </c>
      <c r="C935" t="s">
        <v>10</v>
      </c>
      <c r="D935" t="s">
        <v>20</v>
      </c>
      <c r="E935" t="s">
        <v>15</v>
      </c>
      <c r="F935">
        <v>70</v>
      </c>
      <c r="G935">
        <v>75</v>
      </c>
      <c r="H935">
        <v>74</v>
      </c>
      <c r="I935">
        <f>StudentsTable[[#This Row],[math score]]+StudentsTable[[#This Row],[reading score]]+StudentsTable[[#This Row],[writing score]]</f>
        <v>219</v>
      </c>
      <c r="J935">
        <f>StudentsTable[[#This Row],[TotalScore]]/3</f>
        <v>73</v>
      </c>
      <c r="K935" t="str" cm="1">
        <f t="array" ref="K935">_xlfn.IFS(StudentsTable[[#This Row],[AverageScore]]&gt;=90,"A",StudentsTable[[#This Row],[AverageScore]]&gt;=80,"B",StudentsTable[[#This Row],[AverageScore]]&gt;=70,"C",StudentsTable[[#This Row],[AverageScore]]&gt;=60,"D",TRUE,"F")</f>
        <v>C</v>
      </c>
      <c r="L935" t="str">
        <f>IF(StudentsTable[[#This Row],[AverageScore]]&gt;=60,"Pass","Fail")</f>
        <v>Pass</v>
      </c>
      <c r="M935" t="str" cm="1">
        <f t="array" ref="M935">_xlfn.IFS(StudentsTable[[#This Row],[AverageScore]]&gt;=85,"Advanced",StudentsTable[[#This Row],[AverageScore]]&gt;=70,"Intermediate",StudentsTable[[#This Row],[AverageScore]]&gt;=60,"Basic",TRUE,"Needs Help")</f>
        <v>Intermediate</v>
      </c>
      <c r="N935">
        <f>RANK(StudentsTable[[#This Row],[AverageScore]],StudentsTable[AverageScore])</f>
        <v>367</v>
      </c>
      <c r="O935">
        <f>(StudentsTable[[#This Row],[AverageScore]]-MIN(StudentsTable[AverageScore]))/(MAX(StudentsTable[AverageScore])-MIN(StudentsTable[AverageScore]))*100</f>
        <v>70.329670329670336</v>
      </c>
    </row>
    <row r="936" spans="1:15" x14ac:dyDescent="0.3">
      <c r="A936" t="s">
        <v>17</v>
      </c>
      <c r="B936" t="s">
        <v>13</v>
      </c>
      <c r="C936" t="s">
        <v>19</v>
      </c>
      <c r="D936" t="s">
        <v>11</v>
      </c>
      <c r="E936" t="s">
        <v>15</v>
      </c>
      <c r="F936">
        <v>98</v>
      </c>
      <c r="G936">
        <v>87</v>
      </c>
      <c r="H936">
        <v>90</v>
      </c>
      <c r="I936">
        <f>StudentsTable[[#This Row],[math score]]+StudentsTable[[#This Row],[reading score]]+StudentsTable[[#This Row],[writing score]]</f>
        <v>275</v>
      </c>
      <c r="J936">
        <f>StudentsTable[[#This Row],[TotalScore]]/3</f>
        <v>91.666666666666671</v>
      </c>
      <c r="K936" t="str" cm="1">
        <f t="array" ref="K936">_xlfn.IFS(StudentsTable[[#This Row],[AverageScore]]&gt;=90,"A",StudentsTable[[#This Row],[AverageScore]]&gt;=80,"B",StudentsTable[[#This Row],[AverageScore]]&gt;=70,"C",StudentsTable[[#This Row],[AverageScore]]&gt;=60,"D",TRUE,"F")</f>
        <v>A</v>
      </c>
      <c r="L936" t="str">
        <f>IF(StudentsTable[[#This Row],[AverageScore]]&gt;=60,"Pass","Fail")</f>
        <v>Pass</v>
      </c>
      <c r="M936" t="str" cm="1">
        <f t="array" ref="M936">_xlfn.IFS(StudentsTable[[#This Row],[AverageScore]]&gt;=85,"Advanced",StudentsTable[[#This Row],[AverageScore]]&gt;=70,"Intermediate",StudentsTable[[#This Row],[AverageScore]]&gt;=60,"Basic",TRUE,"Needs Help")</f>
        <v>Advanced</v>
      </c>
      <c r="N936">
        <f>RANK(StudentsTable[[#This Row],[AverageScore]],StudentsTable[AverageScore])</f>
        <v>37</v>
      </c>
      <c r="O936">
        <f>(StudentsTable[[#This Row],[AverageScore]]-MIN(StudentsTable[AverageScore]))/(MAX(StudentsTable[AverageScore])-MIN(StudentsTable[AverageScore]))*100</f>
        <v>90.842490842490847</v>
      </c>
    </row>
    <row r="937" spans="1:15" x14ac:dyDescent="0.3">
      <c r="A937" t="s">
        <v>17</v>
      </c>
      <c r="B937" t="s">
        <v>21</v>
      </c>
      <c r="C937" t="s">
        <v>14</v>
      </c>
      <c r="D937" t="s">
        <v>20</v>
      </c>
      <c r="E937" t="s">
        <v>12</v>
      </c>
      <c r="F937">
        <v>70</v>
      </c>
      <c r="G937">
        <v>63</v>
      </c>
      <c r="H937">
        <v>58</v>
      </c>
      <c r="I937">
        <f>StudentsTable[[#This Row],[math score]]+StudentsTable[[#This Row],[reading score]]+StudentsTable[[#This Row],[writing score]]</f>
        <v>191</v>
      </c>
      <c r="J937">
        <f>StudentsTable[[#This Row],[TotalScore]]/3</f>
        <v>63.666666666666664</v>
      </c>
      <c r="K937" t="str" cm="1">
        <f t="array" ref="K937">_xlfn.IFS(StudentsTable[[#This Row],[AverageScore]]&gt;=90,"A",StudentsTable[[#This Row],[AverageScore]]&gt;=80,"B",StudentsTable[[#This Row],[AverageScore]]&gt;=70,"C",StudentsTable[[#This Row],[AverageScore]]&gt;=60,"D",TRUE,"F")</f>
        <v>D</v>
      </c>
      <c r="L937" t="str">
        <f>IF(StudentsTable[[#This Row],[AverageScore]]&gt;=60,"Pass","Fail")</f>
        <v>Pass</v>
      </c>
      <c r="M937" t="str" cm="1">
        <f t="array" ref="M937">_xlfn.IFS(StudentsTable[[#This Row],[AverageScore]]&gt;=85,"Advanced",StudentsTable[[#This Row],[AverageScore]]&gt;=70,"Intermediate",StudentsTable[[#This Row],[AverageScore]]&gt;=60,"Basic",TRUE,"Needs Help")</f>
        <v>Basic</v>
      </c>
      <c r="N937">
        <f>RANK(StudentsTable[[#This Row],[AverageScore]],StudentsTable[AverageScore])</f>
        <v>632</v>
      </c>
      <c r="O937">
        <f>(StudentsTable[[#This Row],[AverageScore]]-MIN(StudentsTable[AverageScore]))/(MAX(StudentsTable[AverageScore])-MIN(StudentsTable[AverageScore]))*100</f>
        <v>60.073260073260073</v>
      </c>
    </row>
    <row r="938" spans="1:15" x14ac:dyDescent="0.3">
      <c r="A938" t="s">
        <v>17</v>
      </c>
      <c r="B938" t="s">
        <v>18</v>
      </c>
      <c r="C938" t="s">
        <v>19</v>
      </c>
      <c r="D938" t="s">
        <v>11</v>
      </c>
      <c r="E938" t="s">
        <v>12</v>
      </c>
      <c r="F938">
        <v>67</v>
      </c>
      <c r="G938">
        <v>57</v>
      </c>
      <c r="H938">
        <v>53</v>
      </c>
      <c r="I938">
        <f>StudentsTable[[#This Row],[math score]]+StudentsTable[[#This Row],[reading score]]+StudentsTable[[#This Row],[writing score]]</f>
        <v>177</v>
      </c>
      <c r="J938">
        <f>StudentsTable[[#This Row],[TotalScore]]/3</f>
        <v>59</v>
      </c>
      <c r="K938" t="str" cm="1">
        <f t="array" ref="K938">_xlfn.IFS(StudentsTable[[#This Row],[AverageScore]]&gt;=90,"A",StudentsTable[[#This Row],[AverageScore]]&gt;=80,"B",StudentsTable[[#This Row],[AverageScore]]&gt;=70,"C",StudentsTable[[#This Row],[AverageScore]]&gt;=60,"D",TRUE,"F")</f>
        <v>F</v>
      </c>
      <c r="L938" t="str">
        <f>IF(StudentsTable[[#This Row],[AverageScore]]&gt;=60,"Pass","Fail")</f>
        <v>Fail</v>
      </c>
      <c r="M938" t="str" cm="1">
        <f t="array" ref="M938">_xlfn.IFS(StudentsTable[[#This Row],[AverageScore]]&gt;=85,"Advanced",StudentsTable[[#This Row],[AverageScore]]&gt;=70,"Intermediate",StudentsTable[[#This Row],[AverageScore]]&gt;=60,"Basic",TRUE,"Needs Help")</f>
        <v>Needs Help</v>
      </c>
      <c r="N938">
        <f>RANK(StudentsTable[[#This Row],[AverageScore]],StudentsTable[AverageScore])</f>
        <v>727</v>
      </c>
      <c r="O938">
        <f>(StudentsTable[[#This Row],[AverageScore]]-MIN(StudentsTable[AverageScore]))/(MAX(StudentsTable[AverageScore])-MIN(StudentsTable[AverageScore]))*100</f>
        <v>54.945054945054949</v>
      </c>
    </row>
    <row r="939" spans="1:15" x14ac:dyDescent="0.3">
      <c r="A939" t="s">
        <v>8</v>
      </c>
      <c r="B939" t="s">
        <v>24</v>
      </c>
      <c r="C939" t="s">
        <v>22</v>
      </c>
      <c r="D939" t="s">
        <v>20</v>
      </c>
      <c r="E939" t="s">
        <v>12</v>
      </c>
      <c r="F939">
        <v>57</v>
      </c>
      <c r="G939">
        <v>58</v>
      </c>
      <c r="H939">
        <v>57</v>
      </c>
      <c r="I939">
        <f>StudentsTable[[#This Row],[math score]]+StudentsTable[[#This Row],[reading score]]+StudentsTable[[#This Row],[writing score]]</f>
        <v>172</v>
      </c>
      <c r="J939">
        <f>StudentsTable[[#This Row],[TotalScore]]/3</f>
        <v>57.333333333333336</v>
      </c>
      <c r="K939" t="str" cm="1">
        <f t="array" ref="K939">_xlfn.IFS(StudentsTable[[#This Row],[AverageScore]]&gt;=90,"A",StudentsTable[[#This Row],[AverageScore]]&gt;=80,"B",StudentsTable[[#This Row],[AverageScore]]&gt;=70,"C",StudentsTable[[#This Row],[AverageScore]]&gt;=60,"D",TRUE,"F")</f>
        <v>F</v>
      </c>
      <c r="L939" t="str">
        <f>IF(StudentsTable[[#This Row],[AverageScore]]&gt;=60,"Pass","Fail")</f>
        <v>Fail</v>
      </c>
      <c r="M939" t="str" cm="1">
        <f t="array" ref="M939">_xlfn.IFS(StudentsTable[[#This Row],[AverageScore]]&gt;=85,"Advanced",StudentsTable[[#This Row],[AverageScore]]&gt;=70,"Intermediate",StudentsTable[[#This Row],[AverageScore]]&gt;=60,"Basic",TRUE,"Needs Help")</f>
        <v>Needs Help</v>
      </c>
      <c r="N939">
        <f>RANK(StudentsTable[[#This Row],[AverageScore]],StudentsTable[AverageScore])</f>
        <v>764</v>
      </c>
      <c r="O939">
        <f>(StudentsTable[[#This Row],[AverageScore]]-MIN(StudentsTable[AverageScore]))/(MAX(StudentsTable[AverageScore])-MIN(StudentsTable[AverageScore]))*100</f>
        <v>53.113553113553117</v>
      </c>
    </row>
    <row r="940" spans="1:15" x14ac:dyDescent="0.3">
      <c r="A940" t="s">
        <v>17</v>
      </c>
      <c r="B940" t="s">
        <v>21</v>
      </c>
      <c r="C940" t="s">
        <v>14</v>
      </c>
      <c r="D940" t="s">
        <v>11</v>
      </c>
      <c r="E940" t="s">
        <v>15</v>
      </c>
      <c r="F940">
        <v>85</v>
      </c>
      <c r="G940">
        <v>81</v>
      </c>
      <c r="H940">
        <v>85</v>
      </c>
      <c r="I940">
        <f>StudentsTable[[#This Row],[math score]]+StudentsTable[[#This Row],[reading score]]+StudentsTable[[#This Row],[writing score]]</f>
        <v>251</v>
      </c>
      <c r="J940">
        <f>StudentsTable[[#This Row],[TotalScore]]/3</f>
        <v>83.666666666666671</v>
      </c>
      <c r="K940" t="str" cm="1">
        <f t="array" ref="K940">_xlfn.IFS(StudentsTable[[#This Row],[AverageScore]]&gt;=90,"A",StudentsTable[[#This Row],[AverageScore]]&gt;=80,"B",StudentsTable[[#This Row],[AverageScore]]&gt;=70,"C",StudentsTable[[#This Row],[AverageScore]]&gt;=60,"D",TRUE,"F")</f>
        <v>B</v>
      </c>
      <c r="L940" t="str">
        <f>IF(StudentsTable[[#This Row],[AverageScore]]&gt;=60,"Pass","Fail")</f>
        <v>Pass</v>
      </c>
      <c r="M940" t="str" cm="1">
        <f t="array" ref="M940">_xlfn.IFS(StudentsTable[[#This Row],[AverageScore]]&gt;=85,"Advanced",StudentsTable[[#This Row],[AverageScore]]&gt;=70,"Intermediate",StudentsTable[[#This Row],[AverageScore]]&gt;=60,"Basic",TRUE,"Needs Help")</f>
        <v>Intermediate</v>
      </c>
      <c r="N940">
        <f>RANK(StudentsTable[[#This Row],[AverageScore]],StudentsTable[AverageScore])</f>
        <v>131</v>
      </c>
      <c r="O940">
        <f>(StudentsTable[[#This Row],[AverageScore]]-MIN(StudentsTable[AverageScore]))/(MAX(StudentsTable[AverageScore])-MIN(StudentsTable[AverageScore]))*100</f>
        <v>82.051282051282058</v>
      </c>
    </row>
    <row r="941" spans="1:15" x14ac:dyDescent="0.3">
      <c r="A941" t="s">
        <v>17</v>
      </c>
      <c r="B941" t="s">
        <v>21</v>
      </c>
      <c r="C941" t="s">
        <v>23</v>
      </c>
      <c r="D941" t="s">
        <v>11</v>
      </c>
      <c r="E941" t="s">
        <v>15</v>
      </c>
      <c r="F941">
        <v>77</v>
      </c>
      <c r="G941">
        <v>68</v>
      </c>
      <c r="H941">
        <v>69</v>
      </c>
      <c r="I941">
        <f>StudentsTable[[#This Row],[math score]]+StudentsTable[[#This Row],[reading score]]+StudentsTable[[#This Row],[writing score]]</f>
        <v>214</v>
      </c>
      <c r="J941">
        <f>StudentsTable[[#This Row],[TotalScore]]/3</f>
        <v>71.333333333333329</v>
      </c>
      <c r="K941" t="str" cm="1">
        <f t="array" ref="K941">_xlfn.IFS(StudentsTable[[#This Row],[AverageScore]]&gt;=90,"A",StudentsTable[[#This Row],[AverageScore]]&gt;=80,"B",StudentsTable[[#This Row],[AverageScore]]&gt;=70,"C",StudentsTable[[#This Row],[AverageScore]]&gt;=60,"D",TRUE,"F")</f>
        <v>C</v>
      </c>
      <c r="L941" t="str">
        <f>IF(StudentsTable[[#This Row],[AverageScore]]&gt;=60,"Pass","Fail")</f>
        <v>Pass</v>
      </c>
      <c r="M941" t="str" cm="1">
        <f t="array" ref="M941">_xlfn.IFS(StudentsTable[[#This Row],[AverageScore]]&gt;=85,"Advanced",StudentsTable[[#This Row],[AverageScore]]&gt;=70,"Intermediate",StudentsTable[[#This Row],[AverageScore]]&gt;=60,"Basic",TRUE,"Needs Help")</f>
        <v>Intermediate</v>
      </c>
      <c r="N941">
        <f>RANK(StudentsTable[[#This Row],[AverageScore]],StudentsTable[AverageScore])</f>
        <v>412</v>
      </c>
      <c r="O941">
        <f>(StudentsTable[[#This Row],[AverageScore]]-MIN(StudentsTable[AverageScore]))/(MAX(StudentsTable[AverageScore])-MIN(StudentsTable[AverageScore]))*100</f>
        <v>68.498168498168482</v>
      </c>
    </row>
    <row r="942" spans="1:15" x14ac:dyDescent="0.3">
      <c r="A942" t="s">
        <v>17</v>
      </c>
      <c r="B942" t="s">
        <v>13</v>
      </c>
      <c r="C942" t="s">
        <v>16</v>
      </c>
      <c r="D942" t="s">
        <v>20</v>
      </c>
      <c r="E942" t="s">
        <v>15</v>
      </c>
      <c r="F942">
        <v>72</v>
      </c>
      <c r="G942">
        <v>66</v>
      </c>
      <c r="H942">
        <v>72</v>
      </c>
      <c r="I942">
        <f>StudentsTable[[#This Row],[math score]]+StudentsTable[[#This Row],[reading score]]+StudentsTable[[#This Row],[writing score]]</f>
        <v>210</v>
      </c>
      <c r="J942">
        <f>StudentsTable[[#This Row],[TotalScore]]/3</f>
        <v>70</v>
      </c>
      <c r="K942" t="str" cm="1">
        <f t="array" ref="K942">_xlfn.IFS(StudentsTable[[#This Row],[AverageScore]]&gt;=90,"A",StudentsTable[[#This Row],[AverageScore]]&gt;=80,"B",StudentsTable[[#This Row],[AverageScore]]&gt;=70,"C",StudentsTable[[#This Row],[AverageScore]]&gt;=60,"D",TRUE,"F")</f>
        <v>C</v>
      </c>
      <c r="L942" t="str">
        <f>IF(StudentsTable[[#This Row],[AverageScore]]&gt;=60,"Pass","Fail")</f>
        <v>Pass</v>
      </c>
      <c r="M942" t="str" cm="1">
        <f t="array" ref="M942">_xlfn.IFS(StudentsTable[[#This Row],[AverageScore]]&gt;=85,"Advanced",StudentsTable[[#This Row],[AverageScore]]&gt;=70,"Intermediate",StudentsTable[[#This Row],[AverageScore]]&gt;=60,"Basic",TRUE,"Needs Help")</f>
        <v>Intermediate</v>
      </c>
      <c r="N942">
        <f>RANK(StudentsTable[[#This Row],[AverageScore]],StudentsTable[AverageScore])</f>
        <v>448</v>
      </c>
      <c r="O942">
        <f>(StudentsTable[[#This Row],[AverageScore]]-MIN(StudentsTable[AverageScore]))/(MAX(StudentsTable[AverageScore])-MIN(StudentsTable[AverageScore]))*100</f>
        <v>67.032967032967022</v>
      </c>
    </row>
    <row r="943" spans="1:15" x14ac:dyDescent="0.3">
      <c r="A943" t="s">
        <v>8</v>
      </c>
      <c r="B943" t="s">
        <v>21</v>
      </c>
      <c r="C943" t="s">
        <v>16</v>
      </c>
      <c r="D943" t="s">
        <v>11</v>
      </c>
      <c r="E943" t="s">
        <v>12</v>
      </c>
      <c r="F943">
        <v>78</v>
      </c>
      <c r="G943">
        <v>91</v>
      </c>
      <c r="H943">
        <v>96</v>
      </c>
      <c r="I943">
        <f>StudentsTable[[#This Row],[math score]]+StudentsTable[[#This Row],[reading score]]+StudentsTable[[#This Row],[writing score]]</f>
        <v>265</v>
      </c>
      <c r="J943">
        <f>StudentsTable[[#This Row],[TotalScore]]/3</f>
        <v>88.333333333333329</v>
      </c>
      <c r="K943" t="str" cm="1">
        <f t="array" ref="K943">_xlfn.IFS(StudentsTable[[#This Row],[AverageScore]]&gt;=90,"A",StudentsTable[[#This Row],[AverageScore]]&gt;=80,"B",StudentsTable[[#This Row],[AverageScore]]&gt;=70,"C",StudentsTable[[#This Row],[AverageScore]]&gt;=60,"D",TRUE,"F")</f>
        <v>B</v>
      </c>
      <c r="L943" t="str">
        <f>IF(StudentsTable[[#This Row],[AverageScore]]&gt;=60,"Pass","Fail")</f>
        <v>Pass</v>
      </c>
      <c r="M943" t="str" cm="1">
        <f t="array" ref="M943">_xlfn.IFS(StudentsTable[[#This Row],[AverageScore]]&gt;=85,"Advanced",StudentsTable[[#This Row],[AverageScore]]&gt;=70,"Intermediate",StudentsTable[[#This Row],[AverageScore]]&gt;=60,"Basic",TRUE,"Needs Help")</f>
        <v>Advanced</v>
      </c>
      <c r="N943">
        <f>RANK(StudentsTable[[#This Row],[AverageScore]],StudentsTable[AverageScore])</f>
        <v>69</v>
      </c>
      <c r="O943">
        <f>(StudentsTable[[#This Row],[AverageScore]]-MIN(StudentsTable[AverageScore]))/(MAX(StudentsTable[AverageScore])-MIN(StudentsTable[AverageScore]))*100</f>
        <v>87.179487179487168</v>
      </c>
    </row>
    <row r="944" spans="1:15" x14ac:dyDescent="0.3">
      <c r="A944" t="s">
        <v>17</v>
      </c>
      <c r="B944" t="s">
        <v>13</v>
      </c>
      <c r="C944" t="s">
        <v>22</v>
      </c>
      <c r="D944" t="s">
        <v>11</v>
      </c>
      <c r="E944" t="s">
        <v>12</v>
      </c>
      <c r="F944">
        <v>81</v>
      </c>
      <c r="G944">
        <v>66</v>
      </c>
      <c r="H944">
        <v>64</v>
      </c>
      <c r="I944">
        <f>StudentsTable[[#This Row],[math score]]+StudentsTable[[#This Row],[reading score]]+StudentsTable[[#This Row],[writing score]]</f>
        <v>211</v>
      </c>
      <c r="J944">
        <f>StudentsTable[[#This Row],[TotalScore]]/3</f>
        <v>70.333333333333329</v>
      </c>
      <c r="K944" t="str" cm="1">
        <f t="array" ref="K944">_xlfn.IFS(StudentsTable[[#This Row],[AverageScore]]&gt;=90,"A",StudentsTable[[#This Row],[AverageScore]]&gt;=80,"B",StudentsTable[[#This Row],[AverageScore]]&gt;=70,"C",StudentsTable[[#This Row],[AverageScore]]&gt;=60,"D",TRUE,"F")</f>
        <v>C</v>
      </c>
      <c r="L944" t="str">
        <f>IF(StudentsTable[[#This Row],[AverageScore]]&gt;=60,"Pass","Fail")</f>
        <v>Pass</v>
      </c>
      <c r="M944" t="str" cm="1">
        <f t="array" ref="M944">_xlfn.IFS(StudentsTable[[#This Row],[AverageScore]]&gt;=85,"Advanced",StudentsTable[[#This Row],[AverageScore]]&gt;=70,"Intermediate",StudentsTable[[#This Row],[AverageScore]]&gt;=60,"Basic",TRUE,"Needs Help")</f>
        <v>Intermediate</v>
      </c>
      <c r="N944">
        <f>RANK(StudentsTable[[#This Row],[AverageScore]],StudentsTable[AverageScore])</f>
        <v>440</v>
      </c>
      <c r="O944">
        <f>(StudentsTable[[#This Row],[AverageScore]]-MIN(StudentsTable[AverageScore]))/(MAX(StudentsTable[AverageScore])-MIN(StudentsTable[AverageScore]))*100</f>
        <v>67.399267399267387</v>
      </c>
    </row>
    <row r="945" spans="1:15" x14ac:dyDescent="0.3">
      <c r="A945" t="s">
        <v>17</v>
      </c>
      <c r="B945" t="s">
        <v>18</v>
      </c>
      <c r="C945" t="s">
        <v>23</v>
      </c>
      <c r="D945" t="s">
        <v>20</v>
      </c>
      <c r="E945" t="s">
        <v>15</v>
      </c>
      <c r="F945">
        <v>61</v>
      </c>
      <c r="G945">
        <v>62</v>
      </c>
      <c r="H945">
        <v>61</v>
      </c>
      <c r="I945">
        <f>StudentsTable[[#This Row],[math score]]+StudentsTable[[#This Row],[reading score]]+StudentsTable[[#This Row],[writing score]]</f>
        <v>184</v>
      </c>
      <c r="J945">
        <f>StudentsTable[[#This Row],[TotalScore]]/3</f>
        <v>61.333333333333336</v>
      </c>
      <c r="K945" t="str" cm="1">
        <f t="array" ref="K945">_xlfn.IFS(StudentsTable[[#This Row],[AverageScore]]&gt;=90,"A",StudentsTable[[#This Row],[AverageScore]]&gt;=80,"B",StudentsTable[[#This Row],[AverageScore]]&gt;=70,"C",StudentsTable[[#This Row],[AverageScore]]&gt;=60,"D",TRUE,"F")</f>
        <v>D</v>
      </c>
      <c r="L945" t="str">
        <f>IF(StudentsTable[[#This Row],[AverageScore]]&gt;=60,"Pass","Fail")</f>
        <v>Pass</v>
      </c>
      <c r="M945" t="str" cm="1">
        <f t="array" ref="M945">_xlfn.IFS(StudentsTable[[#This Row],[AverageScore]]&gt;=85,"Advanced",StudentsTable[[#This Row],[AverageScore]]&gt;=70,"Intermediate",StudentsTable[[#This Row],[AverageScore]]&gt;=60,"Basic",TRUE,"Needs Help")</f>
        <v>Basic</v>
      </c>
      <c r="N945">
        <f>RANK(StudentsTable[[#This Row],[AverageScore]],StudentsTable[AverageScore])</f>
        <v>678</v>
      </c>
      <c r="O945">
        <f>(StudentsTable[[#This Row],[AverageScore]]-MIN(StudentsTable[AverageScore]))/(MAX(StudentsTable[AverageScore])-MIN(StudentsTable[AverageScore]))*100</f>
        <v>57.509157509157518</v>
      </c>
    </row>
    <row r="946" spans="1:15" x14ac:dyDescent="0.3">
      <c r="A946" t="s">
        <v>8</v>
      </c>
      <c r="B946" t="s">
        <v>9</v>
      </c>
      <c r="C946" t="s">
        <v>22</v>
      </c>
      <c r="D946" t="s">
        <v>11</v>
      </c>
      <c r="E946" t="s">
        <v>12</v>
      </c>
      <c r="F946">
        <v>58</v>
      </c>
      <c r="G946">
        <v>68</v>
      </c>
      <c r="H946">
        <v>61</v>
      </c>
      <c r="I946">
        <f>StudentsTable[[#This Row],[math score]]+StudentsTable[[#This Row],[reading score]]+StudentsTable[[#This Row],[writing score]]</f>
        <v>187</v>
      </c>
      <c r="J946">
        <f>StudentsTable[[#This Row],[TotalScore]]/3</f>
        <v>62.333333333333336</v>
      </c>
      <c r="K946" t="str" cm="1">
        <f t="array" ref="K946">_xlfn.IFS(StudentsTable[[#This Row],[AverageScore]]&gt;=90,"A",StudentsTable[[#This Row],[AverageScore]]&gt;=80,"B",StudentsTable[[#This Row],[AverageScore]]&gt;=70,"C",StudentsTable[[#This Row],[AverageScore]]&gt;=60,"D",TRUE,"F")</f>
        <v>D</v>
      </c>
      <c r="L946" t="str">
        <f>IF(StudentsTable[[#This Row],[AverageScore]]&gt;=60,"Pass","Fail")</f>
        <v>Pass</v>
      </c>
      <c r="M946" t="str" cm="1">
        <f t="array" ref="M946">_xlfn.IFS(StudentsTable[[#This Row],[AverageScore]]&gt;=85,"Advanced",StudentsTable[[#This Row],[AverageScore]]&gt;=70,"Intermediate",StudentsTable[[#This Row],[AverageScore]]&gt;=60,"Basic",TRUE,"Needs Help")</f>
        <v>Basic</v>
      </c>
      <c r="N946">
        <f>RANK(StudentsTable[[#This Row],[AverageScore]],StudentsTable[AverageScore])</f>
        <v>657</v>
      </c>
      <c r="O946">
        <f>(StudentsTable[[#This Row],[AverageScore]]-MIN(StudentsTable[AverageScore]))/(MAX(StudentsTable[AverageScore])-MIN(StudentsTable[AverageScore]))*100</f>
        <v>58.608058608058613</v>
      </c>
    </row>
    <row r="947" spans="1:15" x14ac:dyDescent="0.3">
      <c r="A947" t="s">
        <v>8</v>
      </c>
      <c r="B947" t="s">
        <v>13</v>
      </c>
      <c r="C947" t="s">
        <v>19</v>
      </c>
      <c r="D947" t="s">
        <v>11</v>
      </c>
      <c r="E947" t="s">
        <v>12</v>
      </c>
      <c r="F947">
        <v>54</v>
      </c>
      <c r="G947">
        <v>61</v>
      </c>
      <c r="H947">
        <v>58</v>
      </c>
      <c r="I947">
        <f>StudentsTable[[#This Row],[math score]]+StudentsTable[[#This Row],[reading score]]+StudentsTable[[#This Row],[writing score]]</f>
        <v>173</v>
      </c>
      <c r="J947">
        <f>StudentsTable[[#This Row],[TotalScore]]/3</f>
        <v>57.666666666666664</v>
      </c>
      <c r="K947" t="str" cm="1">
        <f t="array" ref="K947">_xlfn.IFS(StudentsTable[[#This Row],[AverageScore]]&gt;=90,"A",StudentsTable[[#This Row],[AverageScore]]&gt;=80,"B",StudentsTable[[#This Row],[AverageScore]]&gt;=70,"C",StudentsTable[[#This Row],[AverageScore]]&gt;=60,"D",TRUE,"F")</f>
        <v>F</v>
      </c>
      <c r="L947" t="str">
        <f>IF(StudentsTable[[#This Row],[AverageScore]]&gt;=60,"Pass","Fail")</f>
        <v>Fail</v>
      </c>
      <c r="M947" t="str" cm="1">
        <f t="array" ref="M947">_xlfn.IFS(StudentsTable[[#This Row],[AverageScore]]&gt;=85,"Advanced",StudentsTable[[#This Row],[AverageScore]]&gt;=70,"Intermediate",StudentsTable[[#This Row],[AverageScore]]&gt;=60,"Basic",TRUE,"Needs Help")</f>
        <v>Needs Help</v>
      </c>
      <c r="N947">
        <f>RANK(StudentsTable[[#This Row],[AverageScore]],StudentsTable[AverageScore])</f>
        <v>756</v>
      </c>
      <c r="O947">
        <f>(StudentsTable[[#This Row],[AverageScore]]-MIN(StudentsTable[AverageScore]))/(MAX(StudentsTable[AverageScore])-MIN(StudentsTable[AverageScore]))*100</f>
        <v>53.479853479853482</v>
      </c>
    </row>
    <row r="948" spans="1:15" x14ac:dyDescent="0.3">
      <c r="A948" t="s">
        <v>17</v>
      </c>
      <c r="B948" t="s">
        <v>9</v>
      </c>
      <c r="C948" t="s">
        <v>22</v>
      </c>
      <c r="D948" t="s">
        <v>11</v>
      </c>
      <c r="E948" t="s">
        <v>12</v>
      </c>
      <c r="F948">
        <v>82</v>
      </c>
      <c r="G948">
        <v>82</v>
      </c>
      <c r="H948">
        <v>80</v>
      </c>
      <c r="I948">
        <f>StudentsTable[[#This Row],[math score]]+StudentsTable[[#This Row],[reading score]]+StudentsTable[[#This Row],[writing score]]</f>
        <v>244</v>
      </c>
      <c r="J948">
        <f>StudentsTable[[#This Row],[TotalScore]]/3</f>
        <v>81.333333333333329</v>
      </c>
      <c r="K948" t="str" cm="1">
        <f t="array" ref="K948">_xlfn.IFS(StudentsTable[[#This Row],[AverageScore]]&gt;=90,"A",StudentsTable[[#This Row],[AverageScore]]&gt;=80,"B",StudentsTable[[#This Row],[AverageScore]]&gt;=70,"C",StudentsTable[[#This Row],[AverageScore]]&gt;=60,"D",TRUE,"F")</f>
        <v>B</v>
      </c>
      <c r="L948" t="str">
        <f>IF(StudentsTable[[#This Row],[AverageScore]]&gt;=60,"Pass","Fail")</f>
        <v>Pass</v>
      </c>
      <c r="M948" t="str" cm="1">
        <f t="array" ref="M948">_xlfn.IFS(StudentsTable[[#This Row],[AverageScore]]&gt;=85,"Advanced",StudentsTable[[#This Row],[AverageScore]]&gt;=70,"Intermediate",StudentsTable[[#This Row],[AverageScore]]&gt;=60,"Basic",TRUE,"Needs Help")</f>
        <v>Intermediate</v>
      </c>
      <c r="N948">
        <f>RANK(StudentsTable[[#This Row],[AverageScore]],StudentsTable[AverageScore])</f>
        <v>173</v>
      </c>
      <c r="O948">
        <f>(StudentsTable[[#This Row],[AverageScore]]-MIN(StudentsTable[AverageScore]))/(MAX(StudentsTable[AverageScore])-MIN(StudentsTable[AverageScore]))*100</f>
        <v>79.487179487179489</v>
      </c>
    </row>
    <row r="949" spans="1:15" x14ac:dyDescent="0.3">
      <c r="A949" t="s">
        <v>8</v>
      </c>
      <c r="B949" t="s">
        <v>21</v>
      </c>
      <c r="C949" t="s">
        <v>14</v>
      </c>
      <c r="D949" t="s">
        <v>20</v>
      </c>
      <c r="E949" t="s">
        <v>12</v>
      </c>
      <c r="F949">
        <v>49</v>
      </c>
      <c r="G949">
        <v>58</v>
      </c>
      <c r="H949">
        <v>60</v>
      </c>
      <c r="I949">
        <f>StudentsTable[[#This Row],[math score]]+StudentsTable[[#This Row],[reading score]]+StudentsTable[[#This Row],[writing score]]</f>
        <v>167</v>
      </c>
      <c r="J949">
        <f>StudentsTable[[#This Row],[TotalScore]]/3</f>
        <v>55.666666666666664</v>
      </c>
      <c r="K949" t="str" cm="1">
        <f t="array" ref="K949">_xlfn.IFS(StudentsTable[[#This Row],[AverageScore]]&gt;=90,"A",StudentsTable[[#This Row],[AverageScore]]&gt;=80,"B",StudentsTable[[#This Row],[AverageScore]]&gt;=70,"C",StudentsTable[[#This Row],[AverageScore]]&gt;=60,"D",TRUE,"F")</f>
        <v>F</v>
      </c>
      <c r="L949" t="str">
        <f>IF(StudentsTable[[#This Row],[AverageScore]]&gt;=60,"Pass","Fail")</f>
        <v>Fail</v>
      </c>
      <c r="M949" t="str" cm="1">
        <f t="array" ref="M949">_xlfn.IFS(StudentsTable[[#This Row],[AverageScore]]&gt;=85,"Advanced",StudentsTable[[#This Row],[AverageScore]]&gt;=70,"Intermediate",StudentsTable[[#This Row],[AverageScore]]&gt;=60,"Basic",TRUE,"Needs Help")</f>
        <v>Needs Help</v>
      </c>
      <c r="N949">
        <f>RANK(StudentsTable[[#This Row],[AverageScore]],StudentsTable[AverageScore])</f>
        <v>796</v>
      </c>
      <c r="O949">
        <f>(StudentsTable[[#This Row],[AverageScore]]-MIN(StudentsTable[AverageScore]))/(MAX(StudentsTable[AverageScore])-MIN(StudentsTable[AverageScore]))*100</f>
        <v>51.282051282051277</v>
      </c>
    </row>
    <row r="950" spans="1:15" x14ac:dyDescent="0.3">
      <c r="A950" t="s">
        <v>17</v>
      </c>
      <c r="B950" t="s">
        <v>9</v>
      </c>
      <c r="C950" t="s">
        <v>23</v>
      </c>
      <c r="D950" t="s">
        <v>20</v>
      </c>
      <c r="E950" t="s">
        <v>15</v>
      </c>
      <c r="F950">
        <v>49</v>
      </c>
      <c r="G950">
        <v>50</v>
      </c>
      <c r="H950">
        <v>52</v>
      </c>
      <c r="I950">
        <f>StudentsTable[[#This Row],[math score]]+StudentsTable[[#This Row],[reading score]]+StudentsTable[[#This Row],[writing score]]</f>
        <v>151</v>
      </c>
      <c r="J950">
        <f>StudentsTable[[#This Row],[TotalScore]]/3</f>
        <v>50.333333333333336</v>
      </c>
      <c r="K950" t="str" cm="1">
        <f t="array" ref="K950">_xlfn.IFS(StudentsTable[[#This Row],[AverageScore]]&gt;=90,"A",StudentsTable[[#This Row],[AverageScore]]&gt;=80,"B",StudentsTable[[#This Row],[AverageScore]]&gt;=70,"C",StudentsTable[[#This Row],[AverageScore]]&gt;=60,"D",TRUE,"F")</f>
        <v>F</v>
      </c>
      <c r="L950" t="str">
        <f>IF(StudentsTable[[#This Row],[AverageScore]]&gt;=60,"Pass","Fail")</f>
        <v>Fail</v>
      </c>
      <c r="M950" t="str" cm="1">
        <f t="array" ref="M950">_xlfn.IFS(StudentsTable[[#This Row],[AverageScore]]&gt;=85,"Advanced",StudentsTable[[#This Row],[AverageScore]]&gt;=70,"Intermediate",StudentsTable[[#This Row],[AverageScore]]&gt;=60,"Basic",TRUE,"Needs Help")</f>
        <v>Needs Help</v>
      </c>
      <c r="N950">
        <f>RANK(StudentsTable[[#This Row],[AverageScore]],StudentsTable[AverageScore])</f>
        <v>884</v>
      </c>
      <c r="O950">
        <f>(StudentsTable[[#This Row],[AverageScore]]-MIN(StudentsTable[AverageScore]))/(MAX(StudentsTable[AverageScore])-MIN(StudentsTable[AverageScore]))*100</f>
        <v>45.421245421245423</v>
      </c>
    </row>
    <row r="951" spans="1:15" x14ac:dyDescent="0.3">
      <c r="A951" t="s">
        <v>8</v>
      </c>
      <c r="B951" t="s">
        <v>24</v>
      </c>
      <c r="C951" t="s">
        <v>22</v>
      </c>
      <c r="D951" t="s">
        <v>20</v>
      </c>
      <c r="E951" t="s">
        <v>15</v>
      </c>
      <c r="F951">
        <v>57</v>
      </c>
      <c r="G951">
        <v>75</v>
      </c>
      <c r="H951">
        <v>73</v>
      </c>
      <c r="I951">
        <f>StudentsTable[[#This Row],[math score]]+StudentsTable[[#This Row],[reading score]]+StudentsTable[[#This Row],[writing score]]</f>
        <v>205</v>
      </c>
      <c r="J951">
        <f>StudentsTable[[#This Row],[TotalScore]]/3</f>
        <v>68.333333333333329</v>
      </c>
      <c r="K951" t="str" cm="1">
        <f t="array" ref="K951">_xlfn.IFS(StudentsTable[[#This Row],[AverageScore]]&gt;=90,"A",StudentsTable[[#This Row],[AverageScore]]&gt;=80,"B",StudentsTable[[#This Row],[AverageScore]]&gt;=70,"C",StudentsTable[[#This Row],[AverageScore]]&gt;=60,"D",TRUE,"F")</f>
        <v>D</v>
      </c>
      <c r="L951" t="str">
        <f>IF(StudentsTable[[#This Row],[AverageScore]]&gt;=60,"Pass","Fail")</f>
        <v>Pass</v>
      </c>
      <c r="M951" t="str" cm="1">
        <f t="array" ref="M951">_xlfn.IFS(StudentsTable[[#This Row],[AverageScore]]&gt;=85,"Advanced",StudentsTable[[#This Row],[AverageScore]]&gt;=70,"Intermediate",StudentsTable[[#This Row],[AverageScore]]&gt;=60,"Basic",TRUE,"Needs Help")</f>
        <v>Basic</v>
      </c>
      <c r="N951">
        <f>RANK(StudentsTable[[#This Row],[AverageScore]],StudentsTable[AverageScore])</f>
        <v>499</v>
      </c>
      <c r="O951">
        <f>(StudentsTable[[#This Row],[AverageScore]]-MIN(StudentsTable[AverageScore]))/(MAX(StudentsTable[AverageScore])-MIN(StudentsTable[AverageScore]))*100</f>
        <v>65.201465201465197</v>
      </c>
    </row>
    <row r="952" spans="1:15" x14ac:dyDescent="0.3">
      <c r="A952" t="s">
        <v>17</v>
      </c>
      <c r="B952" t="s">
        <v>24</v>
      </c>
      <c r="C952" t="s">
        <v>22</v>
      </c>
      <c r="D952" t="s">
        <v>11</v>
      </c>
      <c r="E952" t="s">
        <v>12</v>
      </c>
      <c r="F952">
        <v>94</v>
      </c>
      <c r="G952">
        <v>73</v>
      </c>
      <c r="H952">
        <v>71</v>
      </c>
      <c r="I952">
        <f>StudentsTable[[#This Row],[math score]]+StudentsTable[[#This Row],[reading score]]+StudentsTable[[#This Row],[writing score]]</f>
        <v>238</v>
      </c>
      <c r="J952">
        <f>StudentsTable[[#This Row],[TotalScore]]/3</f>
        <v>79.333333333333329</v>
      </c>
      <c r="K952" t="str" cm="1">
        <f t="array" ref="K952">_xlfn.IFS(StudentsTable[[#This Row],[AverageScore]]&gt;=90,"A",StudentsTable[[#This Row],[AverageScore]]&gt;=80,"B",StudentsTable[[#This Row],[AverageScore]]&gt;=70,"C",StudentsTable[[#This Row],[AverageScore]]&gt;=60,"D",TRUE,"F")</f>
        <v>C</v>
      </c>
      <c r="L952" t="str">
        <f>IF(StudentsTable[[#This Row],[AverageScore]]&gt;=60,"Pass","Fail")</f>
        <v>Pass</v>
      </c>
      <c r="M952" t="str" cm="1">
        <f t="array" ref="M952">_xlfn.IFS(StudentsTable[[#This Row],[AverageScore]]&gt;=85,"Advanced",StudentsTable[[#This Row],[AverageScore]]&gt;=70,"Intermediate",StudentsTable[[#This Row],[AverageScore]]&gt;=60,"Basic",TRUE,"Needs Help")</f>
        <v>Intermediate</v>
      </c>
      <c r="N952">
        <f>RANK(StudentsTable[[#This Row],[AverageScore]],StudentsTable[AverageScore])</f>
        <v>207</v>
      </c>
      <c r="O952">
        <f>(StudentsTable[[#This Row],[AverageScore]]-MIN(StudentsTable[AverageScore]))/(MAX(StudentsTable[AverageScore])-MIN(StudentsTable[AverageScore]))*100</f>
        <v>77.289377289377285</v>
      </c>
    </row>
    <row r="953" spans="1:15" x14ac:dyDescent="0.3">
      <c r="A953" t="s">
        <v>8</v>
      </c>
      <c r="B953" t="s">
        <v>21</v>
      </c>
      <c r="C953" t="s">
        <v>14</v>
      </c>
      <c r="D953" t="s">
        <v>11</v>
      </c>
      <c r="E953" t="s">
        <v>15</v>
      </c>
      <c r="F953">
        <v>75</v>
      </c>
      <c r="G953">
        <v>77</v>
      </c>
      <c r="H953">
        <v>83</v>
      </c>
      <c r="I953">
        <f>StudentsTable[[#This Row],[math score]]+StudentsTable[[#This Row],[reading score]]+StudentsTable[[#This Row],[writing score]]</f>
        <v>235</v>
      </c>
      <c r="J953">
        <f>StudentsTable[[#This Row],[TotalScore]]/3</f>
        <v>78.333333333333329</v>
      </c>
      <c r="K953" t="str" cm="1">
        <f t="array" ref="K953">_xlfn.IFS(StudentsTable[[#This Row],[AverageScore]]&gt;=90,"A",StudentsTable[[#This Row],[AverageScore]]&gt;=80,"B",StudentsTable[[#This Row],[AverageScore]]&gt;=70,"C",StudentsTable[[#This Row],[AverageScore]]&gt;=60,"D",TRUE,"F")</f>
        <v>C</v>
      </c>
      <c r="L953" t="str">
        <f>IF(StudentsTable[[#This Row],[AverageScore]]&gt;=60,"Pass","Fail")</f>
        <v>Pass</v>
      </c>
      <c r="M953" t="str" cm="1">
        <f t="array" ref="M953">_xlfn.IFS(StudentsTable[[#This Row],[AverageScore]]&gt;=85,"Advanced",StudentsTable[[#This Row],[AverageScore]]&gt;=70,"Intermediate",StudentsTable[[#This Row],[AverageScore]]&gt;=60,"Basic",TRUE,"Needs Help")</f>
        <v>Intermediate</v>
      </c>
      <c r="N953">
        <f>RANK(StudentsTable[[#This Row],[AverageScore]],StudentsTable[AverageScore])</f>
        <v>231</v>
      </c>
      <c r="O953">
        <f>(StudentsTable[[#This Row],[AverageScore]]-MIN(StudentsTable[AverageScore]))/(MAX(StudentsTable[AverageScore])-MIN(StudentsTable[AverageScore]))*100</f>
        <v>76.19047619047619</v>
      </c>
    </row>
    <row r="954" spans="1:15" x14ac:dyDescent="0.3">
      <c r="A954" t="s">
        <v>8</v>
      </c>
      <c r="B954" t="s">
        <v>24</v>
      </c>
      <c r="C954" t="s">
        <v>23</v>
      </c>
      <c r="D954" t="s">
        <v>20</v>
      </c>
      <c r="E954" t="s">
        <v>12</v>
      </c>
      <c r="F954">
        <v>74</v>
      </c>
      <c r="G954">
        <v>74</v>
      </c>
      <c r="H954">
        <v>72</v>
      </c>
      <c r="I954">
        <f>StudentsTable[[#This Row],[math score]]+StudentsTable[[#This Row],[reading score]]+StudentsTable[[#This Row],[writing score]]</f>
        <v>220</v>
      </c>
      <c r="J954">
        <f>StudentsTable[[#This Row],[TotalScore]]/3</f>
        <v>73.333333333333329</v>
      </c>
      <c r="K954" t="str" cm="1">
        <f t="array" ref="K954">_xlfn.IFS(StudentsTable[[#This Row],[AverageScore]]&gt;=90,"A",StudentsTable[[#This Row],[AverageScore]]&gt;=80,"B",StudentsTable[[#This Row],[AverageScore]]&gt;=70,"C",StudentsTable[[#This Row],[AverageScore]]&gt;=60,"D",TRUE,"F")</f>
        <v>C</v>
      </c>
      <c r="L954" t="str">
        <f>IF(StudentsTable[[#This Row],[AverageScore]]&gt;=60,"Pass","Fail")</f>
        <v>Pass</v>
      </c>
      <c r="M954" t="str" cm="1">
        <f t="array" ref="M954">_xlfn.IFS(StudentsTable[[#This Row],[AverageScore]]&gt;=85,"Advanced",StudentsTable[[#This Row],[AverageScore]]&gt;=70,"Intermediate",StudentsTable[[#This Row],[AverageScore]]&gt;=60,"Basic",TRUE,"Needs Help")</f>
        <v>Intermediate</v>
      </c>
      <c r="N954">
        <f>RANK(StudentsTable[[#This Row],[AverageScore]],StudentsTable[AverageScore])</f>
        <v>356</v>
      </c>
      <c r="O954">
        <f>(StudentsTable[[#This Row],[AverageScore]]-MIN(StudentsTable[AverageScore]))/(MAX(StudentsTable[AverageScore])-MIN(StudentsTable[AverageScore]))*100</f>
        <v>70.695970695970686</v>
      </c>
    </row>
    <row r="955" spans="1:15" x14ac:dyDescent="0.3">
      <c r="A955" t="s">
        <v>17</v>
      </c>
      <c r="B955" t="s">
        <v>13</v>
      </c>
      <c r="C955" t="s">
        <v>22</v>
      </c>
      <c r="D955" t="s">
        <v>11</v>
      </c>
      <c r="E955" t="s">
        <v>15</v>
      </c>
      <c r="F955">
        <v>58</v>
      </c>
      <c r="G955">
        <v>52</v>
      </c>
      <c r="H955">
        <v>54</v>
      </c>
      <c r="I955">
        <f>StudentsTable[[#This Row],[math score]]+StudentsTable[[#This Row],[reading score]]+StudentsTable[[#This Row],[writing score]]</f>
        <v>164</v>
      </c>
      <c r="J955">
        <f>StudentsTable[[#This Row],[TotalScore]]/3</f>
        <v>54.666666666666664</v>
      </c>
      <c r="K955" t="str" cm="1">
        <f t="array" ref="K955">_xlfn.IFS(StudentsTable[[#This Row],[AverageScore]]&gt;=90,"A",StudentsTable[[#This Row],[AverageScore]]&gt;=80,"B",StudentsTable[[#This Row],[AverageScore]]&gt;=70,"C",StudentsTable[[#This Row],[AverageScore]]&gt;=60,"D",TRUE,"F")</f>
        <v>F</v>
      </c>
      <c r="L955" t="str">
        <f>IF(StudentsTable[[#This Row],[AverageScore]]&gt;=60,"Pass","Fail")</f>
        <v>Fail</v>
      </c>
      <c r="M955" t="str" cm="1">
        <f t="array" ref="M955">_xlfn.IFS(StudentsTable[[#This Row],[AverageScore]]&gt;=85,"Advanced",StudentsTable[[#This Row],[AverageScore]]&gt;=70,"Intermediate",StudentsTable[[#This Row],[AverageScore]]&gt;=60,"Basic",TRUE,"Needs Help")</f>
        <v>Needs Help</v>
      </c>
      <c r="N955">
        <f>RANK(StudentsTable[[#This Row],[AverageScore]],StudentsTable[AverageScore])</f>
        <v>810</v>
      </c>
      <c r="O955">
        <f>(StudentsTable[[#This Row],[AverageScore]]-MIN(StudentsTable[AverageScore]))/(MAX(StudentsTable[AverageScore])-MIN(StudentsTable[AverageScore]))*100</f>
        <v>50.183150183150182</v>
      </c>
    </row>
    <row r="956" spans="1:15" x14ac:dyDescent="0.3">
      <c r="A956" t="s">
        <v>8</v>
      </c>
      <c r="B956" t="s">
        <v>13</v>
      </c>
      <c r="C956" t="s">
        <v>14</v>
      </c>
      <c r="D956" t="s">
        <v>11</v>
      </c>
      <c r="E956" t="s">
        <v>12</v>
      </c>
      <c r="F956">
        <v>62</v>
      </c>
      <c r="G956">
        <v>69</v>
      </c>
      <c r="H956">
        <v>69</v>
      </c>
      <c r="I956">
        <f>StudentsTable[[#This Row],[math score]]+StudentsTable[[#This Row],[reading score]]+StudentsTable[[#This Row],[writing score]]</f>
        <v>200</v>
      </c>
      <c r="J956">
        <f>StudentsTable[[#This Row],[TotalScore]]/3</f>
        <v>66.666666666666671</v>
      </c>
      <c r="K956" t="str" cm="1">
        <f t="array" ref="K956">_xlfn.IFS(StudentsTable[[#This Row],[AverageScore]]&gt;=90,"A",StudentsTable[[#This Row],[AverageScore]]&gt;=80,"B",StudentsTable[[#This Row],[AverageScore]]&gt;=70,"C",StudentsTable[[#This Row],[AverageScore]]&gt;=60,"D",TRUE,"F")</f>
        <v>D</v>
      </c>
      <c r="L956" t="str">
        <f>IF(StudentsTable[[#This Row],[AverageScore]]&gt;=60,"Pass","Fail")</f>
        <v>Pass</v>
      </c>
      <c r="M956" t="str" cm="1">
        <f t="array" ref="M956">_xlfn.IFS(StudentsTable[[#This Row],[AverageScore]]&gt;=85,"Advanced",StudentsTable[[#This Row],[AverageScore]]&gt;=70,"Intermediate",StudentsTable[[#This Row],[AverageScore]]&gt;=60,"Basic",TRUE,"Needs Help")</f>
        <v>Basic</v>
      </c>
      <c r="N956">
        <f>RANK(StudentsTable[[#This Row],[AverageScore]],StudentsTable[AverageScore])</f>
        <v>549</v>
      </c>
      <c r="O956">
        <f>(StudentsTable[[#This Row],[AverageScore]]-MIN(StudentsTable[AverageScore]))/(MAX(StudentsTable[AverageScore])-MIN(StudentsTable[AverageScore]))*100</f>
        <v>63.369963369963379</v>
      </c>
    </row>
    <row r="957" spans="1:15" x14ac:dyDescent="0.3">
      <c r="A957" t="s">
        <v>17</v>
      </c>
      <c r="B957" t="s">
        <v>24</v>
      </c>
      <c r="C957" t="s">
        <v>19</v>
      </c>
      <c r="D957" t="s">
        <v>11</v>
      </c>
      <c r="E957" t="s">
        <v>12</v>
      </c>
      <c r="F957">
        <v>72</v>
      </c>
      <c r="G957">
        <v>57</v>
      </c>
      <c r="H957">
        <v>62</v>
      </c>
      <c r="I957">
        <f>StudentsTable[[#This Row],[math score]]+StudentsTable[[#This Row],[reading score]]+StudentsTable[[#This Row],[writing score]]</f>
        <v>191</v>
      </c>
      <c r="J957">
        <f>StudentsTable[[#This Row],[TotalScore]]/3</f>
        <v>63.666666666666664</v>
      </c>
      <c r="K957" t="str" cm="1">
        <f t="array" ref="K957">_xlfn.IFS(StudentsTable[[#This Row],[AverageScore]]&gt;=90,"A",StudentsTable[[#This Row],[AverageScore]]&gt;=80,"B",StudentsTable[[#This Row],[AverageScore]]&gt;=70,"C",StudentsTable[[#This Row],[AverageScore]]&gt;=60,"D",TRUE,"F")</f>
        <v>D</v>
      </c>
      <c r="L957" t="str">
        <f>IF(StudentsTable[[#This Row],[AverageScore]]&gt;=60,"Pass","Fail")</f>
        <v>Pass</v>
      </c>
      <c r="M957" t="str" cm="1">
        <f t="array" ref="M957">_xlfn.IFS(StudentsTable[[#This Row],[AverageScore]]&gt;=85,"Advanced",StudentsTable[[#This Row],[AverageScore]]&gt;=70,"Intermediate",StudentsTable[[#This Row],[AverageScore]]&gt;=60,"Basic",TRUE,"Needs Help")</f>
        <v>Basic</v>
      </c>
      <c r="N957">
        <f>RANK(StudentsTable[[#This Row],[AverageScore]],StudentsTable[AverageScore])</f>
        <v>632</v>
      </c>
      <c r="O957">
        <f>(StudentsTable[[#This Row],[AverageScore]]-MIN(StudentsTable[AverageScore]))/(MAX(StudentsTable[AverageScore])-MIN(StudentsTable[AverageScore]))*100</f>
        <v>60.073260073260073</v>
      </c>
    </row>
    <row r="958" spans="1:15" x14ac:dyDescent="0.3">
      <c r="A958" t="s">
        <v>17</v>
      </c>
      <c r="B958" t="s">
        <v>13</v>
      </c>
      <c r="C958" t="s">
        <v>14</v>
      </c>
      <c r="D958" t="s">
        <v>11</v>
      </c>
      <c r="E958" t="s">
        <v>12</v>
      </c>
      <c r="F958">
        <v>84</v>
      </c>
      <c r="G958">
        <v>87</v>
      </c>
      <c r="H958">
        <v>81</v>
      </c>
      <c r="I958">
        <f>StudentsTable[[#This Row],[math score]]+StudentsTable[[#This Row],[reading score]]+StudentsTable[[#This Row],[writing score]]</f>
        <v>252</v>
      </c>
      <c r="J958">
        <f>StudentsTable[[#This Row],[TotalScore]]/3</f>
        <v>84</v>
      </c>
      <c r="K958" t="str" cm="1">
        <f t="array" ref="K958">_xlfn.IFS(StudentsTable[[#This Row],[AverageScore]]&gt;=90,"A",StudentsTable[[#This Row],[AverageScore]]&gt;=80,"B",StudentsTable[[#This Row],[AverageScore]]&gt;=70,"C",StudentsTable[[#This Row],[AverageScore]]&gt;=60,"D",TRUE,"F")</f>
        <v>B</v>
      </c>
      <c r="L958" t="str">
        <f>IF(StudentsTable[[#This Row],[AverageScore]]&gt;=60,"Pass","Fail")</f>
        <v>Pass</v>
      </c>
      <c r="M958" t="str" cm="1">
        <f t="array" ref="M958">_xlfn.IFS(StudentsTable[[#This Row],[AverageScore]]&gt;=85,"Advanced",StudentsTable[[#This Row],[AverageScore]]&gt;=70,"Intermediate",StudentsTable[[#This Row],[AverageScore]]&gt;=60,"Basic",TRUE,"Needs Help")</f>
        <v>Intermediate</v>
      </c>
      <c r="N958">
        <f>RANK(StudentsTable[[#This Row],[AverageScore]],StudentsTable[AverageScore])</f>
        <v>123</v>
      </c>
      <c r="O958">
        <f>(StudentsTable[[#This Row],[AverageScore]]-MIN(StudentsTable[AverageScore]))/(MAX(StudentsTable[AverageScore])-MIN(StudentsTable[AverageScore]))*100</f>
        <v>82.417582417582409</v>
      </c>
    </row>
    <row r="959" spans="1:15" x14ac:dyDescent="0.3">
      <c r="A959" t="s">
        <v>8</v>
      </c>
      <c r="B959" t="s">
        <v>21</v>
      </c>
      <c r="C959" t="s">
        <v>16</v>
      </c>
      <c r="D959" t="s">
        <v>11</v>
      </c>
      <c r="E959" t="s">
        <v>12</v>
      </c>
      <c r="F959">
        <v>92</v>
      </c>
      <c r="G959">
        <v>100</v>
      </c>
      <c r="H959">
        <v>100</v>
      </c>
      <c r="I959">
        <f>StudentsTable[[#This Row],[math score]]+StudentsTable[[#This Row],[reading score]]+StudentsTable[[#This Row],[writing score]]</f>
        <v>292</v>
      </c>
      <c r="J959">
        <f>StudentsTable[[#This Row],[TotalScore]]/3</f>
        <v>97.333333333333329</v>
      </c>
      <c r="K959" t="str" cm="1">
        <f t="array" ref="K959">_xlfn.IFS(StudentsTable[[#This Row],[AverageScore]]&gt;=90,"A",StudentsTable[[#This Row],[AverageScore]]&gt;=80,"B",StudentsTable[[#This Row],[AverageScore]]&gt;=70,"C",StudentsTable[[#This Row],[AverageScore]]&gt;=60,"D",TRUE,"F")</f>
        <v>A</v>
      </c>
      <c r="L959" t="str">
        <f>IF(StudentsTable[[#This Row],[AverageScore]]&gt;=60,"Pass","Fail")</f>
        <v>Pass</v>
      </c>
      <c r="M959" t="str" cm="1">
        <f t="array" ref="M959">_xlfn.IFS(StudentsTable[[#This Row],[AverageScore]]&gt;=85,"Advanced",StudentsTable[[#This Row],[AverageScore]]&gt;=70,"Intermediate",StudentsTable[[#This Row],[AverageScore]]&gt;=60,"Basic",TRUE,"Needs Help")</f>
        <v>Advanced</v>
      </c>
      <c r="N959">
        <f>RANK(StudentsTable[[#This Row],[AverageScore]],StudentsTable[AverageScore])</f>
        <v>12</v>
      </c>
      <c r="O959">
        <f>(StudentsTable[[#This Row],[AverageScore]]-MIN(StudentsTable[AverageScore]))/(MAX(StudentsTable[AverageScore])-MIN(StudentsTable[AverageScore]))*100</f>
        <v>97.069597069597066</v>
      </c>
    </row>
    <row r="960" spans="1:15" x14ac:dyDescent="0.3">
      <c r="A960" t="s">
        <v>8</v>
      </c>
      <c r="B960" t="s">
        <v>21</v>
      </c>
      <c r="C960" t="s">
        <v>22</v>
      </c>
      <c r="D960" t="s">
        <v>11</v>
      </c>
      <c r="E960" t="s">
        <v>12</v>
      </c>
      <c r="F960">
        <v>45</v>
      </c>
      <c r="G960">
        <v>63</v>
      </c>
      <c r="H960">
        <v>59</v>
      </c>
      <c r="I960">
        <f>StudentsTable[[#This Row],[math score]]+StudentsTable[[#This Row],[reading score]]+StudentsTable[[#This Row],[writing score]]</f>
        <v>167</v>
      </c>
      <c r="J960">
        <f>StudentsTable[[#This Row],[TotalScore]]/3</f>
        <v>55.666666666666664</v>
      </c>
      <c r="K960" t="str" cm="1">
        <f t="array" ref="K960">_xlfn.IFS(StudentsTable[[#This Row],[AverageScore]]&gt;=90,"A",StudentsTable[[#This Row],[AverageScore]]&gt;=80,"B",StudentsTable[[#This Row],[AverageScore]]&gt;=70,"C",StudentsTable[[#This Row],[AverageScore]]&gt;=60,"D",TRUE,"F")</f>
        <v>F</v>
      </c>
      <c r="L960" t="str">
        <f>IF(StudentsTable[[#This Row],[AverageScore]]&gt;=60,"Pass","Fail")</f>
        <v>Fail</v>
      </c>
      <c r="M960" t="str" cm="1">
        <f t="array" ref="M960">_xlfn.IFS(StudentsTable[[#This Row],[AverageScore]]&gt;=85,"Advanced",StudentsTable[[#This Row],[AverageScore]]&gt;=70,"Intermediate",StudentsTable[[#This Row],[AverageScore]]&gt;=60,"Basic",TRUE,"Needs Help")</f>
        <v>Needs Help</v>
      </c>
      <c r="N960">
        <f>RANK(StudentsTable[[#This Row],[AverageScore]],StudentsTable[AverageScore])</f>
        <v>796</v>
      </c>
      <c r="O960">
        <f>(StudentsTable[[#This Row],[AverageScore]]-MIN(StudentsTable[AverageScore]))/(MAX(StudentsTable[AverageScore])-MIN(StudentsTable[AverageScore]))*100</f>
        <v>51.282051282051277</v>
      </c>
    </row>
    <row r="961" spans="1:15" x14ac:dyDescent="0.3">
      <c r="A961" t="s">
        <v>17</v>
      </c>
      <c r="B961" t="s">
        <v>13</v>
      </c>
      <c r="C961" t="s">
        <v>22</v>
      </c>
      <c r="D961" t="s">
        <v>11</v>
      </c>
      <c r="E961" t="s">
        <v>12</v>
      </c>
      <c r="F961">
        <v>75</v>
      </c>
      <c r="G961">
        <v>81</v>
      </c>
      <c r="H961">
        <v>71</v>
      </c>
      <c r="I961">
        <f>StudentsTable[[#This Row],[math score]]+StudentsTable[[#This Row],[reading score]]+StudentsTable[[#This Row],[writing score]]</f>
        <v>227</v>
      </c>
      <c r="J961">
        <f>StudentsTable[[#This Row],[TotalScore]]/3</f>
        <v>75.666666666666671</v>
      </c>
      <c r="K961" t="str" cm="1">
        <f t="array" ref="K961">_xlfn.IFS(StudentsTable[[#This Row],[AverageScore]]&gt;=90,"A",StudentsTable[[#This Row],[AverageScore]]&gt;=80,"B",StudentsTable[[#This Row],[AverageScore]]&gt;=70,"C",StudentsTable[[#This Row],[AverageScore]]&gt;=60,"D",TRUE,"F")</f>
        <v>C</v>
      </c>
      <c r="L961" t="str">
        <f>IF(StudentsTable[[#This Row],[AverageScore]]&gt;=60,"Pass","Fail")</f>
        <v>Pass</v>
      </c>
      <c r="M961" t="str" cm="1">
        <f t="array" ref="M961">_xlfn.IFS(StudentsTable[[#This Row],[AverageScore]]&gt;=85,"Advanced",StudentsTable[[#This Row],[AverageScore]]&gt;=70,"Intermediate",StudentsTable[[#This Row],[AverageScore]]&gt;=60,"Basic",TRUE,"Needs Help")</f>
        <v>Intermediate</v>
      </c>
      <c r="N961">
        <f>RANK(StudentsTable[[#This Row],[AverageScore]],StudentsTable[AverageScore])</f>
        <v>297</v>
      </c>
      <c r="O961">
        <f>(StudentsTable[[#This Row],[AverageScore]]-MIN(StudentsTable[AverageScore]))/(MAX(StudentsTable[AverageScore])-MIN(StudentsTable[AverageScore]))*100</f>
        <v>73.26007326007327</v>
      </c>
    </row>
    <row r="962" spans="1:15" x14ac:dyDescent="0.3">
      <c r="A962" t="s">
        <v>8</v>
      </c>
      <c r="B962" t="s">
        <v>18</v>
      </c>
      <c r="C962" t="s">
        <v>14</v>
      </c>
      <c r="D962" t="s">
        <v>11</v>
      </c>
      <c r="E962" t="s">
        <v>12</v>
      </c>
      <c r="F962">
        <v>56</v>
      </c>
      <c r="G962">
        <v>58</v>
      </c>
      <c r="H962">
        <v>64</v>
      </c>
      <c r="I962">
        <f>StudentsTable[[#This Row],[math score]]+StudentsTable[[#This Row],[reading score]]+StudentsTable[[#This Row],[writing score]]</f>
        <v>178</v>
      </c>
      <c r="J962">
        <f>StudentsTable[[#This Row],[TotalScore]]/3</f>
        <v>59.333333333333336</v>
      </c>
      <c r="K962" t="str" cm="1">
        <f t="array" ref="K962">_xlfn.IFS(StudentsTable[[#This Row],[AverageScore]]&gt;=90,"A",StudentsTable[[#This Row],[AverageScore]]&gt;=80,"B",StudentsTable[[#This Row],[AverageScore]]&gt;=70,"C",StudentsTable[[#This Row],[AverageScore]]&gt;=60,"D",TRUE,"F")</f>
        <v>F</v>
      </c>
      <c r="L962" t="str">
        <f>IF(StudentsTable[[#This Row],[AverageScore]]&gt;=60,"Pass","Fail")</f>
        <v>Fail</v>
      </c>
      <c r="M962" t="str" cm="1">
        <f t="array" ref="M962">_xlfn.IFS(StudentsTable[[#This Row],[AverageScore]]&gt;=85,"Advanced",StudentsTable[[#This Row],[AverageScore]]&gt;=70,"Intermediate",StudentsTable[[#This Row],[AverageScore]]&gt;=60,"Basic",TRUE,"Needs Help")</f>
        <v>Needs Help</v>
      </c>
      <c r="N962">
        <f>RANK(StudentsTable[[#This Row],[AverageScore]],StudentsTable[AverageScore])</f>
        <v>721</v>
      </c>
      <c r="O962">
        <f>(StudentsTable[[#This Row],[AverageScore]]-MIN(StudentsTable[AverageScore]))/(MAX(StudentsTable[AverageScore])-MIN(StudentsTable[AverageScore]))*100</f>
        <v>55.311355311355314</v>
      </c>
    </row>
    <row r="963" spans="1:15" x14ac:dyDescent="0.3">
      <c r="A963" t="s">
        <v>8</v>
      </c>
      <c r="B963" t="s">
        <v>21</v>
      </c>
      <c r="C963" t="s">
        <v>23</v>
      </c>
      <c r="D963" t="s">
        <v>20</v>
      </c>
      <c r="E963" t="s">
        <v>12</v>
      </c>
      <c r="F963">
        <v>48</v>
      </c>
      <c r="G963">
        <v>54</v>
      </c>
      <c r="H963">
        <v>53</v>
      </c>
      <c r="I963">
        <f>StudentsTable[[#This Row],[math score]]+StudentsTable[[#This Row],[reading score]]+StudentsTable[[#This Row],[writing score]]</f>
        <v>155</v>
      </c>
      <c r="J963">
        <f>StudentsTable[[#This Row],[TotalScore]]/3</f>
        <v>51.666666666666664</v>
      </c>
      <c r="K963" t="str" cm="1">
        <f t="array" ref="K963">_xlfn.IFS(StudentsTable[[#This Row],[AverageScore]]&gt;=90,"A",StudentsTable[[#This Row],[AverageScore]]&gt;=80,"B",StudentsTable[[#This Row],[AverageScore]]&gt;=70,"C",StudentsTable[[#This Row],[AverageScore]]&gt;=60,"D",TRUE,"F")</f>
        <v>F</v>
      </c>
      <c r="L963" t="str">
        <f>IF(StudentsTable[[#This Row],[AverageScore]]&gt;=60,"Pass","Fail")</f>
        <v>Fail</v>
      </c>
      <c r="M963" t="str" cm="1">
        <f t="array" ref="M963">_xlfn.IFS(StudentsTable[[#This Row],[AverageScore]]&gt;=85,"Advanced",StudentsTable[[#This Row],[AverageScore]]&gt;=70,"Intermediate",StudentsTable[[#This Row],[AverageScore]]&gt;=60,"Basic",TRUE,"Needs Help")</f>
        <v>Needs Help</v>
      </c>
      <c r="N963">
        <f>RANK(StudentsTable[[#This Row],[AverageScore]],StudentsTable[AverageScore])</f>
        <v>860</v>
      </c>
      <c r="O963">
        <f>(StudentsTable[[#This Row],[AverageScore]]-MIN(StudentsTable[AverageScore]))/(MAX(StudentsTable[AverageScore])-MIN(StudentsTable[AverageScore]))*100</f>
        <v>46.886446886446883</v>
      </c>
    </row>
    <row r="964" spans="1:15" x14ac:dyDescent="0.3">
      <c r="A964" t="s">
        <v>8</v>
      </c>
      <c r="B964" t="s">
        <v>24</v>
      </c>
      <c r="C964" t="s">
        <v>19</v>
      </c>
      <c r="D964" t="s">
        <v>11</v>
      </c>
      <c r="E964" t="s">
        <v>12</v>
      </c>
      <c r="F964">
        <v>100</v>
      </c>
      <c r="G964">
        <v>100</v>
      </c>
      <c r="H964">
        <v>100</v>
      </c>
      <c r="I964">
        <f>StudentsTable[[#This Row],[math score]]+StudentsTable[[#This Row],[reading score]]+StudentsTable[[#This Row],[writing score]]</f>
        <v>300</v>
      </c>
      <c r="J964">
        <f>StudentsTable[[#This Row],[TotalScore]]/3</f>
        <v>100</v>
      </c>
      <c r="K964" t="str" cm="1">
        <f t="array" ref="K964">_xlfn.IFS(StudentsTable[[#This Row],[AverageScore]]&gt;=90,"A",StudentsTable[[#This Row],[AverageScore]]&gt;=80,"B",StudentsTable[[#This Row],[AverageScore]]&gt;=70,"C",StudentsTable[[#This Row],[AverageScore]]&gt;=60,"D",TRUE,"F")</f>
        <v>A</v>
      </c>
      <c r="L964" t="str">
        <f>IF(StudentsTable[[#This Row],[AverageScore]]&gt;=60,"Pass","Fail")</f>
        <v>Pass</v>
      </c>
      <c r="M964" t="str" cm="1">
        <f t="array" ref="M964">_xlfn.IFS(StudentsTable[[#This Row],[AverageScore]]&gt;=85,"Advanced",StudentsTable[[#This Row],[AverageScore]]&gt;=70,"Intermediate",StudentsTable[[#This Row],[AverageScore]]&gt;=60,"Basic",TRUE,"Needs Help")</f>
        <v>Advanced</v>
      </c>
      <c r="N964">
        <f>RANK(StudentsTable[[#This Row],[AverageScore]],StudentsTable[AverageScore])</f>
        <v>1</v>
      </c>
      <c r="O964">
        <f>(StudentsTable[[#This Row],[AverageScore]]-MIN(StudentsTable[AverageScore]))/(MAX(StudentsTable[AverageScore])-MIN(StudentsTable[AverageScore]))*100</f>
        <v>100</v>
      </c>
    </row>
    <row r="965" spans="1:15" x14ac:dyDescent="0.3">
      <c r="A965" t="s">
        <v>8</v>
      </c>
      <c r="B965" t="s">
        <v>13</v>
      </c>
      <c r="C965" t="s">
        <v>23</v>
      </c>
      <c r="D965" t="s">
        <v>20</v>
      </c>
      <c r="E965" t="s">
        <v>15</v>
      </c>
      <c r="F965">
        <v>65</v>
      </c>
      <c r="G965">
        <v>76</v>
      </c>
      <c r="H965">
        <v>75</v>
      </c>
      <c r="I965">
        <f>StudentsTable[[#This Row],[math score]]+StudentsTable[[#This Row],[reading score]]+StudentsTable[[#This Row],[writing score]]</f>
        <v>216</v>
      </c>
      <c r="J965">
        <f>StudentsTable[[#This Row],[TotalScore]]/3</f>
        <v>72</v>
      </c>
      <c r="K965" t="str" cm="1">
        <f t="array" ref="K965">_xlfn.IFS(StudentsTable[[#This Row],[AverageScore]]&gt;=90,"A",StudentsTable[[#This Row],[AverageScore]]&gt;=80,"B",StudentsTable[[#This Row],[AverageScore]]&gt;=70,"C",StudentsTable[[#This Row],[AverageScore]]&gt;=60,"D",TRUE,"F")</f>
        <v>C</v>
      </c>
      <c r="L965" t="str">
        <f>IF(StudentsTable[[#This Row],[AverageScore]]&gt;=60,"Pass","Fail")</f>
        <v>Pass</v>
      </c>
      <c r="M965" t="str" cm="1">
        <f t="array" ref="M965">_xlfn.IFS(StudentsTable[[#This Row],[AverageScore]]&gt;=85,"Advanced",StudentsTable[[#This Row],[AverageScore]]&gt;=70,"Intermediate",StudentsTable[[#This Row],[AverageScore]]&gt;=60,"Basic",TRUE,"Needs Help")</f>
        <v>Intermediate</v>
      </c>
      <c r="N965">
        <f>RANK(StudentsTable[[#This Row],[AverageScore]],StudentsTable[AverageScore])</f>
        <v>395</v>
      </c>
      <c r="O965">
        <f>(StudentsTable[[#This Row],[AverageScore]]-MIN(StudentsTable[AverageScore]))/(MAX(StudentsTable[AverageScore])-MIN(StudentsTable[AverageScore]))*100</f>
        <v>69.230769230769226</v>
      </c>
    </row>
    <row r="966" spans="1:15" x14ac:dyDescent="0.3">
      <c r="A966" t="s">
        <v>17</v>
      </c>
      <c r="B966" t="s">
        <v>21</v>
      </c>
      <c r="C966" t="s">
        <v>14</v>
      </c>
      <c r="D966" t="s">
        <v>11</v>
      </c>
      <c r="E966" t="s">
        <v>12</v>
      </c>
      <c r="F966">
        <v>72</v>
      </c>
      <c r="G966">
        <v>57</v>
      </c>
      <c r="H966">
        <v>58</v>
      </c>
      <c r="I966">
        <f>StudentsTable[[#This Row],[math score]]+StudentsTable[[#This Row],[reading score]]+StudentsTable[[#This Row],[writing score]]</f>
        <v>187</v>
      </c>
      <c r="J966">
        <f>StudentsTable[[#This Row],[TotalScore]]/3</f>
        <v>62.333333333333336</v>
      </c>
      <c r="K966" t="str" cm="1">
        <f t="array" ref="K966">_xlfn.IFS(StudentsTable[[#This Row],[AverageScore]]&gt;=90,"A",StudentsTable[[#This Row],[AverageScore]]&gt;=80,"B",StudentsTable[[#This Row],[AverageScore]]&gt;=70,"C",StudentsTable[[#This Row],[AverageScore]]&gt;=60,"D",TRUE,"F")</f>
        <v>D</v>
      </c>
      <c r="L966" t="str">
        <f>IF(StudentsTable[[#This Row],[AverageScore]]&gt;=60,"Pass","Fail")</f>
        <v>Pass</v>
      </c>
      <c r="M966" t="str" cm="1">
        <f t="array" ref="M966">_xlfn.IFS(StudentsTable[[#This Row],[AverageScore]]&gt;=85,"Advanced",StudentsTable[[#This Row],[AverageScore]]&gt;=70,"Intermediate",StudentsTable[[#This Row],[AverageScore]]&gt;=60,"Basic",TRUE,"Needs Help")</f>
        <v>Basic</v>
      </c>
      <c r="N966">
        <f>RANK(StudentsTable[[#This Row],[AverageScore]],StudentsTable[AverageScore])</f>
        <v>657</v>
      </c>
      <c r="O966">
        <f>(StudentsTable[[#This Row],[AverageScore]]-MIN(StudentsTable[AverageScore]))/(MAX(StudentsTable[AverageScore])-MIN(StudentsTable[AverageScore]))*100</f>
        <v>58.608058608058613</v>
      </c>
    </row>
    <row r="967" spans="1:15" x14ac:dyDescent="0.3">
      <c r="A967" t="s">
        <v>8</v>
      </c>
      <c r="B967" t="s">
        <v>21</v>
      </c>
      <c r="C967" t="s">
        <v>14</v>
      </c>
      <c r="D967" t="s">
        <v>11</v>
      </c>
      <c r="E967" t="s">
        <v>12</v>
      </c>
      <c r="F967">
        <v>62</v>
      </c>
      <c r="G967">
        <v>70</v>
      </c>
      <c r="H967">
        <v>72</v>
      </c>
      <c r="I967">
        <f>StudentsTable[[#This Row],[math score]]+StudentsTable[[#This Row],[reading score]]+StudentsTable[[#This Row],[writing score]]</f>
        <v>204</v>
      </c>
      <c r="J967">
        <f>StudentsTable[[#This Row],[TotalScore]]/3</f>
        <v>68</v>
      </c>
      <c r="K967" t="str" cm="1">
        <f t="array" ref="K967">_xlfn.IFS(StudentsTable[[#This Row],[AverageScore]]&gt;=90,"A",StudentsTable[[#This Row],[AverageScore]]&gt;=80,"B",StudentsTable[[#This Row],[AverageScore]]&gt;=70,"C",StudentsTable[[#This Row],[AverageScore]]&gt;=60,"D",TRUE,"F")</f>
        <v>D</v>
      </c>
      <c r="L967" t="str">
        <f>IF(StudentsTable[[#This Row],[AverageScore]]&gt;=60,"Pass","Fail")</f>
        <v>Pass</v>
      </c>
      <c r="M967" t="str" cm="1">
        <f t="array" ref="M967">_xlfn.IFS(StudentsTable[[#This Row],[AverageScore]]&gt;=85,"Advanced",StudentsTable[[#This Row],[AverageScore]]&gt;=70,"Intermediate",StudentsTable[[#This Row],[AverageScore]]&gt;=60,"Basic",TRUE,"Needs Help")</f>
        <v>Basic</v>
      </c>
      <c r="N967">
        <f>RANK(StudentsTable[[#This Row],[AverageScore]],StudentsTable[AverageScore])</f>
        <v>512</v>
      </c>
      <c r="O967">
        <f>(StudentsTable[[#This Row],[AverageScore]]-MIN(StudentsTable[AverageScore]))/(MAX(StudentsTable[AverageScore])-MIN(StudentsTable[AverageScore]))*100</f>
        <v>64.835164835164832</v>
      </c>
    </row>
    <row r="968" spans="1:15" x14ac:dyDescent="0.3">
      <c r="A968" t="s">
        <v>17</v>
      </c>
      <c r="B968" t="s">
        <v>18</v>
      </c>
      <c r="C968" t="s">
        <v>23</v>
      </c>
      <c r="D968" t="s">
        <v>11</v>
      </c>
      <c r="E968" t="s">
        <v>15</v>
      </c>
      <c r="F968">
        <v>66</v>
      </c>
      <c r="G968">
        <v>68</v>
      </c>
      <c r="H968">
        <v>64</v>
      </c>
      <c r="I968">
        <f>StudentsTable[[#This Row],[math score]]+StudentsTable[[#This Row],[reading score]]+StudentsTable[[#This Row],[writing score]]</f>
        <v>198</v>
      </c>
      <c r="J968">
        <f>StudentsTable[[#This Row],[TotalScore]]/3</f>
        <v>66</v>
      </c>
      <c r="K968" t="str" cm="1">
        <f t="array" ref="K968">_xlfn.IFS(StudentsTable[[#This Row],[AverageScore]]&gt;=90,"A",StudentsTable[[#This Row],[AverageScore]]&gt;=80,"B",StudentsTable[[#This Row],[AverageScore]]&gt;=70,"C",StudentsTable[[#This Row],[AverageScore]]&gt;=60,"D",TRUE,"F")</f>
        <v>D</v>
      </c>
      <c r="L968" t="str">
        <f>IF(StudentsTable[[#This Row],[AverageScore]]&gt;=60,"Pass","Fail")</f>
        <v>Pass</v>
      </c>
      <c r="M968" t="str" cm="1">
        <f t="array" ref="M968">_xlfn.IFS(StudentsTable[[#This Row],[AverageScore]]&gt;=85,"Advanced",StudentsTable[[#This Row],[AverageScore]]&gt;=70,"Intermediate",StudentsTable[[#This Row],[AverageScore]]&gt;=60,"Basic",TRUE,"Needs Help")</f>
        <v>Basic</v>
      </c>
      <c r="N968">
        <f>RANK(StudentsTable[[#This Row],[AverageScore]],StudentsTable[AverageScore])</f>
        <v>562</v>
      </c>
      <c r="O968">
        <f>(StudentsTable[[#This Row],[AverageScore]]-MIN(StudentsTable[AverageScore]))/(MAX(StudentsTable[AverageScore])-MIN(StudentsTable[AverageScore]))*100</f>
        <v>62.637362637362635</v>
      </c>
    </row>
    <row r="969" spans="1:15" x14ac:dyDescent="0.3">
      <c r="A969" t="s">
        <v>17</v>
      </c>
      <c r="B969" t="s">
        <v>13</v>
      </c>
      <c r="C969" t="s">
        <v>14</v>
      </c>
      <c r="D969" t="s">
        <v>11</v>
      </c>
      <c r="E969" t="s">
        <v>12</v>
      </c>
      <c r="F969">
        <v>63</v>
      </c>
      <c r="G969">
        <v>63</v>
      </c>
      <c r="H969">
        <v>60</v>
      </c>
      <c r="I969">
        <f>StudentsTable[[#This Row],[math score]]+StudentsTable[[#This Row],[reading score]]+StudentsTable[[#This Row],[writing score]]</f>
        <v>186</v>
      </c>
      <c r="J969">
        <f>StudentsTable[[#This Row],[TotalScore]]/3</f>
        <v>62</v>
      </c>
      <c r="K969" t="str" cm="1">
        <f t="array" ref="K969">_xlfn.IFS(StudentsTable[[#This Row],[AverageScore]]&gt;=90,"A",StudentsTable[[#This Row],[AverageScore]]&gt;=80,"B",StudentsTable[[#This Row],[AverageScore]]&gt;=70,"C",StudentsTable[[#This Row],[AverageScore]]&gt;=60,"D",TRUE,"F")</f>
        <v>D</v>
      </c>
      <c r="L969" t="str">
        <f>IF(StudentsTable[[#This Row],[AverageScore]]&gt;=60,"Pass","Fail")</f>
        <v>Pass</v>
      </c>
      <c r="M969" t="str" cm="1">
        <f t="array" ref="M969">_xlfn.IFS(StudentsTable[[#This Row],[AverageScore]]&gt;=85,"Advanced",StudentsTable[[#This Row],[AverageScore]]&gt;=70,"Intermediate",StudentsTable[[#This Row],[AverageScore]]&gt;=60,"Basic",TRUE,"Needs Help")</f>
        <v>Basic</v>
      </c>
      <c r="N969">
        <f>RANK(StudentsTable[[#This Row],[AverageScore]],StudentsTable[AverageScore])</f>
        <v>665</v>
      </c>
      <c r="O969">
        <f>(StudentsTable[[#This Row],[AverageScore]]-MIN(StudentsTable[AverageScore]))/(MAX(StudentsTable[AverageScore])-MIN(StudentsTable[AverageScore]))*100</f>
        <v>58.241758241758248</v>
      </c>
    </row>
    <row r="970" spans="1:15" x14ac:dyDescent="0.3">
      <c r="A970" t="s">
        <v>8</v>
      </c>
      <c r="B970" t="s">
        <v>24</v>
      </c>
      <c r="C970" t="s">
        <v>19</v>
      </c>
      <c r="D970" t="s">
        <v>11</v>
      </c>
      <c r="E970" t="s">
        <v>12</v>
      </c>
      <c r="F970">
        <v>68</v>
      </c>
      <c r="G970">
        <v>76</v>
      </c>
      <c r="H970">
        <v>67</v>
      </c>
      <c r="I970">
        <f>StudentsTable[[#This Row],[math score]]+StudentsTable[[#This Row],[reading score]]+StudentsTable[[#This Row],[writing score]]</f>
        <v>211</v>
      </c>
      <c r="J970">
        <f>StudentsTable[[#This Row],[TotalScore]]/3</f>
        <v>70.333333333333329</v>
      </c>
      <c r="K970" t="str" cm="1">
        <f t="array" ref="K970">_xlfn.IFS(StudentsTable[[#This Row],[AverageScore]]&gt;=90,"A",StudentsTable[[#This Row],[AverageScore]]&gt;=80,"B",StudentsTable[[#This Row],[AverageScore]]&gt;=70,"C",StudentsTable[[#This Row],[AverageScore]]&gt;=60,"D",TRUE,"F")</f>
        <v>C</v>
      </c>
      <c r="L970" t="str">
        <f>IF(StudentsTable[[#This Row],[AverageScore]]&gt;=60,"Pass","Fail")</f>
        <v>Pass</v>
      </c>
      <c r="M970" t="str" cm="1">
        <f t="array" ref="M970">_xlfn.IFS(StudentsTable[[#This Row],[AverageScore]]&gt;=85,"Advanced",StudentsTable[[#This Row],[AverageScore]]&gt;=70,"Intermediate",StudentsTable[[#This Row],[AverageScore]]&gt;=60,"Basic",TRUE,"Needs Help")</f>
        <v>Intermediate</v>
      </c>
      <c r="N970">
        <f>RANK(StudentsTable[[#This Row],[AverageScore]],StudentsTable[AverageScore])</f>
        <v>440</v>
      </c>
      <c r="O970">
        <f>(StudentsTable[[#This Row],[AverageScore]]-MIN(StudentsTable[AverageScore]))/(MAX(StudentsTable[AverageScore])-MIN(StudentsTable[AverageScore]))*100</f>
        <v>67.399267399267387</v>
      </c>
    </row>
    <row r="971" spans="1:15" x14ac:dyDescent="0.3">
      <c r="A971" t="s">
        <v>8</v>
      </c>
      <c r="B971" t="s">
        <v>9</v>
      </c>
      <c r="C971" t="s">
        <v>10</v>
      </c>
      <c r="D971" t="s">
        <v>11</v>
      </c>
      <c r="E971" t="s">
        <v>12</v>
      </c>
      <c r="F971">
        <v>75</v>
      </c>
      <c r="G971">
        <v>84</v>
      </c>
      <c r="H971">
        <v>80</v>
      </c>
      <c r="I971">
        <f>StudentsTable[[#This Row],[math score]]+StudentsTable[[#This Row],[reading score]]+StudentsTable[[#This Row],[writing score]]</f>
        <v>239</v>
      </c>
      <c r="J971">
        <f>StudentsTable[[#This Row],[TotalScore]]/3</f>
        <v>79.666666666666671</v>
      </c>
      <c r="K971" t="str" cm="1">
        <f t="array" ref="K971">_xlfn.IFS(StudentsTable[[#This Row],[AverageScore]]&gt;=90,"A",StudentsTable[[#This Row],[AverageScore]]&gt;=80,"B",StudentsTable[[#This Row],[AverageScore]]&gt;=70,"C",StudentsTable[[#This Row],[AverageScore]]&gt;=60,"D",TRUE,"F")</f>
        <v>C</v>
      </c>
      <c r="L971" t="str">
        <f>IF(StudentsTable[[#This Row],[AverageScore]]&gt;=60,"Pass","Fail")</f>
        <v>Pass</v>
      </c>
      <c r="M971" t="str" cm="1">
        <f t="array" ref="M971">_xlfn.IFS(StudentsTable[[#This Row],[AverageScore]]&gt;=85,"Advanced",StudentsTable[[#This Row],[AverageScore]]&gt;=70,"Intermediate",StudentsTable[[#This Row],[AverageScore]]&gt;=60,"Basic",TRUE,"Needs Help")</f>
        <v>Intermediate</v>
      </c>
      <c r="N971">
        <f>RANK(StudentsTable[[#This Row],[AverageScore]],StudentsTable[AverageScore])</f>
        <v>199</v>
      </c>
      <c r="O971">
        <f>(StudentsTable[[#This Row],[AverageScore]]-MIN(StudentsTable[AverageScore]))/(MAX(StudentsTable[AverageScore])-MIN(StudentsTable[AverageScore]))*100</f>
        <v>77.655677655677664</v>
      </c>
    </row>
    <row r="972" spans="1:15" x14ac:dyDescent="0.3">
      <c r="A972" t="s">
        <v>8</v>
      </c>
      <c r="B972" t="s">
        <v>21</v>
      </c>
      <c r="C972" t="s">
        <v>10</v>
      </c>
      <c r="D972" t="s">
        <v>11</v>
      </c>
      <c r="E972" t="s">
        <v>12</v>
      </c>
      <c r="F972">
        <v>89</v>
      </c>
      <c r="G972">
        <v>100</v>
      </c>
      <c r="H972">
        <v>100</v>
      </c>
      <c r="I972">
        <f>StudentsTable[[#This Row],[math score]]+StudentsTable[[#This Row],[reading score]]+StudentsTable[[#This Row],[writing score]]</f>
        <v>289</v>
      </c>
      <c r="J972">
        <f>StudentsTable[[#This Row],[TotalScore]]/3</f>
        <v>96.333333333333329</v>
      </c>
      <c r="K972" t="str" cm="1">
        <f t="array" ref="K972">_xlfn.IFS(StudentsTable[[#This Row],[AverageScore]]&gt;=90,"A",StudentsTable[[#This Row],[AverageScore]]&gt;=80,"B",StudentsTable[[#This Row],[AverageScore]]&gt;=70,"C",StudentsTable[[#This Row],[AverageScore]]&gt;=60,"D",TRUE,"F")</f>
        <v>A</v>
      </c>
      <c r="L972" t="str">
        <f>IF(StudentsTable[[#This Row],[AverageScore]]&gt;=60,"Pass","Fail")</f>
        <v>Pass</v>
      </c>
      <c r="M972" t="str" cm="1">
        <f t="array" ref="M972">_xlfn.IFS(StudentsTable[[#This Row],[AverageScore]]&gt;=85,"Advanced",StudentsTable[[#This Row],[AverageScore]]&gt;=70,"Intermediate",StudentsTable[[#This Row],[AverageScore]]&gt;=60,"Basic",TRUE,"Needs Help")</f>
        <v>Advanced</v>
      </c>
      <c r="N972">
        <f>RANK(StudentsTable[[#This Row],[AverageScore]],StudentsTable[AverageScore])</f>
        <v>17</v>
      </c>
      <c r="O972">
        <f>(StudentsTable[[#This Row],[AverageScore]]-MIN(StudentsTable[AverageScore]))/(MAX(StudentsTable[AverageScore])-MIN(StudentsTable[AverageScore]))*100</f>
        <v>95.970695970695957</v>
      </c>
    </row>
    <row r="973" spans="1:15" x14ac:dyDescent="0.3">
      <c r="A973" t="s">
        <v>17</v>
      </c>
      <c r="B973" t="s">
        <v>13</v>
      </c>
      <c r="C973" t="s">
        <v>23</v>
      </c>
      <c r="D973" t="s">
        <v>11</v>
      </c>
      <c r="E973" t="s">
        <v>15</v>
      </c>
      <c r="F973">
        <v>78</v>
      </c>
      <c r="G973">
        <v>72</v>
      </c>
      <c r="H973">
        <v>69</v>
      </c>
      <c r="I973">
        <f>StudentsTable[[#This Row],[math score]]+StudentsTable[[#This Row],[reading score]]+StudentsTable[[#This Row],[writing score]]</f>
        <v>219</v>
      </c>
      <c r="J973">
        <f>StudentsTable[[#This Row],[TotalScore]]/3</f>
        <v>73</v>
      </c>
      <c r="K973" t="str" cm="1">
        <f t="array" ref="K973">_xlfn.IFS(StudentsTable[[#This Row],[AverageScore]]&gt;=90,"A",StudentsTable[[#This Row],[AverageScore]]&gt;=80,"B",StudentsTable[[#This Row],[AverageScore]]&gt;=70,"C",StudentsTable[[#This Row],[AverageScore]]&gt;=60,"D",TRUE,"F")</f>
        <v>C</v>
      </c>
      <c r="L973" t="str">
        <f>IF(StudentsTable[[#This Row],[AverageScore]]&gt;=60,"Pass","Fail")</f>
        <v>Pass</v>
      </c>
      <c r="M973" t="str" cm="1">
        <f t="array" ref="M973">_xlfn.IFS(StudentsTable[[#This Row],[AverageScore]]&gt;=85,"Advanced",StudentsTable[[#This Row],[AverageScore]]&gt;=70,"Intermediate",StudentsTable[[#This Row],[AverageScore]]&gt;=60,"Basic",TRUE,"Needs Help")</f>
        <v>Intermediate</v>
      </c>
      <c r="N973">
        <f>RANK(StudentsTable[[#This Row],[AverageScore]],StudentsTable[AverageScore])</f>
        <v>367</v>
      </c>
      <c r="O973">
        <f>(StudentsTable[[#This Row],[AverageScore]]-MIN(StudentsTable[AverageScore]))/(MAX(StudentsTable[AverageScore])-MIN(StudentsTable[AverageScore]))*100</f>
        <v>70.329670329670336</v>
      </c>
    </row>
    <row r="974" spans="1:15" x14ac:dyDescent="0.3">
      <c r="A974" t="s">
        <v>8</v>
      </c>
      <c r="B974" t="s">
        <v>18</v>
      </c>
      <c r="C974" t="s">
        <v>22</v>
      </c>
      <c r="D974" t="s">
        <v>20</v>
      </c>
      <c r="E974" t="s">
        <v>15</v>
      </c>
      <c r="F974">
        <v>53</v>
      </c>
      <c r="G974">
        <v>50</v>
      </c>
      <c r="H974">
        <v>60</v>
      </c>
      <c r="I974">
        <f>StudentsTable[[#This Row],[math score]]+StudentsTable[[#This Row],[reading score]]+StudentsTable[[#This Row],[writing score]]</f>
        <v>163</v>
      </c>
      <c r="J974">
        <f>StudentsTable[[#This Row],[TotalScore]]/3</f>
        <v>54.333333333333336</v>
      </c>
      <c r="K974" t="str" cm="1">
        <f t="array" ref="K974">_xlfn.IFS(StudentsTable[[#This Row],[AverageScore]]&gt;=90,"A",StudentsTable[[#This Row],[AverageScore]]&gt;=80,"B",StudentsTable[[#This Row],[AverageScore]]&gt;=70,"C",StudentsTable[[#This Row],[AverageScore]]&gt;=60,"D",TRUE,"F")</f>
        <v>F</v>
      </c>
      <c r="L974" t="str">
        <f>IF(StudentsTable[[#This Row],[AverageScore]]&gt;=60,"Pass","Fail")</f>
        <v>Fail</v>
      </c>
      <c r="M974" t="str" cm="1">
        <f t="array" ref="M974">_xlfn.IFS(StudentsTable[[#This Row],[AverageScore]]&gt;=85,"Advanced",StudentsTable[[#This Row],[AverageScore]]&gt;=70,"Intermediate",StudentsTable[[#This Row],[AverageScore]]&gt;=60,"Basic",TRUE,"Needs Help")</f>
        <v>Needs Help</v>
      </c>
      <c r="N974">
        <f>RANK(StudentsTable[[#This Row],[AverageScore]],StudentsTable[AverageScore])</f>
        <v>819</v>
      </c>
      <c r="O974">
        <f>(StudentsTable[[#This Row],[AverageScore]]-MIN(StudentsTable[AverageScore]))/(MAX(StudentsTable[AverageScore])-MIN(StudentsTable[AverageScore]))*100</f>
        <v>49.816849816849818</v>
      </c>
    </row>
    <row r="975" spans="1:15" x14ac:dyDescent="0.3">
      <c r="A975" t="s">
        <v>8</v>
      </c>
      <c r="B975" t="s">
        <v>21</v>
      </c>
      <c r="C975" t="s">
        <v>14</v>
      </c>
      <c r="D975" t="s">
        <v>20</v>
      </c>
      <c r="E975" t="s">
        <v>12</v>
      </c>
      <c r="F975">
        <v>49</v>
      </c>
      <c r="G975">
        <v>65</v>
      </c>
      <c r="H975">
        <v>61</v>
      </c>
      <c r="I975">
        <f>StudentsTable[[#This Row],[math score]]+StudentsTable[[#This Row],[reading score]]+StudentsTable[[#This Row],[writing score]]</f>
        <v>175</v>
      </c>
      <c r="J975">
        <f>StudentsTable[[#This Row],[TotalScore]]/3</f>
        <v>58.333333333333336</v>
      </c>
      <c r="K975" t="str" cm="1">
        <f t="array" ref="K975">_xlfn.IFS(StudentsTable[[#This Row],[AverageScore]]&gt;=90,"A",StudentsTable[[#This Row],[AverageScore]]&gt;=80,"B",StudentsTable[[#This Row],[AverageScore]]&gt;=70,"C",StudentsTable[[#This Row],[AverageScore]]&gt;=60,"D",TRUE,"F")</f>
        <v>F</v>
      </c>
      <c r="L975" t="str">
        <f>IF(StudentsTable[[#This Row],[AverageScore]]&gt;=60,"Pass","Fail")</f>
        <v>Fail</v>
      </c>
      <c r="M975" t="str" cm="1">
        <f t="array" ref="M975">_xlfn.IFS(StudentsTable[[#This Row],[AverageScore]]&gt;=85,"Advanced",StudentsTable[[#This Row],[AverageScore]]&gt;=70,"Intermediate",StudentsTable[[#This Row],[AverageScore]]&gt;=60,"Basic",TRUE,"Needs Help")</f>
        <v>Needs Help</v>
      </c>
      <c r="N975">
        <f>RANK(StudentsTable[[#This Row],[AverageScore]],StudentsTable[AverageScore])</f>
        <v>745</v>
      </c>
      <c r="O975">
        <f>(StudentsTable[[#This Row],[AverageScore]]-MIN(StudentsTable[AverageScore]))/(MAX(StudentsTable[AverageScore])-MIN(StudentsTable[AverageScore]))*100</f>
        <v>54.212454212454219</v>
      </c>
    </row>
    <row r="976" spans="1:15" x14ac:dyDescent="0.3">
      <c r="A976" t="s">
        <v>8</v>
      </c>
      <c r="B976" t="s">
        <v>18</v>
      </c>
      <c r="C976" t="s">
        <v>14</v>
      </c>
      <c r="D976" t="s">
        <v>11</v>
      </c>
      <c r="E976" t="s">
        <v>12</v>
      </c>
      <c r="F976">
        <v>54</v>
      </c>
      <c r="G976">
        <v>63</v>
      </c>
      <c r="H976">
        <v>67</v>
      </c>
      <c r="I976">
        <f>StudentsTable[[#This Row],[math score]]+StudentsTable[[#This Row],[reading score]]+StudentsTable[[#This Row],[writing score]]</f>
        <v>184</v>
      </c>
      <c r="J976">
        <f>StudentsTable[[#This Row],[TotalScore]]/3</f>
        <v>61.333333333333336</v>
      </c>
      <c r="K976" t="str" cm="1">
        <f t="array" ref="K976">_xlfn.IFS(StudentsTable[[#This Row],[AverageScore]]&gt;=90,"A",StudentsTable[[#This Row],[AverageScore]]&gt;=80,"B",StudentsTable[[#This Row],[AverageScore]]&gt;=70,"C",StudentsTable[[#This Row],[AverageScore]]&gt;=60,"D",TRUE,"F")</f>
        <v>D</v>
      </c>
      <c r="L976" t="str">
        <f>IF(StudentsTable[[#This Row],[AverageScore]]&gt;=60,"Pass","Fail")</f>
        <v>Pass</v>
      </c>
      <c r="M976" t="str" cm="1">
        <f t="array" ref="M976">_xlfn.IFS(StudentsTable[[#This Row],[AverageScore]]&gt;=85,"Advanced",StudentsTable[[#This Row],[AverageScore]]&gt;=70,"Intermediate",StudentsTable[[#This Row],[AverageScore]]&gt;=60,"Basic",TRUE,"Needs Help")</f>
        <v>Basic</v>
      </c>
      <c r="N976">
        <f>RANK(StudentsTable[[#This Row],[AverageScore]],StudentsTable[AverageScore])</f>
        <v>678</v>
      </c>
      <c r="O976">
        <f>(StudentsTable[[#This Row],[AverageScore]]-MIN(StudentsTable[AverageScore]))/(MAX(StudentsTable[AverageScore])-MIN(StudentsTable[AverageScore]))*100</f>
        <v>57.509157509157518</v>
      </c>
    </row>
    <row r="977" spans="1:15" x14ac:dyDescent="0.3">
      <c r="A977" t="s">
        <v>8</v>
      </c>
      <c r="B977" t="s">
        <v>13</v>
      </c>
      <c r="C977" t="s">
        <v>14</v>
      </c>
      <c r="D977" t="s">
        <v>11</v>
      </c>
      <c r="E977" t="s">
        <v>15</v>
      </c>
      <c r="F977">
        <v>64</v>
      </c>
      <c r="G977">
        <v>82</v>
      </c>
      <c r="H977">
        <v>77</v>
      </c>
      <c r="I977">
        <f>StudentsTable[[#This Row],[math score]]+StudentsTable[[#This Row],[reading score]]+StudentsTable[[#This Row],[writing score]]</f>
        <v>223</v>
      </c>
      <c r="J977">
        <f>StudentsTable[[#This Row],[TotalScore]]/3</f>
        <v>74.333333333333329</v>
      </c>
      <c r="K977" t="str" cm="1">
        <f t="array" ref="K977">_xlfn.IFS(StudentsTable[[#This Row],[AverageScore]]&gt;=90,"A",StudentsTable[[#This Row],[AverageScore]]&gt;=80,"B",StudentsTable[[#This Row],[AverageScore]]&gt;=70,"C",StudentsTable[[#This Row],[AverageScore]]&gt;=60,"D",TRUE,"F")</f>
        <v>C</v>
      </c>
      <c r="L977" t="str">
        <f>IF(StudentsTable[[#This Row],[AverageScore]]&gt;=60,"Pass","Fail")</f>
        <v>Pass</v>
      </c>
      <c r="M977" t="str" cm="1">
        <f t="array" ref="M977">_xlfn.IFS(StudentsTable[[#This Row],[AverageScore]]&gt;=85,"Advanced",StudentsTable[[#This Row],[AverageScore]]&gt;=70,"Intermediate",StudentsTable[[#This Row],[AverageScore]]&gt;=60,"Basic",TRUE,"Needs Help")</f>
        <v>Intermediate</v>
      </c>
      <c r="N977">
        <f>RANK(StudentsTable[[#This Row],[AverageScore]],StudentsTable[AverageScore])</f>
        <v>333</v>
      </c>
      <c r="O977">
        <f>(StudentsTable[[#This Row],[AverageScore]]-MIN(StudentsTable[AverageScore]))/(MAX(StudentsTable[AverageScore])-MIN(StudentsTable[AverageScore]))*100</f>
        <v>71.794871794871796</v>
      </c>
    </row>
    <row r="978" spans="1:15" x14ac:dyDescent="0.3">
      <c r="A978" t="s">
        <v>17</v>
      </c>
      <c r="B978" t="s">
        <v>9</v>
      </c>
      <c r="C978" t="s">
        <v>14</v>
      </c>
      <c r="D978" t="s">
        <v>20</v>
      </c>
      <c r="E978" t="s">
        <v>15</v>
      </c>
      <c r="F978">
        <v>60</v>
      </c>
      <c r="G978">
        <v>62</v>
      </c>
      <c r="H978">
        <v>60</v>
      </c>
      <c r="I978">
        <f>StudentsTable[[#This Row],[math score]]+StudentsTable[[#This Row],[reading score]]+StudentsTable[[#This Row],[writing score]]</f>
        <v>182</v>
      </c>
      <c r="J978">
        <f>StudentsTable[[#This Row],[TotalScore]]/3</f>
        <v>60.666666666666664</v>
      </c>
      <c r="K978" t="str" cm="1">
        <f t="array" ref="K978">_xlfn.IFS(StudentsTable[[#This Row],[AverageScore]]&gt;=90,"A",StudentsTable[[#This Row],[AverageScore]]&gt;=80,"B",StudentsTable[[#This Row],[AverageScore]]&gt;=70,"C",StudentsTable[[#This Row],[AverageScore]]&gt;=60,"D",TRUE,"F")</f>
        <v>D</v>
      </c>
      <c r="L978" t="str">
        <f>IF(StudentsTable[[#This Row],[AverageScore]]&gt;=60,"Pass","Fail")</f>
        <v>Pass</v>
      </c>
      <c r="M978" t="str" cm="1">
        <f t="array" ref="M978">_xlfn.IFS(StudentsTable[[#This Row],[AverageScore]]&gt;=85,"Advanced",StudentsTable[[#This Row],[AverageScore]]&gt;=70,"Intermediate",StudentsTable[[#This Row],[AverageScore]]&gt;=60,"Basic",TRUE,"Needs Help")</f>
        <v>Basic</v>
      </c>
      <c r="N978">
        <f>RANK(StudentsTable[[#This Row],[AverageScore]],StudentsTable[AverageScore])</f>
        <v>693</v>
      </c>
      <c r="O978">
        <f>(StudentsTable[[#This Row],[AverageScore]]-MIN(StudentsTable[AverageScore]))/(MAX(StudentsTable[AverageScore])-MIN(StudentsTable[AverageScore]))*100</f>
        <v>56.776556776556774</v>
      </c>
    </row>
    <row r="979" spans="1:15" x14ac:dyDescent="0.3">
      <c r="A979" t="s">
        <v>17</v>
      </c>
      <c r="B979" t="s">
        <v>13</v>
      </c>
      <c r="C979" t="s">
        <v>19</v>
      </c>
      <c r="D979" t="s">
        <v>11</v>
      </c>
      <c r="E979" t="s">
        <v>12</v>
      </c>
      <c r="F979">
        <v>62</v>
      </c>
      <c r="G979">
        <v>65</v>
      </c>
      <c r="H979">
        <v>58</v>
      </c>
      <c r="I979">
        <f>StudentsTable[[#This Row],[math score]]+StudentsTable[[#This Row],[reading score]]+StudentsTable[[#This Row],[writing score]]</f>
        <v>185</v>
      </c>
      <c r="J979">
        <f>StudentsTable[[#This Row],[TotalScore]]/3</f>
        <v>61.666666666666664</v>
      </c>
      <c r="K979" t="str" cm="1">
        <f t="array" ref="K979">_xlfn.IFS(StudentsTable[[#This Row],[AverageScore]]&gt;=90,"A",StudentsTable[[#This Row],[AverageScore]]&gt;=80,"B",StudentsTable[[#This Row],[AverageScore]]&gt;=70,"C",StudentsTable[[#This Row],[AverageScore]]&gt;=60,"D",TRUE,"F")</f>
        <v>D</v>
      </c>
      <c r="L979" t="str">
        <f>IF(StudentsTable[[#This Row],[AverageScore]]&gt;=60,"Pass","Fail")</f>
        <v>Pass</v>
      </c>
      <c r="M979" t="str" cm="1">
        <f t="array" ref="M979">_xlfn.IFS(StudentsTable[[#This Row],[AverageScore]]&gt;=85,"Advanced",StudentsTable[[#This Row],[AverageScore]]&gt;=70,"Intermediate",StudentsTable[[#This Row],[AverageScore]]&gt;=60,"Basic",TRUE,"Needs Help")</f>
        <v>Basic</v>
      </c>
      <c r="N979">
        <f>RANK(StudentsTable[[#This Row],[AverageScore]],StudentsTable[AverageScore])</f>
        <v>671</v>
      </c>
      <c r="O979">
        <f>(StudentsTable[[#This Row],[AverageScore]]-MIN(StudentsTable[AverageScore]))/(MAX(StudentsTable[AverageScore])-MIN(StudentsTable[AverageScore]))*100</f>
        <v>57.875457875457869</v>
      </c>
    </row>
    <row r="980" spans="1:15" x14ac:dyDescent="0.3">
      <c r="A980" t="s">
        <v>17</v>
      </c>
      <c r="B980" t="s">
        <v>21</v>
      </c>
      <c r="C980" t="s">
        <v>22</v>
      </c>
      <c r="D980" t="s">
        <v>11</v>
      </c>
      <c r="E980" t="s">
        <v>15</v>
      </c>
      <c r="F980">
        <v>55</v>
      </c>
      <c r="G980">
        <v>41</v>
      </c>
      <c r="H980">
        <v>48</v>
      </c>
      <c r="I980">
        <f>StudentsTable[[#This Row],[math score]]+StudentsTable[[#This Row],[reading score]]+StudentsTable[[#This Row],[writing score]]</f>
        <v>144</v>
      </c>
      <c r="J980">
        <f>StudentsTable[[#This Row],[TotalScore]]/3</f>
        <v>48</v>
      </c>
      <c r="K980" t="str" cm="1">
        <f t="array" ref="K980">_xlfn.IFS(StudentsTable[[#This Row],[AverageScore]]&gt;=90,"A",StudentsTable[[#This Row],[AverageScore]]&gt;=80,"B",StudentsTable[[#This Row],[AverageScore]]&gt;=70,"C",StudentsTable[[#This Row],[AverageScore]]&gt;=60,"D",TRUE,"F")</f>
        <v>F</v>
      </c>
      <c r="L980" t="str">
        <f>IF(StudentsTable[[#This Row],[AverageScore]]&gt;=60,"Pass","Fail")</f>
        <v>Fail</v>
      </c>
      <c r="M980" t="str" cm="1">
        <f t="array" ref="M980">_xlfn.IFS(StudentsTable[[#This Row],[AverageScore]]&gt;=85,"Advanced",StudentsTable[[#This Row],[AverageScore]]&gt;=70,"Intermediate",StudentsTable[[#This Row],[AverageScore]]&gt;=60,"Basic",TRUE,"Needs Help")</f>
        <v>Needs Help</v>
      </c>
      <c r="N980">
        <f>RANK(StudentsTable[[#This Row],[AverageScore]],StudentsTable[AverageScore])</f>
        <v>921</v>
      </c>
      <c r="O980">
        <f>(StudentsTable[[#This Row],[AverageScore]]-MIN(StudentsTable[AverageScore]))/(MAX(StudentsTable[AverageScore])-MIN(StudentsTable[AverageScore]))*100</f>
        <v>42.857142857142854</v>
      </c>
    </row>
    <row r="981" spans="1:15" x14ac:dyDescent="0.3">
      <c r="A981" t="s">
        <v>8</v>
      </c>
      <c r="B981" t="s">
        <v>13</v>
      </c>
      <c r="C981" t="s">
        <v>19</v>
      </c>
      <c r="D981" t="s">
        <v>11</v>
      </c>
      <c r="E981" t="s">
        <v>12</v>
      </c>
      <c r="F981">
        <v>91</v>
      </c>
      <c r="G981">
        <v>95</v>
      </c>
      <c r="H981">
        <v>94</v>
      </c>
      <c r="I981">
        <f>StudentsTable[[#This Row],[math score]]+StudentsTable[[#This Row],[reading score]]+StudentsTable[[#This Row],[writing score]]</f>
        <v>280</v>
      </c>
      <c r="J981">
        <f>StudentsTable[[#This Row],[TotalScore]]/3</f>
        <v>93.333333333333329</v>
      </c>
      <c r="K981" t="str" cm="1">
        <f t="array" ref="K981">_xlfn.IFS(StudentsTable[[#This Row],[AverageScore]]&gt;=90,"A",StudentsTable[[#This Row],[AverageScore]]&gt;=80,"B",StudentsTable[[#This Row],[AverageScore]]&gt;=70,"C",StudentsTable[[#This Row],[AverageScore]]&gt;=60,"D",TRUE,"F")</f>
        <v>A</v>
      </c>
      <c r="L981" t="str">
        <f>IF(StudentsTable[[#This Row],[AverageScore]]&gt;=60,"Pass","Fail")</f>
        <v>Pass</v>
      </c>
      <c r="M981" t="str" cm="1">
        <f t="array" ref="M981">_xlfn.IFS(StudentsTable[[#This Row],[AverageScore]]&gt;=85,"Advanced",StudentsTable[[#This Row],[AverageScore]]&gt;=70,"Intermediate",StudentsTable[[#This Row],[AverageScore]]&gt;=60,"Basic",TRUE,"Needs Help")</f>
        <v>Advanced</v>
      </c>
      <c r="N981">
        <f>RANK(StudentsTable[[#This Row],[AverageScore]],StudentsTable[AverageScore])</f>
        <v>28</v>
      </c>
      <c r="O981">
        <f>(StudentsTable[[#This Row],[AverageScore]]-MIN(StudentsTable[AverageScore]))/(MAX(StudentsTable[AverageScore])-MIN(StudentsTable[AverageScore]))*100</f>
        <v>92.673992673992672</v>
      </c>
    </row>
    <row r="982" spans="1:15" x14ac:dyDescent="0.3">
      <c r="A982" t="s">
        <v>8</v>
      </c>
      <c r="B982" t="s">
        <v>9</v>
      </c>
      <c r="C982" t="s">
        <v>22</v>
      </c>
      <c r="D982" t="s">
        <v>20</v>
      </c>
      <c r="E982" t="s">
        <v>12</v>
      </c>
      <c r="F982">
        <v>8</v>
      </c>
      <c r="G982">
        <v>24</v>
      </c>
      <c r="H982">
        <v>23</v>
      </c>
      <c r="I982">
        <f>StudentsTable[[#This Row],[math score]]+StudentsTable[[#This Row],[reading score]]+StudentsTable[[#This Row],[writing score]]</f>
        <v>55</v>
      </c>
      <c r="J982">
        <f>StudentsTable[[#This Row],[TotalScore]]/3</f>
        <v>18.333333333333332</v>
      </c>
      <c r="K982" t="str" cm="1">
        <f t="array" ref="K982">_xlfn.IFS(StudentsTable[[#This Row],[AverageScore]]&gt;=90,"A",StudentsTable[[#This Row],[AverageScore]]&gt;=80,"B",StudentsTable[[#This Row],[AverageScore]]&gt;=70,"C",StudentsTable[[#This Row],[AverageScore]]&gt;=60,"D",TRUE,"F")</f>
        <v>F</v>
      </c>
      <c r="L982" t="str">
        <f>IF(StudentsTable[[#This Row],[AverageScore]]&gt;=60,"Pass","Fail")</f>
        <v>Fail</v>
      </c>
      <c r="M982" t="str" cm="1">
        <f t="array" ref="M982">_xlfn.IFS(StudentsTable[[#This Row],[AverageScore]]&gt;=85,"Advanced",StudentsTable[[#This Row],[AverageScore]]&gt;=70,"Intermediate",StudentsTable[[#This Row],[AverageScore]]&gt;=60,"Basic",TRUE,"Needs Help")</f>
        <v>Needs Help</v>
      </c>
      <c r="N982">
        <f>RANK(StudentsTable[[#This Row],[AverageScore]],StudentsTable[AverageScore])</f>
        <v>999</v>
      </c>
      <c r="O982">
        <f>(StudentsTable[[#This Row],[AverageScore]]-MIN(StudentsTable[AverageScore]))/(MAX(StudentsTable[AverageScore])-MIN(StudentsTable[AverageScore]))*100</f>
        <v>10.256410256410255</v>
      </c>
    </row>
    <row r="983" spans="1:15" x14ac:dyDescent="0.3">
      <c r="A983" t="s">
        <v>17</v>
      </c>
      <c r="B983" t="s">
        <v>21</v>
      </c>
      <c r="C983" t="s">
        <v>23</v>
      </c>
      <c r="D983" t="s">
        <v>11</v>
      </c>
      <c r="E983" t="s">
        <v>12</v>
      </c>
      <c r="F983">
        <v>81</v>
      </c>
      <c r="G983">
        <v>78</v>
      </c>
      <c r="H983">
        <v>78</v>
      </c>
      <c r="I983">
        <f>StudentsTable[[#This Row],[math score]]+StudentsTable[[#This Row],[reading score]]+StudentsTable[[#This Row],[writing score]]</f>
        <v>237</v>
      </c>
      <c r="J983">
        <f>StudentsTable[[#This Row],[TotalScore]]/3</f>
        <v>79</v>
      </c>
      <c r="K983" t="str" cm="1">
        <f t="array" ref="K983">_xlfn.IFS(StudentsTable[[#This Row],[AverageScore]]&gt;=90,"A",StudentsTable[[#This Row],[AverageScore]]&gt;=80,"B",StudentsTable[[#This Row],[AverageScore]]&gt;=70,"C",StudentsTable[[#This Row],[AverageScore]]&gt;=60,"D",TRUE,"F")</f>
        <v>C</v>
      </c>
      <c r="L983" t="str">
        <f>IF(StudentsTable[[#This Row],[AverageScore]]&gt;=60,"Pass","Fail")</f>
        <v>Pass</v>
      </c>
      <c r="M983" t="str" cm="1">
        <f t="array" ref="M983">_xlfn.IFS(StudentsTable[[#This Row],[AverageScore]]&gt;=85,"Advanced",StudentsTable[[#This Row],[AverageScore]]&gt;=70,"Intermediate",StudentsTable[[#This Row],[AverageScore]]&gt;=60,"Basic",TRUE,"Needs Help")</f>
        <v>Intermediate</v>
      </c>
      <c r="N983">
        <f>RANK(StudentsTable[[#This Row],[AverageScore]],StudentsTable[AverageScore])</f>
        <v>215</v>
      </c>
      <c r="O983">
        <f>(StudentsTable[[#This Row],[AverageScore]]-MIN(StudentsTable[AverageScore]))/(MAX(StudentsTable[AverageScore])-MIN(StudentsTable[AverageScore]))*100</f>
        <v>76.923076923076934</v>
      </c>
    </row>
    <row r="984" spans="1:15" x14ac:dyDescent="0.3">
      <c r="A984" t="s">
        <v>17</v>
      </c>
      <c r="B984" t="s">
        <v>9</v>
      </c>
      <c r="C984" t="s">
        <v>23</v>
      </c>
      <c r="D984" t="s">
        <v>11</v>
      </c>
      <c r="E984" t="s">
        <v>15</v>
      </c>
      <c r="F984">
        <v>79</v>
      </c>
      <c r="G984">
        <v>85</v>
      </c>
      <c r="H984">
        <v>86</v>
      </c>
      <c r="I984">
        <f>StudentsTable[[#This Row],[math score]]+StudentsTable[[#This Row],[reading score]]+StudentsTable[[#This Row],[writing score]]</f>
        <v>250</v>
      </c>
      <c r="J984">
        <f>StudentsTable[[#This Row],[TotalScore]]/3</f>
        <v>83.333333333333329</v>
      </c>
      <c r="K984" t="str" cm="1">
        <f t="array" ref="K984">_xlfn.IFS(StudentsTable[[#This Row],[AverageScore]]&gt;=90,"A",StudentsTable[[#This Row],[AverageScore]]&gt;=80,"B",StudentsTable[[#This Row],[AverageScore]]&gt;=70,"C",StudentsTable[[#This Row],[AverageScore]]&gt;=60,"D",TRUE,"F")</f>
        <v>B</v>
      </c>
      <c r="L984" t="str">
        <f>IF(StudentsTable[[#This Row],[AverageScore]]&gt;=60,"Pass","Fail")</f>
        <v>Pass</v>
      </c>
      <c r="M984" t="str" cm="1">
        <f t="array" ref="M984">_xlfn.IFS(StudentsTable[[#This Row],[AverageScore]]&gt;=85,"Advanced",StudentsTable[[#This Row],[AverageScore]]&gt;=70,"Intermediate",StudentsTable[[#This Row],[AverageScore]]&gt;=60,"Basic",TRUE,"Needs Help")</f>
        <v>Intermediate</v>
      </c>
      <c r="N984">
        <f>RANK(StudentsTable[[#This Row],[AverageScore]],StudentsTable[AverageScore])</f>
        <v>135</v>
      </c>
      <c r="O984">
        <f>(StudentsTable[[#This Row],[AverageScore]]-MIN(StudentsTable[AverageScore]))/(MAX(StudentsTable[AverageScore])-MIN(StudentsTable[AverageScore]))*100</f>
        <v>81.684981684981679</v>
      </c>
    </row>
    <row r="985" spans="1:15" x14ac:dyDescent="0.3">
      <c r="A985" t="s">
        <v>8</v>
      </c>
      <c r="B985" t="s">
        <v>18</v>
      </c>
      <c r="C985" t="s">
        <v>14</v>
      </c>
      <c r="D985" t="s">
        <v>11</v>
      </c>
      <c r="E985" t="s">
        <v>15</v>
      </c>
      <c r="F985">
        <v>78</v>
      </c>
      <c r="G985">
        <v>87</v>
      </c>
      <c r="H985">
        <v>91</v>
      </c>
      <c r="I985">
        <f>StudentsTable[[#This Row],[math score]]+StudentsTable[[#This Row],[reading score]]+StudentsTable[[#This Row],[writing score]]</f>
        <v>256</v>
      </c>
      <c r="J985">
        <f>StudentsTable[[#This Row],[TotalScore]]/3</f>
        <v>85.333333333333329</v>
      </c>
      <c r="K985" t="str" cm="1">
        <f t="array" ref="K985">_xlfn.IFS(StudentsTable[[#This Row],[AverageScore]]&gt;=90,"A",StudentsTable[[#This Row],[AverageScore]]&gt;=80,"B",StudentsTable[[#This Row],[AverageScore]]&gt;=70,"C",StudentsTable[[#This Row],[AverageScore]]&gt;=60,"D",TRUE,"F")</f>
        <v>B</v>
      </c>
      <c r="L985" t="str">
        <f>IF(StudentsTable[[#This Row],[AverageScore]]&gt;=60,"Pass","Fail")</f>
        <v>Pass</v>
      </c>
      <c r="M985" t="str" cm="1">
        <f t="array" ref="M985">_xlfn.IFS(StudentsTable[[#This Row],[AverageScore]]&gt;=85,"Advanced",StudentsTable[[#This Row],[AverageScore]]&gt;=70,"Intermediate",StudentsTable[[#This Row],[AverageScore]]&gt;=60,"Basic",TRUE,"Needs Help")</f>
        <v>Advanced</v>
      </c>
      <c r="N985">
        <f>RANK(StudentsTable[[#This Row],[AverageScore]],StudentsTable[AverageScore])</f>
        <v>109</v>
      </c>
      <c r="O985">
        <f>(StudentsTable[[#This Row],[AverageScore]]-MIN(StudentsTable[AverageScore]))/(MAX(StudentsTable[AverageScore])-MIN(StudentsTable[AverageScore]))*100</f>
        <v>83.882783882783869</v>
      </c>
    </row>
    <row r="986" spans="1:15" x14ac:dyDescent="0.3">
      <c r="A986" t="s">
        <v>8</v>
      </c>
      <c r="B986" t="s">
        <v>13</v>
      </c>
      <c r="C986" t="s">
        <v>23</v>
      </c>
      <c r="D986" t="s">
        <v>11</v>
      </c>
      <c r="E986" t="s">
        <v>12</v>
      </c>
      <c r="F986">
        <v>74</v>
      </c>
      <c r="G986">
        <v>75</v>
      </c>
      <c r="H986">
        <v>82</v>
      </c>
      <c r="I986">
        <f>StudentsTable[[#This Row],[math score]]+StudentsTable[[#This Row],[reading score]]+StudentsTable[[#This Row],[writing score]]</f>
        <v>231</v>
      </c>
      <c r="J986">
        <f>StudentsTable[[#This Row],[TotalScore]]/3</f>
        <v>77</v>
      </c>
      <c r="K986" t="str" cm="1">
        <f t="array" ref="K986">_xlfn.IFS(StudentsTable[[#This Row],[AverageScore]]&gt;=90,"A",StudentsTable[[#This Row],[AverageScore]]&gt;=80,"B",StudentsTable[[#This Row],[AverageScore]]&gt;=70,"C",StudentsTable[[#This Row],[AverageScore]]&gt;=60,"D",TRUE,"F")</f>
        <v>C</v>
      </c>
      <c r="L986" t="str">
        <f>IF(StudentsTable[[#This Row],[AverageScore]]&gt;=60,"Pass","Fail")</f>
        <v>Pass</v>
      </c>
      <c r="M986" t="str" cm="1">
        <f t="array" ref="M986">_xlfn.IFS(StudentsTable[[#This Row],[AverageScore]]&gt;=85,"Advanced",StudentsTable[[#This Row],[AverageScore]]&gt;=70,"Intermediate",StudentsTable[[#This Row],[AverageScore]]&gt;=60,"Basic",TRUE,"Needs Help")</f>
        <v>Intermediate</v>
      </c>
      <c r="N986">
        <f>RANK(StudentsTable[[#This Row],[AverageScore]],StudentsTable[AverageScore])</f>
        <v>269</v>
      </c>
      <c r="O986">
        <f>(StudentsTable[[#This Row],[AverageScore]]-MIN(StudentsTable[AverageScore]))/(MAX(StudentsTable[AverageScore])-MIN(StudentsTable[AverageScore]))*100</f>
        <v>74.72527472527473</v>
      </c>
    </row>
    <row r="987" spans="1:15" x14ac:dyDescent="0.3">
      <c r="A987" t="s">
        <v>17</v>
      </c>
      <c r="B987" t="s">
        <v>18</v>
      </c>
      <c r="C987" t="s">
        <v>22</v>
      </c>
      <c r="D987" t="s">
        <v>11</v>
      </c>
      <c r="E987" t="s">
        <v>12</v>
      </c>
      <c r="F987">
        <v>57</v>
      </c>
      <c r="G987">
        <v>51</v>
      </c>
      <c r="H987">
        <v>54</v>
      </c>
      <c r="I987">
        <f>StudentsTable[[#This Row],[math score]]+StudentsTable[[#This Row],[reading score]]+StudentsTable[[#This Row],[writing score]]</f>
        <v>162</v>
      </c>
      <c r="J987">
        <f>StudentsTable[[#This Row],[TotalScore]]/3</f>
        <v>54</v>
      </c>
      <c r="K987" t="str" cm="1">
        <f t="array" ref="K987">_xlfn.IFS(StudentsTable[[#This Row],[AverageScore]]&gt;=90,"A",StudentsTable[[#This Row],[AverageScore]]&gt;=80,"B",StudentsTable[[#This Row],[AverageScore]]&gt;=70,"C",StudentsTable[[#This Row],[AverageScore]]&gt;=60,"D",TRUE,"F")</f>
        <v>F</v>
      </c>
      <c r="L987" t="str">
        <f>IF(StudentsTable[[#This Row],[AverageScore]]&gt;=60,"Pass","Fail")</f>
        <v>Fail</v>
      </c>
      <c r="M987" t="str" cm="1">
        <f t="array" ref="M987">_xlfn.IFS(StudentsTable[[#This Row],[AverageScore]]&gt;=85,"Advanced",StudentsTable[[#This Row],[AverageScore]]&gt;=70,"Intermediate",StudentsTable[[#This Row],[AverageScore]]&gt;=60,"Basic",TRUE,"Needs Help")</f>
        <v>Needs Help</v>
      </c>
      <c r="N987">
        <f>RANK(StudentsTable[[#This Row],[AverageScore]],StudentsTable[AverageScore])</f>
        <v>824</v>
      </c>
      <c r="O987">
        <f>(StudentsTable[[#This Row],[AverageScore]]-MIN(StudentsTable[AverageScore]))/(MAX(StudentsTable[AverageScore])-MIN(StudentsTable[AverageScore]))*100</f>
        <v>49.450549450549453</v>
      </c>
    </row>
    <row r="988" spans="1:15" x14ac:dyDescent="0.3">
      <c r="A988" t="s">
        <v>8</v>
      </c>
      <c r="B988" t="s">
        <v>13</v>
      </c>
      <c r="C988" t="s">
        <v>19</v>
      </c>
      <c r="D988" t="s">
        <v>11</v>
      </c>
      <c r="E988" t="s">
        <v>12</v>
      </c>
      <c r="F988">
        <v>40</v>
      </c>
      <c r="G988">
        <v>59</v>
      </c>
      <c r="H988">
        <v>51</v>
      </c>
      <c r="I988">
        <f>StudentsTable[[#This Row],[math score]]+StudentsTable[[#This Row],[reading score]]+StudentsTable[[#This Row],[writing score]]</f>
        <v>150</v>
      </c>
      <c r="J988">
        <f>StudentsTable[[#This Row],[TotalScore]]/3</f>
        <v>50</v>
      </c>
      <c r="K988" t="str" cm="1">
        <f t="array" ref="K988">_xlfn.IFS(StudentsTable[[#This Row],[AverageScore]]&gt;=90,"A",StudentsTable[[#This Row],[AverageScore]]&gt;=80,"B",StudentsTable[[#This Row],[AverageScore]]&gt;=70,"C",StudentsTable[[#This Row],[AverageScore]]&gt;=60,"D",TRUE,"F")</f>
        <v>F</v>
      </c>
      <c r="L988" t="str">
        <f>IF(StudentsTable[[#This Row],[AverageScore]]&gt;=60,"Pass","Fail")</f>
        <v>Fail</v>
      </c>
      <c r="M988" t="str" cm="1">
        <f t="array" ref="M988">_xlfn.IFS(StudentsTable[[#This Row],[AverageScore]]&gt;=85,"Advanced",StudentsTable[[#This Row],[AverageScore]]&gt;=70,"Intermediate",StudentsTable[[#This Row],[AverageScore]]&gt;=60,"Basic",TRUE,"Needs Help")</f>
        <v>Needs Help</v>
      </c>
      <c r="N988">
        <f>RANK(StudentsTable[[#This Row],[AverageScore]],StudentsTable[AverageScore])</f>
        <v>892</v>
      </c>
      <c r="O988">
        <f>(StudentsTable[[#This Row],[AverageScore]]-MIN(StudentsTable[AverageScore]))/(MAX(StudentsTable[AverageScore])-MIN(StudentsTable[AverageScore]))*100</f>
        <v>45.054945054945058</v>
      </c>
    </row>
    <row r="989" spans="1:15" x14ac:dyDescent="0.3">
      <c r="A989" t="s">
        <v>17</v>
      </c>
      <c r="B989" t="s">
        <v>24</v>
      </c>
      <c r="C989" t="s">
        <v>23</v>
      </c>
      <c r="D989" t="s">
        <v>11</v>
      </c>
      <c r="E989" t="s">
        <v>15</v>
      </c>
      <c r="F989">
        <v>81</v>
      </c>
      <c r="G989">
        <v>75</v>
      </c>
      <c r="H989">
        <v>76</v>
      </c>
      <c r="I989">
        <f>StudentsTable[[#This Row],[math score]]+StudentsTable[[#This Row],[reading score]]+StudentsTable[[#This Row],[writing score]]</f>
        <v>232</v>
      </c>
      <c r="J989">
        <f>StudentsTable[[#This Row],[TotalScore]]/3</f>
        <v>77.333333333333329</v>
      </c>
      <c r="K989" t="str" cm="1">
        <f t="array" ref="K989">_xlfn.IFS(StudentsTable[[#This Row],[AverageScore]]&gt;=90,"A",StudentsTable[[#This Row],[AverageScore]]&gt;=80,"B",StudentsTable[[#This Row],[AverageScore]]&gt;=70,"C",StudentsTable[[#This Row],[AverageScore]]&gt;=60,"D",TRUE,"F")</f>
        <v>C</v>
      </c>
      <c r="L989" t="str">
        <f>IF(StudentsTable[[#This Row],[AverageScore]]&gt;=60,"Pass","Fail")</f>
        <v>Pass</v>
      </c>
      <c r="M989" t="str" cm="1">
        <f t="array" ref="M989">_xlfn.IFS(StudentsTable[[#This Row],[AverageScore]]&gt;=85,"Advanced",StudentsTable[[#This Row],[AverageScore]]&gt;=70,"Intermediate",StudentsTable[[#This Row],[AverageScore]]&gt;=60,"Basic",TRUE,"Needs Help")</f>
        <v>Intermediate</v>
      </c>
      <c r="N989">
        <f>RANK(StudentsTable[[#This Row],[AverageScore]],StudentsTable[AverageScore])</f>
        <v>255</v>
      </c>
      <c r="O989">
        <f>(StudentsTable[[#This Row],[AverageScore]]-MIN(StudentsTable[AverageScore]))/(MAX(StudentsTable[AverageScore])-MIN(StudentsTable[AverageScore]))*100</f>
        <v>75.091575091575095</v>
      </c>
    </row>
    <row r="990" spans="1:15" x14ac:dyDescent="0.3">
      <c r="A990" t="s">
        <v>8</v>
      </c>
      <c r="B990" t="s">
        <v>18</v>
      </c>
      <c r="C990" t="s">
        <v>23</v>
      </c>
      <c r="D990" t="s">
        <v>20</v>
      </c>
      <c r="E990" t="s">
        <v>12</v>
      </c>
      <c r="F990">
        <v>44</v>
      </c>
      <c r="G990">
        <v>45</v>
      </c>
      <c r="H990">
        <v>45</v>
      </c>
      <c r="I990">
        <f>StudentsTable[[#This Row],[math score]]+StudentsTable[[#This Row],[reading score]]+StudentsTable[[#This Row],[writing score]]</f>
        <v>134</v>
      </c>
      <c r="J990">
        <f>StudentsTable[[#This Row],[TotalScore]]/3</f>
        <v>44.666666666666664</v>
      </c>
      <c r="K990" t="str" cm="1">
        <f t="array" ref="K990">_xlfn.IFS(StudentsTable[[#This Row],[AverageScore]]&gt;=90,"A",StudentsTable[[#This Row],[AverageScore]]&gt;=80,"B",StudentsTable[[#This Row],[AverageScore]]&gt;=70,"C",StudentsTable[[#This Row],[AverageScore]]&gt;=60,"D",TRUE,"F")</f>
        <v>F</v>
      </c>
      <c r="L990" t="str">
        <f>IF(StudentsTable[[#This Row],[AverageScore]]&gt;=60,"Pass","Fail")</f>
        <v>Fail</v>
      </c>
      <c r="M990" t="str" cm="1">
        <f t="array" ref="M990">_xlfn.IFS(StudentsTable[[#This Row],[AverageScore]]&gt;=85,"Advanced",StudentsTable[[#This Row],[AverageScore]]&gt;=70,"Intermediate",StudentsTable[[#This Row],[AverageScore]]&gt;=60,"Basic",TRUE,"Needs Help")</f>
        <v>Needs Help</v>
      </c>
      <c r="N990">
        <f>RANK(StudentsTable[[#This Row],[AverageScore]],StudentsTable[AverageScore])</f>
        <v>947</v>
      </c>
      <c r="O990">
        <f>(StudentsTable[[#This Row],[AverageScore]]-MIN(StudentsTable[AverageScore]))/(MAX(StudentsTable[AverageScore])-MIN(StudentsTable[AverageScore]))*100</f>
        <v>39.194139194139197</v>
      </c>
    </row>
    <row r="991" spans="1:15" x14ac:dyDescent="0.3">
      <c r="A991" t="s">
        <v>8</v>
      </c>
      <c r="B991" t="s">
        <v>21</v>
      </c>
      <c r="C991" t="s">
        <v>14</v>
      </c>
      <c r="D991" t="s">
        <v>20</v>
      </c>
      <c r="E991" t="s">
        <v>15</v>
      </c>
      <c r="F991">
        <v>67</v>
      </c>
      <c r="G991">
        <v>86</v>
      </c>
      <c r="H991">
        <v>83</v>
      </c>
      <c r="I991">
        <f>StudentsTable[[#This Row],[math score]]+StudentsTable[[#This Row],[reading score]]+StudentsTable[[#This Row],[writing score]]</f>
        <v>236</v>
      </c>
      <c r="J991">
        <f>StudentsTable[[#This Row],[TotalScore]]/3</f>
        <v>78.666666666666671</v>
      </c>
      <c r="K991" t="str" cm="1">
        <f t="array" ref="K991">_xlfn.IFS(StudentsTable[[#This Row],[AverageScore]]&gt;=90,"A",StudentsTable[[#This Row],[AverageScore]]&gt;=80,"B",StudentsTable[[#This Row],[AverageScore]]&gt;=70,"C",StudentsTable[[#This Row],[AverageScore]]&gt;=60,"D",TRUE,"F")</f>
        <v>C</v>
      </c>
      <c r="L991" t="str">
        <f>IF(StudentsTable[[#This Row],[AverageScore]]&gt;=60,"Pass","Fail")</f>
        <v>Pass</v>
      </c>
      <c r="M991" t="str" cm="1">
        <f t="array" ref="M991">_xlfn.IFS(StudentsTable[[#This Row],[AverageScore]]&gt;=85,"Advanced",StudentsTable[[#This Row],[AverageScore]]&gt;=70,"Intermediate",StudentsTable[[#This Row],[AverageScore]]&gt;=60,"Basic",TRUE,"Needs Help")</f>
        <v>Intermediate</v>
      </c>
      <c r="N991">
        <f>RANK(StudentsTable[[#This Row],[AverageScore]],StudentsTable[AverageScore])</f>
        <v>222</v>
      </c>
      <c r="O991">
        <f>(StudentsTable[[#This Row],[AverageScore]]-MIN(StudentsTable[AverageScore]))/(MAX(StudentsTable[AverageScore])-MIN(StudentsTable[AverageScore]))*100</f>
        <v>76.556776556776569</v>
      </c>
    </row>
    <row r="992" spans="1:15" x14ac:dyDescent="0.3">
      <c r="A992" t="s">
        <v>17</v>
      </c>
      <c r="B992" t="s">
        <v>24</v>
      </c>
      <c r="C992" t="s">
        <v>22</v>
      </c>
      <c r="D992" t="s">
        <v>20</v>
      </c>
      <c r="E992" t="s">
        <v>15</v>
      </c>
      <c r="F992">
        <v>86</v>
      </c>
      <c r="G992">
        <v>81</v>
      </c>
      <c r="H992">
        <v>75</v>
      </c>
      <c r="I992">
        <f>StudentsTable[[#This Row],[math score]]+StudentsTable[[#This Row],[reading score]]+StudentsTable[[#This Row],[writing score]]</f>
        <v>242</v>
      </c>
      <c r="J992">
        <f>StudentsTable[[#This Row],[TotalScore]]/3</f>
        <v>80.666666666666671</v>
      </c>
      <c r="K992" t="str" cm="1">
        <f t="array" ref="K992">_xlfn.IFS(StudentsTable[[#This Row],[AverageScore]]&gt;=90,"A",StudentsTable[[#This Row],[AverageScore]]&gt;=80,"B",StudentsTable[[#This Row],[AverageScore]]&gt;=70,"C",StudentsTable[[#This Row],[AverageScore]]&gt;=60,"D",TRUE,"F")</f>
        <v>B</v>
      </c>
      <c r="L992" t="str">
        <f>IF(StudentsTable[[#This Row],[AverageScore]]&gt;=60,"Pass","Fail")</f>
        <v>Pass</v>
      </c>
      <c r="M992" t="str" cm="1">
        <f t="array" ref="M992">_xlfn.IFS(StudentsTable[[#This Row],[AverageScore]]&gt;=85,"Advanced",StudentsTable[[#This Row],[AverageScore]]&gt;=70,"Intermediate",StudentsTable[[#This Row],[AverageScore]]&gt;=60,"Basic",TRUE,"Needs Help")</f>
        <v>Intermediate</v>
      </c>
      <c r="N992">
        <f>RANK(StudentsTable[[#This Row],[AverageScore]],StudentsTable[AverageScore])</f>
        <v>180</v>
      </c>
      <c r="O992">
        <f>(StudentsTable[[#This Row],[AverageScore]]-MIN(StudentsTable[AverageScore]))/(MAX(StudentsTable[AverageScore])-MIN(StudentsTable[AverageScore]))*100</f>
        <v>78.754578754578759</v>
      </c>
    </row>
    <row r="993" spans="1:15" x14ac:dyDescent="0.3">
      <c r="A993" t="s">
        <v>8</v>
      </c>
      <c r="B993" t="s">
        <v>9</v>
      </c>
      <c r="C993" t="s">
        <v>23</v>
      </c>
      <c r="D993" t="s">
        <v>11</v>
      </c>
      <c r="E993" t="s">
        <v>15</v>
      </c>
      <c r="F993">
        <v>65</v>
      </c>
      <c r="G993">
        <v>82</v>
      </c>
      <c r="H993">
        <v>78</v>
      </c>
      <c r="I993">
        <f>StudentsTable[[#This Row],[math score]]+StudentsTable[[#This Row],[reading score]]+StudentsTable[[#This Row],[writing score]]</f>
        <v>225</v>
      </c>
      <c r="J993">
        <f>StudentsTable[[#This Row],[TotalScore]]/3</f>
        <v>75</v>
      </c>
      <c r="K993" t="str" cm="1">
        <f t="array" ref="K993">_xlfn.IFS(StudentsTable[[#This Row],[AverageScore]]&gt;=90,"A",StudentsTable[[#This Row],[AverageScore]]&gt;=80,"B",StudentsTable[[#This Row],[AverageScore]]&gt;=70,"C",StudentsTable[[#This Row],[AverageScore]]&gt;=60,"D",TRUE,"F")</f>
        <v>C</v>
      </c>
      <c r="L993" t="str">
        <f>IF(StudentsTable[[#This Row],[AverageScore]]&gt;=60,"Pass","Fail")</f>
        <v>Pass</v>
      </c>
      <c r="M993" t="str" cm="1">
        <f t="array" ref="M993">_xlfn.IFS(StudentsTable[[#This Row],[AverageScore]]&gt;=85,"Advanced",StudentsTable[[#This Row],[AverageScore]]&gt;=70,"Intermediate",StudentsTable[[#This Row],[AverageScore]]&gt;=60,"Basic",TRUE,"Needs Help")</f>
        <v>Intermediate</v>
      </c>
      <c r="N993">
        <f>RANK(StudentsTable[[#This Row],[AverageScore]],StudentsTable[AverageScore])</f>
        <v>314</v>
      </c>
      <c r="O993">
        <f>(StudentsTable[[#This Row],[AverageScore]]-MIN(StudentsTable[AverageScore]))/(MAX(StudentsTable[AverageScore])-MIN(StudentsTable[AverageScore]))*100</f>
        <v>72.527472527472526</v>
      </c>
    </row>
    <row r="994" spans="1:15" x14ac:dyDescent="0.3">
      <c r="A994" t="s">
        <v>8</v>
      </c>
      <c r="B994" t="s">
        <v>21</v>
      </c>
      <c r="C994" t="s">
        <v>19</v>
      </c>
      <c r="D994" t="s">
        <v>20</v>
      </c>
      <c r="E994" t="s">
        <v>12</v>
      </c>
      <c r="F994">
        <v>55</v>
      </c>
      <c r="G994">
        <v>76</v>
      </c>
      <c r="H994">
        <v>76</v>
      </c>
      <c r="I994">
        <f>StudentsTable[[#This Row],[math score]]+StudentsTable[[#This Row],[reading score]]+StudentsTable[[#This Row],[writing score]]</f>
        <v>207</v>
      </c>
      <c r="J994">
        <f>StudentsTable[[#This Row],[TotalScore]]/3</f>
        <v>69</v>
      </c>
      <c r="K994" t="str" cm="1">
        <f t="array" ref="K994">_xlfn.IFS(StudentsTable[[#This Row],[AverageScore]]&gt;=90,"A",StudentsTable[[#This Row],[AverageScore]]&gt;=80,"B",StudentsTable[[#This Row],[AverageScore]]&gt;=70,"C",StudentsTable[[#This Row],[AverageScore]]&gt;=60,"D",TRUE,"F")</f>
        <v>D</v>
      </c>
      <c r="L994" t="str">
        <f>IF(StudentsTable[[#This Row],[AverageScore]]&gt;=60,"Pass","Fail")</f>
        <v>Pass</v>
      </c>
      <c r="M994" t="str" cm="1">
        <f t="array" ref="M994">_xlfn.IFS(StudentsTable[[#This Row],[AverageScore]]&gt;=85,"Advanced",StudentsTable[[#This Row],[AverageScore]]&gt;=70,"Intermediate",StudentsTable[[#This Row],[AverageScore]]&gt;=60,"Basic",TRUE,"Needs Help")</f>
        <v>Basic</v>
      </c>
      <c r="N994">
        <f>RANK(StudentsTable[[#This Row],[AverageScore]],StudentsTable[AverageScore])</f>
        <v>475</v>
      </c>
      <c r="O994">
        <f>(StudentsTable[[#This Row],[AverageScore]]-MIN(StudentsTable[AverageScore]))/(MAX(StudentsTable[AverageScore])-MIN(StudentsTable[AverageScore]))*100</f>
        <v>65.934065934065927</v>
      </c>
    </row>
    <row r="995" spans="1:15" x14ac:dyDescent="0.3">
      <c r="A995" t="s">
        <v>8</v>
      </c>
      <c r="B995" t="s">
        <v>21</v>
      </c>
      <c r="C995" t="s">
        <v>10</v>
      </c>
      <c r="D995" t="s">
        <v>20</v>
      </c>
      <c r="E995" t="s">
        <v>12</v>
      </c>
      <c r="F995">
        <v>62</v>
      </c>
      <c r="G995">
        <v>72</v>
      </c>
      <c r="H995">
        <v>74</v>
      </c>
      <c r="I995">
        <f>StudentsTable[[#This Row],[math score]]+StudentsTable[[#This Row],[reading score]]+StudentsTable[[#This Row],[writing score]]</f>
        <v>208</v>
      </c>
      <c r="J995">
        <f>StudentsTable[[#This Row],[TotalScore]]/3</f>
        <v>69.333333333333329</v>
      </c>
      <c r="K995" t="str" cm="1">
        <f t="array" ref="K995">_xlfn.IFS(StudentsTable[[#This Row],[AverageScore]]&gt;=90,"A",StudentsTable[[#This Row],[AverageScore]]&gt;=80,"B",StudentsTable[[#This Row],[AverageScore]]&gt;=70,"C",StudentsTable[[#This Row],[AverageScore]]&gt;=60,"D",TRUE,"F")</f>
        <v>D</v>
      </c>
      <c r="L995" t="str">
        <f>IF(StudentsTable[[#This Row],[AverageScore]]&gt;=60,"Pass","Fail")</f>
        <v>Pass</v>
      </c>
      <c r="M995" t="str" cm="1">
        <f t="array" ref="M995">_xlfn.IFS(StudentsTable[[#This Row],[AverageScore]]&gt;=85,"Advanced",StudentsTable[[#This Row],[AverageScore]]&gt;=70,"Intermediate",StudentsTable[[#This Row],[AverageScore]]&gt;=60,"Basic",TRUE,"Needs Help")</f>
        <v>Basic</v>
      </c>
      <c r="N995">
        <f>RANK(StudentsTable[[#This Row],[AverageScore]],StudentsTable[AverageScore])</f>
        <v>465</v>
      </c>
      <c r="O995">
        <f>(StudentsTable[[#This Row],[AverageScore]]-MIN(StudentsTable[AverageScore]))/(MAX(StudentsTable[AverageScore])-MIN(StudentsTable[AverageScore]))*100</f>
        <v>66.300366300366292</v>
      </c>
    </row>
    <row r="996" spans="1:15" x14ac:dyDescent="0.3">
      <c r="A996" t="s">
        <v>17</v>
      </c>
      <c r="B996" t="s">
        <v>18</v>
      </c>
      <c r="C996" t="s">
        <v>22</v>
      </c>
      <c r="D996" t="s">
        <v>11</v>
      </c>
      <c r="E996" t="s">
        <v>12</v>
      </c>
      <c r="F996">
        <v>63</v>
      </c>
      <c r="G996">
        <v>63</v>
      </c>
      <c r="H996">
        <v>62</v>
      </c>
      <c r="I996">
        <f>StudentsTable[[#This Row],[math score]]+StudentsTable[[#This Row],[reading score]]+StudentsTable[[#This Row],[writing score]]</f>
        <v>188</v>
      </c>
      <c r="J996">
        <f>StudentsTable[[#This Row],[TotalScore]]/3</f>
        <v>62.666666666666664</v>
      </c>
      <c r="K996" t="str" cm="1">
        <f t="array" ref="K996">_xlfn.IFS(StudentsTable[[#This Row],[AverageScore]]&gt;=90,"A",StudentsTable[[#This Row],[AverageScore]]&gt;=80,"B",StudentsTable[[#This Row],[AverageScore]]&gt;=70,"C",StudentsTable[[#This Row],[AverageScore]]&gt;=60,"D",TRUE,"F")</f>
        <v>D</v>
      </c>
      <c r="L996" t="str">
        <f>IF(StudentsTable[[#This Row],[AverageScore]]&gt;=60,"Pass","Fail")</f>
        <v>Pass</v>
      </c>
      <c r="M996" t="str" cm="1">
        <f t="array" ref="M996">_xlfn.IFS(StudentsTable[[#This Row],[AverageScore]]&gt;=85,"Advanced",StudentsTable[[#This Row],[AverageScore]]&gt;=70,"Intermediate",StudentsTable[[#This Row],[AverageScore]]&gt;=60,"Basic",TRUE,"Needs Help")</f>
        <v>Basic</v>
      </c>
      <c r="N996">
        <f>RANK(StudentsTable[[#This Row],[AverageScore]],StudentsTable[AverageScore])</f>
        <v>653</v>
      </c>
      <c r="O996">
        <f>(StudentsTable[[#This Row],[AverageScore]]-MIN(StudentsTable[AverageScore]))/(MAX(StudentsTable[AverageScore])-MIN(StudentsTable[AverageScore]))*100</f>
        <v>58.974358974358978</v>
      </c>
    </row>
    <row r="997" spans="1:15" x14ac:dyDescent="0.3">
      <c r="A997" t="s">
        <v>8</v>
      </c>
      <c r="B997" t="s">
        <v>24</v>
      </c>
      <c r="C997" t="s">
        <v>16</v>
      </c>
      <c r="D997" t="s">
        <v>11</v>
      </c>
      <c r="E997" t="s">
        <v>15</v>
      </c>
      <c r="F997">
        <v>88</v>
      </c>
      <c r="G997">
        <v>99</v>
      </c>
      <c r="H997">
        <v>95</v>
      </c>
      <c r="I997">
        <f>StudentsTable[[#This Row],[math score]]+StudentsTable[[#This Row],[reading score]]+StudentsTable[[#This Row],[writing score]]</f>
        <v>282</v>
      </c>
      <c r="J997">
        <f>StudentsTable[[#This Row],[TotalScore]]/3</f>
        <v>94</v>
      </c>
      <c r="K997" t="str" cm="1">
        <f t="array" ref="K997">_xlfn.IFS(StudentsTable[[#This Row],[AverageScore]]&gt;=90,"A",StudentsTable[[#This Row],[AverageScore]]&gt;=80,"B",StudentsTable[[#This Row],[AverageScore]]&gt;=70,"C",StudentsTable[[#This Row],[AverageScore]]&gt;=60,"D",TRUE,"F")</f>
        <v>A</v>
      </c>
      <c r="L997" t="str">
        <f>IF(StudentsTable[[#This Row],[AverageScore]]&gt;=60,"Pass","Fail")</f>
        <v>Pass</v>
      </c>
      <c r="M997" t="str" cm="1">
        <f t="array" ref="M997">_xlfn.IFS(StudentsTable[[#This Row],[AverageScore]]&gt;=85,"Advanced",StudentsTable[[#This Row],[AverageScore]]&gt;=70,"Intermediate",StudentsTable[[#This Row],[AverageScore]]&gt;=60,"Basic",TRUE,"Needs Help")</f>
        <v>Advanced</v>
      </c>
      <c r="N997">
        <f>RANK(StudentsTable[[#This Row],[AverageScore]],StudentsTable[AverageScore])</f>
        <v>23</v>
      </c>
      <c r="O997">
        <f>(StudentsTable[[#This Row],[AverageScore]]-MIN(StudentsTable[AverageScore]))/(MAX(StudentsTable[AverageScore])-MIN(StudentsTable[AverageScore]))*100</f>
        <v>93.406593406593402</v>
      </c>
    </row>
    <row r="998" spans="1:15" x14ac:dyDescent="0.3">
      <c r="A998" t="s">
        <v>17</v>
      </c>
      <c r="B998" t="s">
        <v>13</v>
      </c>
      <c r="C998" t="s">
        <v>22</v>
      </c>
      <c r="D998" t="s">
        <v>20</v>
      </c>
      <c r="E998" t="s">
        <v>12</v>
      </c>
      <c r="F998">
        <v>62</v>
      </c>
      <c r="G998">
        <v>55</v>
      </c>
      <c r="H998">
        <v>55</v>
      </c>
      <c r="I998">
        <f>StudentsTable[[#This Row],[math score]]+StudentsTable[[#This Row],[reading score]]+StudentsTable[[#This Row],[writing score]]</f>
        <v>172</v>
      </c>
      <c r="J998">
        <f>StudentsTable[[#This Row],[TotalScore]]/3</f>
        <v>57.333333333333336</v>
      </c>
      <c r="K998" t="str" cm="1">
        <f t="array" ref="K998">_xlfn.IFS(StudentsTable[[#This Row],[AverageScore]]&gt;=90,"A",StudentsTable[[#This Row],[AverageScore]]&gt;=80,"B",StudentsTable[[#This Row],[AverageScore]]&gt;=70,"C",StudentsTable[[#This Row],[AverageScore]]&gt;=60,"D",TRUE,"F")</f>
        <v>F</v>
      </c>
      <c r="L998" t="str">
        <f>IF(StudentsTable[[#This Row],[AverageScore]]&gt;=60,"Pass","Fail")</f>
        <v>Fail</v>
      </c>
      <c r="M998" t="str" cm="1">
        <f t="array" ref="M998">_xlfn.IFS(StudentsTable[[#This Row],[AverageScore]]&gt;=85,"Advanced",StudentsTable[[#This Row],[AverageScore]]&gt;=70,"Intermediate",StudentsTable[[#This Row],[AverageScore]]&gt;=60,"Basic",TRUE,"Needs Help")</f>
        <v>Needs Help</v>
      </c>
      <c r="N998">
        <f>RANK(StudentsTable[[#This Row],[AverageScore]],StudentsTable[AverageScore])</f>
        <v>764</v>
      </c>
      <c r="O998">
        <f>(StudentsTable[[#This Row],[AverageScore]]-MIN(StudentsTable[AverageScore]))/(MAX(StudentsTable[AverageScore])-MIN(StudentsTable[AverageScore]))*100</f>
        <v>53.113553113553117</v>
      </c>
    </row>
    <row r="999" spans="1:15" x14ac:dyDescent="0.3">
      <c r="A999" t="s">
        <v>8</v>
      </c>
      <c r="B999" t="s">
        <v>13</v>
      </c>
      <c r="C999" t="s">
        <v>22</v>
      </c>
      <c r="D999" t="s">
        <v>20</v>
      </c>
      <c r="E999" t="s">
        <v>15</v>
      </c>
      <c r="F999">
        <v>59</v>
      </c>
      <c r="G999">
        <v>71</v>
      </c>
      <c r="H999">
        <v>65</v>
      </c>
      <c r="I999">
        <f>StudentsTable[[#This Row],[math score]]+StudentsTable[[#This Row],[reading score]]+StudentsTable[[#This Row],[writing score]]</f>
        <v>195</v>
      </c>
      <c r="J999">
        <f>StudentsTable[[#This Row],[TotalScore]]/3</f>
        <v>65</v>
      </c>
      <c r="K999" t="str" cm="1">
        <f t="array" ref="K999">_xlfn.IFS(StudentsTable[[#This Row],[AverageScore]]&gt;=90,"A",StudentsTable[[#This Row],[AverageScore]]&gt;=80,"B",StudentsTable[[#This Row],[AverageScore]]&gt;=70,"C",StudentsTable[[#This Row],[AverageScore]]&gt;=60,"D",TRUE,"F")</f>
        <v>D</v>
      </c>
      <c r="L999" t="str">
        <f>IF(StudentsTable[[#This Row],[AverageScore]]&gt;=60,"Pass","Fail")</f>
        <v>Pass</v>
      </c>
      <c r="M999" t="str" cm="1">
        <f t="array" ref="M999">_xlfn.IFS(StudentsTable[[#This Row],[AverageScore]]&gt;=85,"Advanced",StudentsTable[[#This Row],[AverageScore]]&gt;=70,"Intermediate",StudentsTable[[#This Row],[AverageScore]]&gt;=60,"Basic",TRUE,"Needs Help")</f>
        <v>Basic</v>
      </c>
      <c r="N999">
        <f>RANK(StudentsTable[[#This Row],[AverageScore]],StudentsTable[AverageScore])</f>
        <v>593</v>
      </c>
      <c r="O999">
        <f>(StudentsTable[[#This Row],[AverageScore]]-MIN(StudentsTable[AverageScore]))/(MAX(StudentsTable[AverageScore])-MIN(StudentsTable[AverageScore]))*100</f>
        <v>61.53846153846154</v>
      </c>
    </row>
    <row r="1000" spans="1:15" x14ac:dyDescent="0.3">
      <c r="A1000" t="s">
        <v>8</v>
      </c>
      <c r="B1000" t="s">
        <v>21</v>
      </c>
      <c r="C1000" t="s">
        <v>14</v>
      </c>
      <c r="D1000" t="s">
        <v>11</v>
      </c>
      <c r="E1000" t="s">
        <v>15</v>
      </c>
      <c r="F1000">
        <v>68</v>
      </c>
      <c r="G1000">
        <v>78</v>
      </c>
      <c r="H1000">
        <v>77</v>
      </c>
      <c r="I1000">
        <f>StudentsTable[[#This Row],[math score]]+StudentsTable[[#This Row],[reading score]]+StudentsTable[[#This Row],[writing score]]</f>
        <v>223</v>
      </c>
      <c r="J1000">
        <f>StudentsTable[[#This Row],[TotalScore]]/3</f>
        <v>74.333333333333329</v>
      </c>
      <c r="K1000" t="str" cm="1">
        <f t="array" ref="K1000">_xlfn.IFS(StudentsTable[[#This Row],[AverageScore]]&gt;=90,"A",StudentsTable[[#This Row],[AverageScore]]&gt;=80,"B",StudentsTable[[#This Row],[AverageScore]]&gt;=70,"C",StudentsTable[[#This Row],[AverageScore]]&gt;=60,"D",TRUE,"F")</f>
        <v>C</v>
      </c>
      <c r="L1000" t="str">
        <f>IF(StudentsTable[[#This Row],[AverageScore]]&gt;=60,"Pass","Fail")</f>
        <v>Pass</v>
      </c>
      <c r="M1000" t="str" cm="1">
        <f t="array" ref="M1000">_xlfn.IFS(StudentsTable[[#This Row],[AverageScore]]&gt;=85,"Advanced",StudentsTable[[#This Row],[AverageScore]]&gt;=70,"Intermediate",StudentsTable[[#This Row],[AverageScore]]&gt;=60,"Basic",TRUE,"Needs Help")</f>
        <v>Intermediate</v>
      </c>
      <c r="N1000">
        <f>RANK(StudentsTable[[#This Row],[AverageScore]],StudentsTable[AverageScore])</f>
        <v>333</v>
      </c>
      <c r="O1000">
        <f>(StudentsTable[[#This Row],[AverageScore]]-MIN(StudentsTable[AverageScore]))/(MAX(StudentsTable[AverageScore])-MIN(StudentsTable[AverageScore]))*100</f>
        <v>71.794871794871796</v>
      </c>
    </row>
    <row r="1001" spans="1:15" x14ac:dyDescent="0.3">
      <c r="A1001" t="s">
        <v>8</v>
      </c>
      <c r="B1001" t="s">
        <v>21</v>
      </c>
      <c r="C1001" t="s">
        <v>14</v>
      </c>
      <c r="D1001" t="s">
        <v>20</v>
      </c>
      <c r="E1001" t="s">
        <v>12</v>
      </c>
      <c r="F1001">
        <v>77</v>
      </c>
      <c r="G1001">
        <v>86</v>
      </c>
      <c r="H1001">
        <v>86</v>
      </c>
      <c r="I1001">
        <f>StudentsTable[[#This Row],[math score]]+StudentsTable[[#This Row],[reading score]]+StudentsTable[[#This Row],[writing score]]</f>
        <v>249</v>
      </c>
      <c r="J1001">
        <f>StudentsTable[[#This Row],[TotalScore]]/3</f>
        <v>83</v>
      </c>
      <c r="K1001" t="str" cm="1">
        <f t="array" ref="K1001">_xlfn.IFS(StudentsTable[[#This Row],[AverageScore]]&gt;=90,"A",StudentsTable[[#This Row],[AverageScore]]&gt;=80,"B",StudentsTable[[#This Row],[AverageScore]]&gt;=70,"C",StudentsTable[[#This Row],[AverageScore]]&gt;=60,"D",TRUE,"F")</f>
        <v>B</v>
      </c>
      <c r="L1001" t="str">
        <f>IF(StudentsTable[[#This Row],[AverageScore]]&gt;=60,"Pass","Fail")</f>
        <v>Pass</v>
      </c>
      <c r="M1001" t="str" cm="1">
        <f t="array" ref="M1001">_xlfn.IFS(StudentsTable[[#This Row],[AverageScore]]&gt;=85,"Advanced",StudentsTable[[#This Row],[AverageScore]]&gt;=70,"Intermediate",StudentsTable[[#This Row],[AverageScore]]&gt;=60,"Basic",TRUE,"Needs Help")</f>
        <v>Intermediate</v>
      </c>
      <c r="N1001">
        <f>RANK(StudentsTable[[#This Row],[AverageScore]],StudentsTable[AverageScore])</f>
        <v>140</v>
      </c>
      <c r="O1001">
        <f>(StudentsTable[[#This Row],[AverageScore]]-MIN(StudentsTable[AverageScore]))/(MAX(StudentsTable[AverageScore])-MIN(StudentsTable[AverageScore]))*100</f>
        <v>81.318681318681314</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A9A61-AEF6-455B-9414-8301DE00574C}">
  <dimension ref="A3:B6"/>
  <sheetViews>
    <sheetView zoomScale="121" zoomScaleNormal="69" workbookViewId="0">
      <selection activeCell="N16" sqref="N16"/>
    </sheetView>
  </sheetViews>
  <sheetFormatPr defaultRowHeight="14.4" x14ac:dyDescent="0.3"/>
  <cols>
    <col min="1" max="1" width="13" bestFit="1" customWidth="1"/>
    <col min="2" max="2" width="22.33203125" bestFit="1" customWidth="1"/>
  </cols>
  <sheetData>
    <row r="3" spans="1:2" x14ac:dyDescent="0.3">
      <c r="A3" s="1" t="s">
        <v>36</v>
      </c>
      <c r="B3" t="s">
        <v>38</v>
      </c>
    </row>
    <row r="4" spans="1:2" x14ac:dyDescent="0.3">
      <c r="A4" s="2" t="s">
        <v>15</v>
      </c>
      <c r="B4">
        <v>72.669459962756051</v>
      </c>
    </row>
    <row r="5" spans="1:2" x14ac:dyDescent="0.3">
      <c r="A5" s="2" t="s">
        <v>12</v>
      </c>
      <c r="B5">
        <v>65.038940809968878</v>
      </c>
    </row>
    <row r="6" spans="1:2" x14ac:dyDescent="0.3">
      <c r="A6" s="2" t="s">
        <v>37</v>
      </c>
      <c r="B6">
        <v>67.770666666666671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D78A6-BB5A-4374-BAC8-CBF0C50BD961}">
  <dimension ref="A3:B10"/>
  <sheetViews>
    <sheetView zoomScale="130" zoomScaleNormal="130" workbookViewId="0">
      <selection activeCell="M23" sqref="M23"/>
    </sheetView>
  </sheetViews>
  <sheetFormatPr defaultRowHeight="14.4" x14ac:dyDescent="0.3"/>
  <cols>
    <col min="1" max="1" width="16" bestFit="1" customWidth="1"/>
    <col min="2" max="2" width="21.44140625" bestFit="1" customWidth="1"/>
  </cols>
  <sheetData>
    <row r="3" spans="1:2" x14ac:dyDescent="0.3">
      <c r="A3" s="1" t="s">
        <v>36</v>
      </c>
      <c r="B3" t="s">
        <v>38</v>
      </c>
    </row>
    <row r="4" spans="1:2" x14ac:dyDescent="0.3">
      <c r="A4" s="2" t="s">
        <v>19</v>
      </c>
      <c r="B4">
        <v>69.569069069069073</v>
      </c>
    </row>
    <row r="5" spans="1:2" x14ac:dyDescent="0.3">
      <c r="A5" s="2" t="s">
        <v>10</v>
      </c>
      <c r="B5">
        <v>71.923728813559308</v>
      </c>
    </row>
    <row r="6" spans="1:2" x14ac:dyDescent="0.3">
      <c r="A6" s="2" t="s">
        <v>22</v>
      </c>
      <c r="B6">
        <v>63.09693877551021</v>
      </c>
    </row>
    <row r="7" spans="1:2" x14ac:dyDescent="0.3">
      <c r="A7" s="2" t="s">
        <v>16</v>
      </c>
      <c r="B7">
        <v>73.598870056497177</v>
      </c>
    </row>
    <row r="8" spans="1:2" x14ac:dyDescent="0.3">
      <c r="A8" s="2" t="s">
        <v>14</v>
      </c>
      <c r="B8">
        <v>68.476401179940993</v>
      </c>
    </row>
    <row r="9" spans="1:2" x14ac:dyDescent="0.3">
      <c r="A9" s="2" t="s">
        <v>23</v>
      </c>
      <c r="B9">
        <v>65.108007448789607</v>
      </c>
    </row>
    <row r="10" spans="1:2" x14ac:dyDescent="0.3">
      <c r="A10" s="2" t="s">
        <v>37</v>
      </c>
      <c r="B10">
        <v>67.770666666666727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C0A8E-7BBD-4648-AEDB-B1E2ADBF7E76}">
  <dimension ref="A1:B6"/>
  <sheetViews>
    <sheetView topLeftCell="A2" zoomScale="130" zoomScaleNormal="130" workbookViewId="0">
      <selection activeCell="J12" sqref="J12"/>
    </sheetView>
  </sheetViews>
  <sheetFormatPr defaultRowHeight="14.4" x14ac:dyDescent="0.3"/>
  <cols>
    <col min="1" max="1" width="12.44140625" bestFit="1" customWidth="1"/>
    <col min="2" max="2" width="16" bestFit="1" customWidth="1"/>
    <col min="3" max="3" width="17" bestFit="1" customWidth="1"/>
  </cols>
  <sheetData>
    <row r="1" spans="1:2" x14ac:dyDescent="0.3">
      <c r="A1" s="1" t="s">
        <v>28</v>
      </c>
      <c r="B1" t="s">
        <v>40</v>
      </c>
    </row>
    <row r="3" spans="1:2" x14ac:dyDescent="0.3">
      <c r="A3" s="1" t="s">
        <v>36</v>
      </c>
      <c r="B3" t="s">
        <v>39</v>
      </c>
    </row>
    <row r="4" spans="1:2" x14ac:dyDescent="0.3">
      <c r="A4" s="2" t="s">
        <v>8</v>
      </c>
      <c r="B4">
        <v>394</v>
      </c>
    </row>
    <row r="5" spans="1:2" x14ac:dyDescent="0.3">
      <c r="A5" s="2" t="s">
        <v>17</v>
      </c>
      <c r="B5">
        <v>321</v>
      </c>
    </row>
    <row r="6" spans="1:2" x14ac:dyDescent="0.3">
      <c r="A6" s="2" t="s">
        <v>37</v>
      </c>
      <c r="B6">
        <v>715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F0EDA-6284-472B-8E6A-D8DE984E1DF5}">
  <dimension ref="A3:B9"/>
  <sheetViews>
    <sheetView topLeftCell="A2" zoomScale="131" workbookViewId="0">
      <selection activeCell="N24" sqref="N24"/>
    </sheetView>
  </sheetViews>
  <sheetFormatPr defaultRowHeight="14.4" x14ac:dyDescent="0.3"/>
  <cols>
    <col min="1" max="1" width="12.44140625" bestFit="1" customWidth="1"/>
    <col min="2" max="2" width="21.44140625" bestFit="1" customWidth="1"/>
  </cols>
  <sheetData>
    <row r="3" spans="1:2" x14ac:dyDescent="0.3">
      <c r="A3" s="1" t="s">
        <v>36</v>
      </c>
      <c r="B3" t="s">
        <v>38</v>
      </c>
    </row>
    <row r="4" spans="1:2" x14ac:dyDescent="0.3">
      <c r="A4" s="2" t="s">
        <v>18</v>
      </c>
      <c r="B4" s="6">
        <v>62.992509363295866</v>
      </c>
    </row>
    <row r="5" spans="1:2" x14ac:dyDescent="0.3">
      <c r="A5" s="2" t="s">
        <v>9</v>
      </c>
      <c r="B5" s="5">
        <v>65.468421052631555</v>
      </c>
    </row>
    <row r="6" spans="1:2" x14ac:dyDescent="0.3">
      <c r="A6" s="2" t="s">
        <v>13</v>
      </c>
      <c r="B6" s="5">
        <v>67.131661442006276</v>
      </c>
    </row>
    <row r="7" spans="1:2" x14ac:dyDescent="0.3">
      <c r="A7" s="2" t="s">
        <v>21</v>
      </c>
      <c r="B7" s="5">
        <v>69.179389312977051</v>
      </c>
    </row>
    <row r="8" spans="1:2" x14ac:dyDescent="0.3">
      <c r="A8" s="2" t="s">
        <v>24</v>
      </c>
      <c r="B8" s="5">
        <v>72.752380952380975</v>
      </c>
    </row>
    <row r="9" spans="1:2" x14ac:dyDescent="0.3">
      <c r="A9" s="2" t="s">
        <v>37</v>
      </c>
      <c r="B9" s="5">
        <v>67.770666666666614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1CE5-086B-4896-B1A7-117F86DA5AFF}">
  <dimension ref="A3:Q24"/>
  <sheetViews>
    <sheetView zoomScale="130" zoomScaleNormal="130" workbookViewId="0">
      <selection activeCell="I29" sqref="I29"/>
    </sheetView>
  </sheetViews>
  <sheetFormatPr defaultRowHeight="14.4" x14ac:dyDescent="0.3"/>
  <cols>
    <col min="1" max="1" width="12.44140625" bestFit="1" customWidth="1"/>
    <col min="2" max="2" width="12.6640625" bestFit="1" customWidth="1"/>
  </cols>
  <sheetData>
    <row r="3" spans="1:17" x14ac:dyDescent="0.3">
      <c r="A3" s="1" t="s">
        <v>36</v>
      </c>
      <c r="B3" t="s">
        <v>50</v>
      </c>
    </row>
    <row r="4" spans="1:17" x14ac:dyDescent="0.3">
      <c r="A4" s="2" t="s">
        <v>20</v>
      </c>
      <c r="B4">
        <v>355</v>
      </c>
    </row>
    <row r="5" spans="1:17" x14ac:dyDescent="0.3">
      <c r="A5" s="2" t="s">
        <v>11</v>
      </c>
      <c r="B5">
        <v>645</v>
      </c>
    </row>
    <row r="6" spans="1:17" x14ac:dyDescent="0.3">
      <c r="A6" s="2" t="s">
        <v>37</v>
      </c>
      <c r="B6">
        <v>1000</v>
      </c>
    </row>
    <row r="16" spans="1:17" ht="21" x14ac:dyDescent="0.3">
      <c r="Q16" s="7"/>
    </row>
    <row r="17" spans="4:17" ht="17.399999999999999" x14ac:dyDescent="0.3">
      <c r="Q17" s="8"/>
    </row>
    <row r="18" spans="4:17" ht="17.399999999999999" x14ac:dyDescent="0.3">
      <c r="Q18" s="8"/>
    </row>
    <row r="22" spans="4:17" ht="21" x14ac:dyDescent="0.3">
      <c r="D22" s="7"/>
    </row>
    <row r="23" spans="4:17" ht="17.399999999999999" x14ac:dyDescent="0.3">
      <c r="D23" s="8"/>
    </row>
    <row r="24" spans="4:17" ht="17.399999999999999" x14ac:dyDescent="0.3">
      <c r="D24" s="8"/>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EDAC-8489-431C-9A0C-75A3D448DF14}">
  <dimension ref="A3:D6"/>
  <sheetViews>
    <sheetView topLeftCell="D1" zoomScale="130" zoomScaleNormal="130" workbookViewId="0">
      <selection activeCell="O21" sqref="O21"/>
    </sheetView>
  </sheetViews>
  <sheetFormatPr defaultRowHeight="14.4" x14ac:dyDescent="0.3"/>
  <cols>
    <col min="1" max="1" width="12.44140625" bestFit="1" customWidth="1"/>
    <col min="2" max="2" width="19.21875" bestFit="1" customWidth="1"/>
    <col min="3" max="3" width="21.109375" bestFit="1" customWidth="1"/>
    <col min="4" max="4" width="20.5546875" bestFit="1" customWidth="1"/>
  </cols>
  <sheetData>
    <row r="3" spans="1:4" x14ac:dyDescent="0.3">
      <c r="A3" s="1" t="s">
        <v>36</v>
      </c>
      <c r="B3" t="s">
        <v>42</v>
      </c>
      <c r="C3" t="s">
        <v>43</v>
      </c>
      <c r="D3" t="s">
        <v>44</v>
      </c>
    </row>
    <row r="4" spans="1:4" x14ac:dyDescent="0.3">
      <c r="A4" s="2" t="s">
        <v>8</v>
      </c>
      <c r="B4">
        <v>63.633204633204635</v>
      </c>
      <c r="C4">
        <v>72.608108108108112</v>
      </c>
      <c r="D4">
        <v>72.467181467181462</v>
      </c>
    </row>
    <row r="5" spans="1:4" x14ac:dyDescent="0.3">
      <c r="A5" s="2" t="s">
        <v>17</v>
      </c>
      <c r="B5">
        <v>68.72821576763485</v>
      </c>
      <c r="C5">
        <v>65.473029045643159</v>
      </c>
      <c r="D5">
        <v>63.311203319502077</v>
      </c>
    </row>
    <row r="6" spans="1:4" x14ac:dyDescent="0.3">
      <c r="A6" s="2" t="s">
        <v>37</v>
      </c>
      <c r="B6">
        <v>66.088999999999999</v>
      </c>
      <c r="C6">
        <v>69.168999999999997</v>
      </c>
      <c r="D6">
        <v>68.054000000000002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7D94D-52D8-4E13-AFE5-C8717D817ADD}">
  <dimension ref="A3:D6"/>
  <sheetViews>
    <sheetView topLeftCell="C1" zoomScale="130" zoomScaleNormal="130" workbookViewId="0">
      <selection activeCell="K35" sqref="K35"/>
    </sheetView>
  </sheetViews>
  <sheetFormatPr defaultRowHeight="14.4" x14ac:dyDescent="0.3"/>
  <cols>
    <col min="1" max="1" width="12.88671875" bestFit="1" customWidth="1"/>
    <col min="2" max="2" width="19.5546875" bestFit="1" customWidth="1"/>
    <col min="3" max="3" width="21.5546875" bestFit="1" customWidth="1"/>
    <col min="4" max="4" width="20.88671875" bestFit="1" customWidth="1"/>
  </cols>
  <sheetData>
    <row r="3" spans="1:4" x14ac:dyDescent="0.3">
      <c r="A3" s="1" t="s">
        <v>36</v>
      </c>
      <c r="B3" t="s">
        <v>42</v>
      </c>
      <c r="C3" t="s">
        <v>43</v>
      </c>
      <c r="D3" t="s">
        <v>44</v>
      </c>
    </row>
    <row r="4" spans="1:4" x14ac:dyDescent="0.3">
      <c r="A4" s="2" t="s">
        <v>8</v>
      </c>
      <c r="B4">
        <v>63.633204633204635</v>
      </c>
      <c r="C4">
        <v>72.608108108108112</v>
      </c>
      <c r="D4">
        <v>72.467181467181462</v>
      </c>
    </row>
    <row r="5" spans="1:4" x14ac:dyDescent="0.3">
      <c r="A5" s="2" t="s">
        <v>17</v>
      </c>
      <c r="B5">
        <v>68.72821576763485</v>
      </c>
      <c r="C5">
        <v>65.473029045643159</v>
      </c>
      <c r="D5">
        <v>63.311203319502077</v>
      </c>
    </row>
    <row r="6" spans="1:4" x14ac:dyDescent="0.3">
      <c r="A6" s="2" t="s">
        <v>37</v>
      </c>
      <c r="B6">
        <v>66.088999999999999</v>
      </c>
      <c r="C6">
        <v>69.168999999999997</v>
      </c>
      <c r="D6">
        <v>68.054000000000002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92421-8ECB-48B5-A363-8BA9EE09EFB8}">
  <dimension ref="A3:B8"/>
  <sheetViews>
    <sheetView zoomScale="130" zoomScaleNormal="130" workbookViewId="0">
      <selection activeCell="J16" sqref="J16"/>
    </sheetView>
  </sheetViews>
  <sheetFormatPr defaultRowHeight="14.4" x14ac:dyDescent="0.3"/>
  <cols>
    <col min="1" max="1" width="12.44140625" bestFit="1" customWidth="1"/>
    <col min="2" max="2" width="26.5546875" bestFit="1" customWidth="1"/>
  </cols>
  <sheetData>
    <row r="3" spans="1:2" x14ac:dyDescent="0.3">
      <c r="A3" s="1" t="s">
        <v>36</v>
      </c>
      <c r="B3" t="s">
        <v>49</v>
      </c>
    </row>
    <row r="4" spans="1:2" x14ac:dyDescent="0.3">
      <c r="A4" s="2" t="s">
        <v>45</v>
      </c>
      <c r="B4">
        <v>116</v>
      </c>
    </row>
    <row r="5" spans="1:2" x14ac:dyDescent="0.3">
      <c r="A5" s="2" t="s">
        <v>46</v>
      </c>
      <c r="B5">
        <v>256</v>
      </c>
    </row>
    <row r="6" spans="1:2" x14ac:dyDescent="0.3">
      <c r="A6" s="2" t="s">
        <v>47</v>
      </c>
      <c r="B6">
        <v>343</v>
      </c>
    </row>
    <row r="7" spans="1:2" x14ac:dyDescent="0.3">
      <c r="A7" s="2" t="s">
        <v>48</v>
      </c>
      <c r="B7">
        <v>285</v>
      </c>
    </row>
    <row r="8" spans="1:2" x14ac:dyDescent="0.3">
      <c r="A8" s="2" t="s">
        <v>37</v>
      </c>
      <c r="B8">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E2B60-0530-4320-9D9A-0C7B8F8C611E}">
  <dimension ref="A1:B10"/>
  <sheetViews>
    <sheetView zoomScale="130" zoomScaleNormal="130" workbookViewId="0">
      <selection activeCell="N20" sqref="N20"/>
    </sheetView>
  </sheetViews>
  <sheetFormatPr defaultRowHeight="14.4" x14ac:dyDescent="0.3"/>
  <cols>
    <col min="1" max="2" width="16" bestFit="1" customWidth="1"/>
  </cols>
  <sheetData>
    <row r="1" spans="1:2" x14ac:dyDescent="0.3">
      <c r="A1" s="1" t="s">
        <v>28</v>
      </c>
      <c r="B1" t="s">
        <v>41</v>
      </c>
    </row>
    <row r="3" spans="1:2" x14ac:dyDescent="0.3">
      <c r="A3" s="1" t="s">
        <v>36</v>
      </c>
      <c r="B3" t="s">
        <v>39</v>
      </c>
    </row>
    <row r="4" spans="1:2" x14ac:dyDescent="0.3">
      <c r="A4" s="2" t="s">
        <v>19</v>
      </c>
      <c r="B4">
        <v>59</v>
      </c>
    </row>
    <row r="5" spans="1:2" x14ac:dyDescent="0.3">
      <c r="A5" s="2" t="s">
        <v>10</v>
      </c>
      <c r="B5">
        <v>21</v>
      </c>
    </row>
    <row r="6" spans="1:2" x14ac:dyDescent="0.3">
      <c r="A6" s="2" t="s">
        <v>22</v>
      </c>
      <c r="B6">
        <v>76</v>
      </c>
    </row>
    <row r="7" spans="1:2" x14ac:dyDescent="0.3">
      <c r="A7" s="2" t="s">
        <v>16</v>
      </c>
      <c r="B7">
        <v>10</v>
      </c>
    </row>
    <row r="8" spans="1:2" x14ac:dyDescent="0.3">
      <c r="A8" s="2" t="s">
        <v>14</v>
      </c>
      <c r="B8">
        <v>55</v>
      </c>
    </row>
    <row r="9" spans="1:2" x14ac:dyDescent="0.3">
      <c r="A9" s="2" t="s">
        <v>23</v>
      </c>
      <c r="B9">
        <v>64</v>
      </c>
    </row>
    <row r="10" spans="1:2" x14ac:dyDescent="0.3">
      <c r="A10" s="2" t="s">
        <v>37</v>
      </c>
      <c r="B10">
        <v>285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831F-DD04-4050-889A-C605807E2A19}">
  <dimension ref="A1:B4"/>
  <sheetViews>
    <sheetView tabSelected="1" zoomScale="54" zoomScaleNormal="45" workbookViewId="0">
      <selection activeCell="AL44" sqref="AL44"/>
    </sheetView>
  </sheetViews>
  <sheetFormatPr defaultRowHeight="14.4" x14ac:dyDescent="0.3"/>
  <cols>
    <col min="1" max="1" width="14.77734375" customWidth="1"/>
    <col min="5" max="5" width="12.44140625" bestFit="1" customWidth="1"/>
    <col min="6" max="6" width="21.44140625" bestFit="1" customWidth="1"/>
  </cols>
  <sheetData>
    <row r="1" spans="1:2" x14ac:dyDescent="0.3">
      <c r="A1" s="3" t="s">
        <v>32</v>
      </c>
      <c r="B1" s="3">
        <f>AVERAGE(StudentsTable[AverageScore])</f>
        <v>67.770666666666642</v>
      </c>
    </row>
    <row r="2" spans="1:2" x14ac:dyDescent="0.3">
      <c r="A2" s="3" t="s">
        <v>33</v>
      </c>
      <c r="B2" s="3">
        <f>MAX(StudentsTable[TotalScore])</f>
        <v>300</v>
      </c>
    </row>
    <row r="3" spans="1:2" x14ac:dyDescent="0.3">
      <c r="A3" s="3" t="s">
        <v>34</v>
      </c>
      <c r="B3" s="4">
        <f>COUNTIF(StudentsTable[Pass_Fail],"Pass")/COUNTA(StudentsTable[Pass_Fail])</f>
        <v>0.71499999999999997</v>
      </c>
    </row>
    <row r="4" spans="1:2" x14ac:dyDescent="0.3">
      <c r="A4" s="3" t="s">
        <v>35</v>
      </c>
      <c r="B4" s="3">
        <f>ROWS(StudentsTable[])</f>
        <v>1000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StudentsPerformance</vt:lpstr>
      <vt:lpstr>TestPrepAnalysis</vt:lpstr>
      <vt:lpstr>ParentEduAnalysis</vt:lpstr>
      <vt:lpstr>GenderPassAnalysis</vt:lpstr>
      <vt:lpstr>RaceEthnicityAnalysis</vt:lpstr>
      <vt:lpstr>LunchTypeAnalysis</vt:lpstr>
      <vt:lpstr>SubjectComparison</vt:lpstr>
      <vt:lpstr>GenderSubjectAnalysis</vt:lpstr>
      <vt:lpstr>PerformanceCategoryAnalysis</vt:lpstr>
      <vt:lpstr>ParentPassRateAnalysis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GOWRI</dc:creator>
  <cp:lastModifiedBy>Praveen G</cp:lastModifiedBy>
  <dcterms:created xsi:type="dcterms:W3CDTF">2025-12-11T08:39:26Z</dcterms:created>
  <dcterms:modified xsi:type="dcterms:W3CDTF">2025-12-12T06:42:36Z</dcterms:modified>
</cp:coreProperties>
</file>